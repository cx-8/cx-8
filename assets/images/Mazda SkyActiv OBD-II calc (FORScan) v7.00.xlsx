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96648352-11A0-469A-BEDE-2A346F61B3FD}" xr6:coauthVersionLast="45" xr6:coauthVersionMax="47" xr10:uidLastSave="{00000000-0000-0000-0000-000000000000}"/>
  <bookViews>
    <workbookView xWindow="-108" yWindow="-108" windowWidth="23256" windowHeight="12576" tabRatio="660" activeTab="1" xr2:uid="{00000000-000D-0000-FFFF-FFFF00000000}"/>
  </bookViews>
  <sheets>
    <sheet name="i-ACTIVSENSE" sheetId="9" r:id="rId1"/>
    <sheet name="Donate &amp; Tutorial" sheetId="14" r:id="rId2"/>
    <sheet name="RCM" sheetId="13" r:id="rId3"/>
    <sheet name="RBCM" sheetId="2" r:id="rId4"/>
    <sheet name="FBCM" sheetId="12" r:id="rId5"/>
    <sheet name="SSU" sheetId="4" r:id="rId6"/>
    <sheet name="FSC Gen 1" sheetId="7" r:id="rId7"/>
    <sheet name="FSC Gen 2" sheetId="15" r:id="rId8"/>
    <sheet name="IC" sheetId="19" r:id="rId9"/>
    <sheet name="BCMM" sheetId="10" r:id="rId10"/>
    <sheet name="CCC Converter" sheetId="11" r:id="rId11"/>
    <sheet name="CCC Research" sheetId="17" r:id="rId12"/>
    <sheet name="Changelog" sheetId="18" r:id="rId13"/>
  </sheets>
  <definedNames>
    <definedName name="_xlnm._FilterDatabase" localSheetId="8" hidden="1">IC!$A$1:$AK$695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12" i="19" l="1" a="1"/>
  <c r="J412" i="19" s="1"/>
  <c r="T411" i="19" s="1"/>
  <c r="M16" i="19" a="1"/>
  <c r="M16" i="19" s="1"/>
  <c r="G690" i="19"/>
  <c r="G695" i="19" s="1"/>
  <c r="F690" i="19"/>
  <c r="F695" i="19" s="1"/>
  <c r="G679" i="19"/>
  <c r="G684" i="19" s="1"/>
  <c r="F679" i="19"/>
  <c r="F684" i="19" s="1"/>
  <c r="G668" i="19"/>
  <c r="G673" i="19" s="1"/>
  <c r="F668" i="19"/>
  <c r="F673" i="19" s="1"/>
  <c r="G657" i="19"/>
  <c r="G662" i="19" s="1"/>
  <c r="F657" i="19"/>
  <c r="F662" i="19" s="1"/>
  <c r="G646" i="19"/>
  <c r="G651" i="19" s="1"/>
  <c r="F646" i="19"/>
  <c r="F651" i="19" s="1"/>
  <c r="G635" i="19"/>
  <c r="G640" i="19" s="1"/>
  <c r="F635" i="19"/>
  <c r="F640" i="19" s="1"/>
  <c r="G624" i="19"/>
  <c r="G629" i="19" s="1"/>
  <c r="F624" i="19"/>
  <c r="F629" i="19" s="1"/>
  <c r="G613" i="19"/>
  <c r="F613" i="19"/>
  <c r="G602" i="19"/>
  <c r="G607" i="19" s="1"/>
  <c r="F602" i="19"/>
  <c r="F607" i="19" s="1"/>
  <c r="G591" i="19"/>
  <c r="G596" i="19" s="1"/>
  <c r="F591" i="19"/>
  <c r="F596" i="19" s="1"/>
  <c r="G580" i="19"/>
  <c r="G585" i="19" s="1"/>
  <c r="F580" i="19"/>
  <c r="F585" i="19" s="1"/>
  <c r="G569" i="19"/>
  <c r="G574" i="19" s="1"/>
  <c r="F569" i="19"/>
  <c r="F574" i="19" s="1"/>
  <c r="G558" i="19"/>
  <c r="G563" i="19" s="1"/>
  <c r="F558" i="19"/>
  <c r="F563" i="19" s="1"/>
  <c r="G547" i="19"/>
  <c r="F547" i="19"/>
  <c r="G536" i="19"/>
  <c r="G541" i="19" s="1"/>
  <c r="F536" i="19"/>
  <c r="F541" i="19" s="1"/>
  <c r="G525" i="19"/>
  <c r="F525" i="19"/>
  <c r="F530" i="19" s="1"/>
  <c r="G514" i="19"/>
  <c r="G519" i="19" s="1"/>
  <c r="F514" i="19"/>
  <c r="F519" i="19" s="1"/>
  <c r="G503" i="19"/>
  <c r="G508" i="19" s="1"/>
  <c r="F503" i="19"/>
  <c r="F508" i="19" s="1"/>
  <c r="G492" i="19"/>
  <c r="F492" i="19"/>
  <c r="F497" i="19" s="1"/>
  <c r="G481" i="19"/>
  <c r="G486" i="19" s="1"/>
  <c r="F481" i="19"/>
  <c r="G470" i="19"/>
  <c r="G475" i="19" s="1"/>
  <c r="F470" i="19"/>
  <c r="F475" i="19" s="1"/>
  <c r="G459" i="19"/>
  <c r="G464" i="19" s="1"/>
  <c r="F459" i="19"/>
  <c r="F464" i="19" s="1"/>
  <c r="G448" i="19"/>
  <c r="G453" i="19" s="1"/>
  <c r="F448" i="19"/>
  <c r="F453" i="19" s="1"/>
  <c r="G437" i="19"/>
  <c r="G442" i="19" s="1"/>
  <c r="F437" i="19"/>
  <c r="F442" i="19" s="1"/>
  <c r="G426" i="19"/>
  <c r="G431" i="19" s="1"/>
  <c r="F426" i="19"/>
  <c r="F431" i="19" s="1"/>
  <c r="L687" i="19" a="1"/>
  <c r="L687" i="19" s="1"/>
  <c r="K687" i="19" a="1"/>
  <c r="K687" i="19" s="1"/>
  <c r="J687" i="19" a="1"/>
  <c r="J687" i="19" s="1"/>
  <c r="I687" i="19" a="1"/>
  <c r="I687" i="19" s="1"/>
  <c r="H687" i="19" a="1"/>
  <c r="H687" i="19" s="1"/>
  <c r="M676" i="19" a="1"/>
  <c r="M676" i="19" s="1"/>
  <c r="L676" i="19" a="1"/>
  <c r="L676" i="19" s="1"/>
  <c r="K676" i="19" a="1"/>
  <c r="K676" i="19" s="1"/>
  <c r="J676" i="19" a="1"/>
  <c r="J676" i="19" s="1"/>
  <c r="I676" i="19" a="1"/>
  <c r="I676" i="19" s="1"/>
  <c r="I681" i="19" s="1"/>
  <c r="I683" i="19" s="1"/>
  <c r="H676" i="19" a="1"/>
  <c r="H676" i="19" s="1"/>
  <c r="H678" i="19" s="1"/>
  <c r="M665" i="19" a="1"/>
  <c r="M665" i="19" s="1"/>
  <c r="L665" i="19" a="1"/>
  <c r="L665" i="19" s="1"/>
  <c r="K665" i="19" a="1"/>
  <c r="K665" i="19" s="1"/>
  <c r="K667" i="19" s="1"/>
  <c r="J665" i="19" a="1"/>
  <c r="J665" i="19" s="1"/>
  <c r="J666" i="19" s="1"/>
  <c r="I665" i="19" a="1"/>
  <c r="I665" i="19" s="1"/>
  <c r="H665" i="19" a="1"/>
  <c r="H665" i="19" s="1"/>
  <c r="H666" i="19" s="1"/>
  <c r="P670" i="19" s="1"/>
  <c r="Q670" i="19" s="1"/>
  <c r="M654" i="19" a="1"/>
  <c r="M654" i="19" s="1"/>
  <c r="L654" i="19" a="1"/>
  <c r="L654" i="19" s="1"/>
  <c r="K654" i="19" a="1"/>
  <c r="K654" i="19" s="1"/>
  <c r="J654" i="19" a="1"/>
  <c r="J654" i="19" s="1"/>
  <c r="J655" i="19" s="1"/>
  <c r="I654" i="19" a="1"/>
  <c r="I654" i="19" s="1"/>
  <c r="H654" i="19" a="1"/>
  <c r="H654" i="19" s="1"/>
  <c r="H656" i="19" s="1"/>
  <c r="M643" i="19" a="1"/>
  <c r="M643" i="19" s="1"/>
  <c r="L643" i="19" a="1"/>
  <c r="L643" i="19" s="1"/>
  <c r="L645" i="19" s="1"/>
  <c r="K643" i="19" a="1"/>
  <c r="K643" i="19" s="1"/>
  <c r="K645" i="19" s="1"/>
  <c r="J643" i="19" a="1"/>
  <c r="J643" i="19" s="1"/>
  <c r="J644" i="19" s="1"/>
  <c r="X650" i="19" s="1"/>
  <c r="Y650" i="19" s="1"/>
  <c r="I643" i="19" a="1"/>
  <c r="I643" i="19" s="1"/>
  <c r="I644" i="19" s="1"/>
  <c r="H643" i="19" a="1"/>
  <c r="H643" i="19" s="1"/>
  <c r="M632" i="19" a="1"/>
  <c r="M632" i="19" s="1"/>
  <c r="L632" i="19" a="1"/>
  <c r="L632" i="19" s="1"/>
  <c r="K632" i="19" a="1"/>
  <c r="K632" i="19" s="1"/>
  <c r="K633" i="19" s="1"/>
  <c r="AB640" i="19" s="1"/>
  <c r="AC640" i="19" s="1"/>
  <c r="J632" i="19" a="1"/>
  <c r="J632" i="19" s="1"/>
  <c r="I632" i="19" a="1"/>
  <c r="I632" i="19" s="1"/>
  <c r="H632" i="19" a="1"/>
  <c r="H632" i="19" s="1"/>
  <c r="M621" i="19" a="1"/>
  <c r="M621" i="19" s="1"/>
  <c r="L621" i="19" a="1"/>
  <c r="L621" i="19" s="1"/>
  <c r="L622" i="19" s="1"/>
  <c r="K621" i="19" a="1"/>
  <c r="K621" i="19" s="1"/>
  <c r="J621" i="19" a="1"/>
  <c r="J621" i="19" s="1"/>
  <c r="I621" i="19" a="1"/>
  <c r="I621" i="19" s="1"/>
  <c r="H621" i="19" a="1"/>
  <c r="H621" i="19" s="1"/>
  <c r="M610" i="19" a="1"/>
  <c r="M610" i="19" s="1"/>
  <c r="L610" i="19" a="1"/>
  <c r="L610" i="19" s="1"/>
  <c r="K610" i="19" a="1"/>
  <c r="K610" i="19" s="1"/>
  <c r="J610" i="19" a="1"/>
  <c r="J610" i="19" s="1"/>
  <c r="I610" i="19" a="1"/>
  <c r="I610" i="19" s="1"/>
  <c r="I611" i="19" s="1"/>
  <c r="H610" i="19" a="1"/>
  <c r="H610" i="19" s="1"/>
  <c r="H612" i="19" s="1"/>
  <c r="M599" i="19" a="1"/>
  <c r="M599" i="19" s="1"/>
  <c r="L599" i="19" a="1"/>
  <c r="L599" i="19" s="1"/>
  <c r="K599" i="19" a="1"/>
  <c r="K599" i="19" s="1"/>
  <c r="J599" i="19" a="1"/>
  <c r="J599" i="19" s="1"/>
  <c r="J600" i="19" s="1"/>
  <c r="I599" i="19" a="1"/>
  <c r="I599" i="19" s="1"/>
  <c r="H599" i="19" a="1"/>
  <c r="H599" i="19" s="1"/>
  <c r="H601" i="19" s="1"/>
  <c r="M588" i="19" a="1"/>
  <c r="M588" i="19" s="1"/>
  <c r="L588" i="19" a="1"/>
  <c r="L588" i="19" s="1"/>
  <c r="L589" i="19" s="1"/>
  <c r="K588" i="19" a="1"/>
  <c r="K588" i="19" s="1"/>
  <c r="J588" i="19" a="1"/>
  <c r="J588" i="19" s="1"/>
  <c r="I588" i="19" a="1"/>
  <c r="I588" i="19" s="1"/>
  <c r="H588" i="19" a="1"/>
  <c r="H588" i="19" s="1"/>
  <c r="H590" i="19" s="1"/>
  <c r="M577" i="19" a="1"/>
  <c r="M577" i="19" s="1"/>
  <c r="L577" i="19" a="1"/>
  <c r="L577" i="19" s="1"/>
  <c r="L578" i="19" s="1"/>
  <c r="AF585" i="19" s="1"/>
  <c r="AG585" i="19" s="1"/>
  <c r="K577" i="19" a="1"/>
  <c r="K577" i="19" s="1"/>
  <c r="J577" i="19" a="1"/>
  <c r="J577" i="19" s="1"/>
  <c r="J578" i="19" s="1"/>
  <c r="X581" i="19" s="1"/>
  <c r="Y581" i="19" s="1"/>
  <c r="I577" i="19" a="1"/>
  <c r="I577" i="19" s="1"/>
  <c r="H577" i="19" a="1"/>
  <c r="H577" i="19" s="1"/>
  <c r="M566" i="19" a="1"/>
  <c r="M566" i="19" s="1"/>
  <c r="L566" i="19" a="1"/>
  <c r="L566" i="19" s="1"/>
  <c r="K566" i="19" a="1"/>
  <c r="K566" i="19" s="1"/>
  <c r="J566" i="19" a="1"/>
  <c r="J566" i="19" s="1"/>
  <c r="I566" i="19" a="1"/>
  <c r="I566" i="19" s="1"/>
  <c r="H566" i="19" a="1"/>
  <c r="H566" i="19" s="1"/>
  <c r="M555" i="19" a="1"/>
  <c r="M555" i="19" s="1"/>
  <c r="L555" i="19" a="1"/>
  <c r="L555" i="19" s="1"/>
  <c r="L557" i="19" s="1"/>
  <c r="K555" i="19" a="1"/>
  <c r="K555" i="19" s="1"/>
  <c r="K557" i="19" s="1"/>
  <c r="J555" i="19" a="1"/>
  <c r="J555" i="19" s="1"/>
  <c r="J556" i="19" s="1"/>
  <c r="X562" i="19" s="1"/>
  <c r="Y562" i="19" s="1"/>
  <c r="I555" i="19" a="1"/>
  <c r="I555" i="19" s="1"/>
  <c r="H555" i="19" a="1"/>
  <c r="H555" i="19" s="1"/>
  <c r="M544" i="19" a="1"/>
  <c r="M544" i="19" s="1"/>
  <c r="L544" i="19" a="1"/>
  <c r="L544" i="19" s="1"/>
  <c r="L545" i="19" s="1"/>
  <c r="K544" i="19" a="1"/>
  <c r="K544" i="19" s="1"/>
  <c r="J544" i="19" a="1"/>
  <c r="J544" i="19" s="1"/>
  <c r="I544" i="19" a="1"/>
  <c r="I544" i="19" s="1"/>
  <c r="H544" i="19" a="1"/>
  <c r="H544" i="19" s="1"/>
  <c r="M533" i="19" a="1"/>
  <c r="M533" i="19" s="1"/>
  <c r="L533" i="19" a="1"/>
  <c r="L533" i="19" s="1"/>
  <c r="K533" i="19" a="1"/>
  <c r="K533" i="19" s="1"/>
  <c r="K535" i="19" s="1"/>
  <c r="J533" i="19" a="1"/>
  <c r="J533" i="19" s="1"/>
  <c r="J535" i="19" s="1"/>
  <c r="I533" i="19" a="1"/>
  <c r="I533" i="19" s="1"/>
  <c r="I535" i="19" s="1"/>
  <c r="H533" i="19" a="1"/>
  <c r="H533" i="19" s="1"/>
  <c r="M522" i="19" a="1"/>
  <c r="M522" i="19" s="1"/>
  <c r="L522" i="19" a="1"/>
  <c r="L522" i="19" s="1"/>
  <c r="L523" i="19" s="1"/>
  <c r="K522" i="19" a="1"/>
  <c r="K522" i="19" s="1"/>
  <c r="K524" i="19" s="1"/>
  <c r="J522" i="19" a="1"/>
  <c r="J522" i="19" s="1"/>
  <c r="I522" i="19" a="1"/>
  <c r="I522" i="19" s="1"/>
  <c r="H522" i="19" a="1"/>
  <c r="H522" i="19" s="1"/>
  <c r="M511" i="19" a="1"/>
  <c r="M511" i="19" s="1"/>
  <c r="L511" i="19" a="1"/>
  <c r="L511" i="19" s="1"/>
  <c r="L516" i="19" s="1"/>
  <c r="L518" i="19" s="1"/>
  <c r="K511" i="19" a="1"/>
  <c r="K511" i="19" s="1"/>
  <c r="J511" i="19" a="1"/>
  <c r="J511" i="19" s="1"/>
  <c r="I511" i="19" a="1"/>
  <c r="I511" i="19" s="1"/>
  <c r="H511" i="19" a="1"/>
  <c r="H511" i="19" s="1"/>
  <c r="H513" i="19" s="1"/>
  <c r="M500" i="19" a="1"/>
  <c r="M500" i="19" s="1"/>
  <c r="L500" i="19" a="1"/>
  <c r="L500" i="19" s="1"/>
  <c r="K500" i="19" a="1"/>
  <c r="K500" i="19" s="1"/>
  <c r="K502" i="19" s="1"/>
  <c r="J500" i="19" a="1"/>
  <c r="J500" i="19" s="1"/>
  <c r="J505" i="19" s="1"/>
  <c r="J507" i="19" s="1"/>
  <c r="I500" i="19" a="1"/>
  <c r="I500" i="19" s="1"/>
  <c r="H500" i="19" a="1"/>
  <c r="H500" i="19" s="1"/>
  <c r="M489" i="19" a="1"/>
  <c r="M489" i="19" s="1"/>
  <c r="L489" i="19" a="1"/>
  <c r="L489" i="19" s="1"/>
  <c r="K489" i="19" a="1"/>
  <c r="K489" i="19" s="1"/>
  <c r="K490" i="19" s="1"/>
  <c r="AB494" i="19" s="1"/>
  <c r="AC494" i="19" s="1"/>
  <c r="J489" i="19" a="1"/>
  <c r="J489" i="19" s="1"/>
  <c r="J490" i="19" s="1"/>
  <c r="I489" i="19" a="1"/>
  <c r="I489" i="19" s="1"/>
  <c r="H489" i="19" a="1"/>
  <c r="H489" i="19" s="1"/>
  <c r="H478" i="19" a="1"/>
  <c r="H478" i="19" s="1"/>
  <c r="M478" i="19" a="1"/>
  <c r="M478" i="19" s="1"/>
  <c r="L478" i="19" a="1"/>
  <c r="L478" i="19" s="1"/>
  <c r="L480" i="19" s="1"/>
  <c r="K478" i="19" a="1"/>
  <c r="K478" i="19" s="1"/>
  <c r="J478" i="19" a="1"/>
  <c r="J478" i="19" s="1"/>
  <c r="J479" i="19" s="1"/>
  <c r="I478" i="19" a="1"/>
  <c r="I478" i="19" s="1"/>
  <c r="M467" i="19" a="1"/>
  <c r="M467" i="19" s="1"/>
  <c r="L467" i="19" a="1"/>
  <c r="L467" i="19" s="1"/>
  <c r="L468" i="19" s="1"/>
  <c r="K467" i="19" a="1"/>
  <c r="K467" i="19" s="1"/>
  <c r="J467" i="19" a="1"/>
  <c r="J467" i="19" s="1"/>
  <c r="I467" i="19" a="1"/>
  <c r="I467" i="19" s="1"/>
  <c r="H467" i="19" a="1"/>
  <c r="H467" i="19" s="1"/>
  <c r="H469" i="19" s="1"/>
  <c r="M456" i="19" a="1"/>
  <c r="M456" i="19" s="1"/>
  <c r="L456" i="19" a="1"/>
  <c r="L456" i="19" s="1"/>
  <c r="K456" i="19" a="1"/>
  <c r="K456" i="19" s="1"/>
  <c r="K457" i="19" s="1"/>
  <c r="J456" i="19" a="1"/>
  <c r="J456" i="19" s="1"/>
  <c r="I456" i="19" a="1"/>
  <c r="I456" i="19" s="1"/>
  <c r="H456" i="19" a="1"/>
  <c r="H456" i="19" s="1"/>
  <c r="I445" i="19" a="1"/>
  <c r="I445" i="19" s="1"/>
  <c r="M445" i="19" a="1"/>
  <c r="M445" i="19" s="1"/>
  <c r="L445" i="19" a="1"/>
  <c r="L445" i="19" s="1"/>
  <c r="L446" i="19" s="1"/>
  <c r="AF449" i="19" s="1"/>
  <c r="AG449" i="19" s="1"/>
  <c r="K445" i="19" a="1"/>
  <c r="K445" i="19" s="1"/>
  <c r="J445" i="19" a="1"/>
  <c r="J445" i="19" s="1"/>
  <c r="J446" i="19" s="1"/>
  <c r="H445" i="19" a="1"/>
  <c r="H445" i="19" s="1"/>
  <c r="M434" i="19" a="1"/>
  <c r="M434" i="19" s="1"/>
  <c r="L434" i="19" a="1"/>
  <c r="L434" i="19" s="1"/>
  <c r="L436" i="19" s="1"/>
  <c r="K434" i="19" a="1"/>
  <c r="K434" i="19" s="1"/>
  <c r="K435" i="19" s="1"/>
  <c r="J434" i="19" a="1"/>
  <c r="J434" i="19" s="1"/>
  <c r="I434" i="19" a="1"/>
  <c r="I434" i="19" s="1"/>
  <c r="H434" i="19" a="1"/>
  <c r="H434" i="19" s="1"/>
  <c r="M423" i="19" a="1"/>
  <c r="M423" i="19" s="1"/>
  <c r="L423" i="19" a="1"/>
  <c r="L423" i="19" s="1"/>
  <c r="L424" i="19" s="1"/>
  <c r="K423" i="19" a="1"/>
  <c r="K423" i="19" s="1"/>
  <c r="K424" i="19" s="1"/>
  <c r="J423" i="19" a="1"/>
  <c r="J423" i="19" s="1"/>
  <c r="I423" i="19" a="1"/>
  <c r="I423" i="19" s="1"/>
  <c r="H423" i="19" a="1"/>
  <c r="H423" i="19" s="1"/>
  <c r="H424" i="19" s="1"/>
  <c r="P425" i="19" s="1"/>
  <c r="Q425" i="19" s="1"/>
  <c r="AI209" i="19"/>
  <c r="G618" i="19"/>
  <c r="F618" i="19"/>
  <c r="G552" i="19"/>
  <c r="F552" i="19"/>
  <c r="G530" i="19"/>
  <c r="G497" i="19"/>
  <c r="F486" i="19"/>
  <c r="D420" i="19"/>
  <c r="G419" i="19"/>
  <c r="E419" i="19"/>
  <c r="G417" i="19"/>
  <c r="G418" i="19" s="1"/>
  <c r="F417" i="19"/>
  <c r="F418" i="19" s="1"/>
  <c r="E417" i="19"/>
  <c r="E418" i="19" s="1"/>
  <c r="D417" i="19"/>
  <c r="D418" i="19" s="1"/>
  <c r="G415" i="19"/>
  <c r="G420" i="19" s="1"/>
  <c r="F415" i="19"/>
  <c r="F420" i="19" s="1"/>
  <c r="E415" i="19"/>
  <c r="E420" i="19" s="1"/>
  <c r="D415" i="19"/>
  <c r="G414" i="19"/>
  <c r="F414" i="19"/>
  <c r="E414" i="19"/>
  <c r="D414" i="19"/>
  <c r="G413" i="19"/>
  <c r="F413" i="19"/>
  <c r="E413" i="19"/>
  <c r="D413" i="19"/>
  <c r="M412" i="19" a="1"/>
  <c r="M412" i="19" s="1"/>
  <c r="L412" i="19" a="1"/>
  <c r="L412" i="19" s="1"/>
  <c r="L414" i="19" s="1"/>
  <c r="K412" i="19" a="1"/>
  <c r="K412" i="19" s="1"/>
  <c r="I412" i="19" a="1"/>
  <c r="I412" i="19" s="1"/>
  <c r="H412" i="19" a="1"/>
  <c r="H412" i="19" s="1"/>
  <c r="G406" i="19"/>
  <c r="G408" i="19" s="1"/>
  <c r="F406" i="19"/>
  <c r="F408" i="19" s="1"/>
  <c r="E406" i="19"/>
  <c r="E407" i="19" s="1"/>
  <c r="D406" i="19"/>
  <c r="D408" i="19" s="1"/>
  <c r="G404" i="19"/>
  <c r="G409" i="19" s="1"/>
  <c r="F404" i="19"/>
  <c r="F409" i="19" s="1"/>
  <c r="E404" i="19"/>
  <c r="E409" i="19" s="1"/>
  <c r="D404" i="19"/>
  <c r="D409" i="19" s="1"/>
  <c r="G403" i="19"/>
  <c r="F403" i="19"/>
  <c r="E403" i="19"/>
  <c r="D403" i="19"/>
  <c r="G402" i="19"/>
  <c r="F402" i="19"/>
  <c r="E402" i="19"/>
  <c r="D402" i="19"/>
  <c r="M401" i="19" a="1"/>
  <c r="M401" i="19" s="1"/>
  <c r="L401" i="19" a="1"/>
  <c r="L401" i="19" s="1"/>
  <c r="L403" i="19" s="1"/>
  <c r="K401" i="19" a="1"/>
  <c r="K401" i="19" s="1"/>
  <c r="J401" i="19" a="1"/>
  <c r="J401" i="19" s="1"/>
  <c r="I401" i="19" a="1"/>
  <c r="I401" i="19" s="1"/>
  <c r="I403" i="19" s="1"/>
  <c r="H401" i="19" a="1"/>
  <c r="H401" i="19" s="1"/>
  <c r="D398" i="19"/>
  <c r="G397" i="19"/>
  <c r="E397" i="19"/>
  <c r="G395" i="19"/>
  <c r="G396" i="19" s="1"/>
  <c r="F395" i="19"/>
  <c r="F396" i="19" s="1"/>
  <c r="E395" i="19"/>
  <c r="E396" i="19" s="1"/>
  <c r="D395" i="19"/>
  <c r="D396" i="19" s="1"/>
  <c r="G393" i="19"/>
  <c r="G398" i="19" s="1"/>
  <c r="F393" i="19"/>
  <c r="F398" i="19" s="1"/>
  <c r="E393" i="19"/>
  <c r="E398" i="19" s="1"/>
  <c r="D393" i="19"/>
  <c r="G392" i="19"/>
  <c r="F392" i="19"/>
  <c r="E392" i="19"/>
  <c r="D392" i="19"/>
  <c r="G391" i="19"/>
  <c r="F391" i="19"/>
  <c r="E391" i="19"/>
  <c r="D391" i="19"/>
  <c r="M390" i="19" a="1"/>
  <c r="M390" i="19" s="1"/>
  <c r="L390" i="19" a="1"/>
  <c r="L390" i="19" s="1"/>
  <c r="L395" i="19" s="1"/>
  <c r="L397" i="19" s="1"/>
  <c r="K390" i="19" a="1"/>
  <c r="K390" i="19" s="1"/>
  <c r="J390" i="19" a="1"/>
  <c r="J390" i="19" s="1"/>
  <c r="J392" i="19" s="1"/>
  <c r="I390" i="19" a="1"/>
  <c r="I390" i="19" s="1"/>
  <c r="H390" i="19" a="1"/>
  <c r="H390" i="19" s="1"/>
  <c r="E387" i="19"/>
  <c r="E386" i="19"/>
  <c r="F385" i="19"/>
  <c r="G384" i="19"/>
  <c r="G385" i="19" s="1"/>
  <c r="F384" i="19"/>
  <c r="F386" i="19" s="1"/>
  <c r="E384" i="19"/>
  <c r="E385" i="19" s="1"/>
  <c r="D384" i="19"/>
  <c r="D385" i="19" s="1"/>
  <c r="G382" i="19"/>
  <c r="G387" i="19" s="1"/>
  <c r="F382" i="19"/>
  <c r="F387" i="19" s="1"/>
  <c r="E382" i="19"/>
  <c r="D382" i="19"/>
  <c r="D387" i="19" s="1"/>
  <c r="G381" i="19"/>
  <c r="F381" i="19"/>
  <c r="E381" i="19"/>
  <c r="D381" i="19"/>
  <c r="G380" i="19"/>
  <c r="F380" i="19"/>
  <c r="E380" i="19"/>
  <c r="D380" i="19"/>
  <c r="M379" i="19" a="1"/>
  <c r="M379" i="19" s="1"/>
  <c r="L379" i="19" a="1"/>
  <c r="L379" i="19" s="1"/>
  <c r="K379" i="19" a="1"/>
  <c r="K379" i="19" s="1"/>
  <c r="K380" i="19" s="1"/>
  <c r="J379" i="19" a="1"/>
  <c r="J379" i="19" s="1"/>
  <c r="J381" i="19" s="1"/>
  <c r="I379" i="19" a="1"/>
  <c r="I379" i="19" s="1"/>
  <c r="H379" i="19" a="1"/>
  <c r="H379" i="19" s="1"/>
  <c r="H380" i="19" s="1"/>
  <c r="E375" i="19"/>
  <c r="G374" i="19"/>
  <c r="D374" i="19"/>
  <c r="G373" i="19"/>
  <c r="G375" i="19" s="1"/>
  <c r="F373" i="19"/>
  <c r="F374" i="19" s="1"/>
  <c r="E373" i="19"/>
  <c r="E374" i="19" s="1"/>
  <c r="D373" i="19"/>
  <c r="D375" i="19" s="1"/>
  <c r="G371" i="19"/>
  <c r="G376" i="19" s="1"/>
  <c r="F371" i="19"/>
  <c r="F376" i="19" s="1"/>
  <c r="E371" i="19"/>
  <c r="E376" i="19" s="1"/>
  <c r="D371" i="19"/>
  <c r="D376" i="19" s="1"/>
  <c r="G370" i="19"/>
  <c r="F370" i="19"/>
  <c r="E370" i="19"/>
  <c r="D370" i="19"/>
  <c r="G369" i="19"/>
  <c r="F369" i="19"/>
  <c r="E369" i="19"/>
  <c r="D369" i="19"/>
  <c r="M368" i="19" a="1"/>
  <c r="M368" i="19" s="1"/>
  <c r="L368" i="19" a="1"/>
  <c r="L368" i="19" s="1"/>
  <c r="K368" i="19" a="1"/>
  <c r="K368" i="19" s="1"/>
  <c r="J368" i="19" a="1"/>
  <c r="J368" i="19" s="1"/>
  <c r="I368" i="19" a="1"/>
  <c r="I368" i="19" s="1"/>
  <c r="I369" i="19" s="1"/>
  <c r="H368" i="19" a="1"/>
  <c r="H368" i="19" s="1"/>
  <c r="H369" i="19" s="1"/>
  <c r="E365" i="19"/>
  <c r="G364" i="19"/>
  <c r="E364" i="19"/>
  <c r="G362" i="19"/>
  <c r="G363" i="19" s="1"/>
  <c r="F362" i="19"/>
  <c r="F364" i="19" s="1"/>
  <c r="E362" i="19"/>
  <c r="E363" i="19" s="1"/>
  <c r="D362" i="19"/>
  <c r="D363" i="19" s="1"/>
  <c r="G360" i="19"/>
  <c r="G365" i="19" s="1"/>
  <c r="F360" i="19"/>
  <c r="F365" i="19" s="1"/>
  <c r="E360" i="19"/>
  <c r="D360" i="19"/>
  <c r="D365" i="19" s="1"/>
  <c r="G359" i="19"/>
  <c r="F359" i="19"/>
  <c r="E359" i="19"/>
  <c r="D359" i="19"/>
  <c r="G358" i="19"/>
  <c r="F358" i="19"/>
  <c r="E358" i="19"/>
  <c r="D358" i="19"/>
  <c r="M357" i="19" a="1"/>
  <c r="M357" i="19" s="1"/>
  <c r="L357" i="19" a="1"/>
  <c r="L357" i="19" s="1"/>
  <c r="K357" i="19" a="1"/>
  <c r="K357" i="19" s="1"/>
  <c r="J357" i="19" a="1"/>
  <c r="J357" i="19" s="1"/>
  <c r="J358" i="19" s="1"/>
  <c r="I357" i="19" a="1"/>
  <c r="I357" i="19" s="1"/>
  <c r="H357" i="19" a="1"/>
  <c r="H357" i="19" s="1"/>
  <c r="H358" i="19" s="1"/>
  <c r="E354" i="19"/>
  <c r="G351" i="19"/>
  <c r="G353" i="19" s="1"/>
  <c r="F351" i="19"/>
  <c r="F353" i="19" s="1"/>
  <c r="E351" i="19"/>
  <c r="E353" i="19" s="1"/>
  <c r="D351" i="19"/>
  <c r="D352" i="19" s="1"/>
  <c r="G349" i="19"/>
  <c r="G354" i="19" s="1"/>
  <c r="F349" i="19"/>
  <c r="F354" i="19" s="1"/>
  <c r="E349" i="19"/>
  <c r="D349" i="19"/>
  <c r="D354" i="19" s="1"/>
  <c r="G348" i="19"/>
  <c r="F348" i="19"/>
  <c r="E348" i="19"/>
  <c r="D348" i="19"/>
  <c r="G347" i="19"/>
  <c r="F347" i="19"/>
  <c r="E347" i="19"/>
  <c r="D347" i="19"/>
  <c r="M346" i="19" a="1"/>
  <c r="M346" i="19" s="1"/>
  <c r="L346" i="19" a="1"/>
  <c r="L346" i="19" s="1"/>
  <c r="L348" i="19" s="1"/>
  <c r="K346" i="19" a="1"/>
  <c r="K346" i="19" s="1"/>
  <c r="K347" i="19" s="1"/>
  <c r="J346" i="19" a="1"/>
  <c r="J346" i="19" s="1"/>
  <c r="J347" i="19" s="1"/>
  <c r="I346" i="19" a="1"/>
  <c r="I346" i="19" s="1"/>
  <c r="I348" i="19" s="1"/>
  <c r="H346" i="19" a="1"/>
  <c r="H346" i="19" s="1"/>
  <c r="H347" i="19" s="1"/>
  <c r="D343" i="19"/>
  <c r="D342" i="19"/>
  <c r="G341" i="19"/>
  <c r="F341" i="19"/>
  <c r="G340" i="19"/>
  <c r="G342" i="19" s="1"/>
  <c r="F340" i="19"/>
  <c r="F342" i="19" s="1"/>
  <c r="E340" i="19"/>
  <c r="D340" i="19"/>
  <c r="D341" i="19" s="1"/>
  <c r="G338" i="19"/>
  <c r="G343" i="19" s="1"/>
  <c r="F338" i="19"/>
  <c r="F343" i="19" s="1"/>
  <c r="E338" i="19"/>
  <c r="E343" i="19" s="1"/>
  <c r="D338" i="19"/>
  <c r="G337" i="19"/>
  <c r="F337" i="19"/>
  <c r="E337" i="19"/>
  <c r="D337" i="19"/>
  <c r="G336" i="19"/>
  <c r="F336" i="19"/>
  <c r="E336" i="19"/>
  <c r="D336" i="19"/>
  <c r="M335" i="19" a="1"/>
  <c r="M335" i="19" s="1"/>
  <c r="L335" i="19" a="1"/>
  <c r="L335" i="19" s="1"/>
  <c r="L340" i="19" s="1"/>
  <c r="L342" i="19" s="1"/>
  <c r="K335" i="19" a="1"/>
  <c r="K335" i="19" s="1"/>
  <c r="K336" i="19" s="1"/>
  <c r="J335" i="19" a="1"/>
  <c r="J335" i="19" s="1"/>
  <c r="I335" i="19" a="1"/>
  <c r="I335" i="19" s="1"/>
  <c r="I336" i="19" s="1"/>
  <c r="H335" i="19" a="1"/>
  <c r="H335" i="19" s="1"/>
  <c r="H337" i="19" s="1"/>
  <c r="G329" i="19"/>
  <c r="G330" i="19" s="1"/>
  <c r="F329" i="19"/>
  <c r="F331" i="19" s="1"/>
  <c r="E329" i="19"/>
  <c r="E330" i="19" s="1"/>
  <c r="D329" i="19"/>
  <c r="D331" i="19" s="1"/>
  <c r="G327" i="19"/>
  <c r="G332" i="19" s="1"/>
  <c r="F327" i="19"/>
  <c r="F332" i="19" s="1"/>
  <c r="E327" i="19"/>
  <c r="E332" i="19" s="1"/>
  <c r="D327" i="19"/>
  <c r="D332" i="19" s="1"/>
  <c r="G326" i="19"/>
  <c r="F326" i="19"/>
  <c r="E326" i="19"/>
  <c r="D326" i="19"/>
  <c r="G325" i="19"/>
  <c r="F325" i="19"/>
  <c r="E325" i="19"/>
  <c r="D325" i="19"/>
  <c r="M324" i="19" a="1"/>
  <c r="M324" i="19" s="1"/>
  <c r="L324" i="19" a="1"/>
  <c r="L324" i="19" s="1"/>
  <c r="K324" i="19" a="1"/>
  <c r="K324" i="19" s="1"/>
  <c r="K325" i="19" s="1"/>
  <c r="J324" i="19" a="1"/>
  <c r="J324" i="19" s="1"/>
  <c r="J325" i="19" s="1"/>
  <c r="I324" i="19" a="1"/>
  <c r="I324" i="19" s="1"/>
  <c r="H324" i="19" a="1"/>
  <c r="H324" i="19" s="1"/>
  <c r="H326" i="19" s="1"/>
  <c r="G320" i="19"/>
  <c r="E319" i="19"/>
  <c r="G318" i="19"/>
  <c r="G319" i="19" s="1"/>
  <c r="F318" i="19"/>
  <c r="F320" i="19" s="1"/>
  <c r="E318" i="19"/>
  <c r="E320" i="19" s="1"/>
  <c r="D318" i="19"/>
  <c r="D319" i="19" s="1"/>
  <c r="G316" i="19"/>
  <c r="G321" i="19" s="1"/>
  <c r="F316" i="19"/>
  <c r="F321" i="19" s="1"/>
  <c r="E316" i="19"/>
  <c r="E321" i="19" s="1"/>
  <c r="D316" i="19"/>
  <c r="D321" i="19" s="1"/>
  <c r="G315" i="19"/>
  <c r="F315" i="19"/>
  <c r="E315" i="19"/>
  <c r="D315" i="19"/>
  <c r="G314" i="19"/>
  <c r="F314" i="19"/>
  <c r="E314" i="19"/>
  <c r="D314" i="19"/>
  <c r="M313" i="19" a="1"/>
  <c r="M313" i="19" s="1"/>
  <c r="L313" i="19" a="1"/>
  <c r="L313" i="19" s="1"/>
  <c r="K313" i="19" a="1"/>
  <c r="K313" i="19" s="1"/>
  <c r="K315" i="19" s="1"/>
  <c r="J313" i="19" a="1"/>
  <c r="J313" i="19" s="1"/>
  <c r="J315" i="19" s="1"/>
  <c r="I313" i="19" a="1"/>
  <c r="I313" i="19" s="1"/>
  <c r="H313" i="19" a="1"/>
  <c r="H313" i="19" s="1"/>
  <c r="H314" i="19" s="1"/>
  <c r="D310" i="19"/>
  <c r="F309" i="19"/>
  <c r="D309" i="19"/>
  <c r="G307" i="19"/>
  <c r="G309" i="19" s="1"/>
  <c r="F307" i="19"/>
  <c r="F308" i="19" s="1"/>
  <c r="E307" i="19"/>
  <c r="E308" i="19" s="1"/>
  <c r="D307" i="19"/>
  <c r="D308" i="19" s="1"/>
  <c r="G305" i="19"/>
  <c r="G310" i="19" s="1"/>
  <c r="F305" i="19"/>
  <c r="F310" i="19" s="1"/>
  <c r="E305" i="19"/>
  <c r="E310" i="19" s="1"/>
  <c r="D305" i="19"/>
  <c r="G304" i="19"/>
  <c r="F304" i="19"/>
  <c r="E304" i="19"/>
  <c r="D304" i="19"/>
  <c r="G303" i="19"/>
  <c r="F303" i="19"/>
  <c r="E303" i="19"/>
  <c r="D303" i="19"/>
  <c r="M302" i="19" a="1"/>
  <c r="M302" i="19" s="1"/>
  <c r="L302" i="19" a="1"/>
  <c r="L302" i="19" s="1"/>
  <c r="K302" i="19" a="1"/>
  <c r="K302" i="19" s="1"/>
  <c r="J302" i="19" a="1"/>
  <c r="J302" i="19" s="1"/>
  <c r="I302" i="19" a="1"/>
  <c r="I302" i="19" s="1"/>
  <c r="H302" i="19" a="1"/>
  <c r="H302" i="19" s="1"/>
  <c r="D299" i="19"/>
  <c r="G296" i="19"/>
  <c r="G297" i="19" s="1"/>
  <c r="F296" i="19"/>
  <c r="F297" i="19" s="1"/>
  <c r="E296" i="19"/>
  <c r="E298" i="19" s="1"/>
  <c r="D296" i="19"/>
  <c r="D297" i="19" s="1"/>
  <c r="G294" i="19"/>
  <c r="G299" i="19" s="1"/>
  <c r="F294" i="19"/>
  <c r="F299" i="19" s="1"/>
  <c r="E294" i="19"/>
  <c r="E299" i="19" s="1"/>
  <c r="D294" i="19"/>
  <c r="G293" i="19"/>
  <c r="F293" i="19"/>
  <c r="E293" i="19"/>
  <c r="D293" i="19"/>
  <c r="G292" i="19"/>
  <c r="F292" i="19"/>
  <c r="E292" i="19"/>
  <c r="D292" i="19"/>
  <c r="M291" i="19" a="1"/>
  <c r="M291" i="19" s="1"/>
  <c r="L291" i="19" a="1"/>
  <c r="L291" i="19" s="1"/>
  <c r="L293" i="19" s="1"/>
  <c r="K291" i="19" a="1"/>
  <c r="K291" i="19" s="1"/>
  <c r="J291" i="19" a="1"/>
  <c r="J291" i="19" s="1"/>
  <c r="J292" i="19" s="1"/>
  <c r="I291" i="19" a="1"/>
  <c r="I291" i="19" s="1"/>
  <c r="H291" i="19" a="1"/>
  <c r="H291" i="19" s="1"/>
  <c r="G285" i="19"/>
  <c r="G286" i="19" s="1"/>
  <c r="F285" i="19"/>
  <c r="F286" i="19" s="1"/>
  <c r="E285" i="19"/>
  <c r="E287" i="19" s="1"/>
  <c r="D285" i="19"/>
  <c r="D286" i="19" s="1"/>
  <c r="G283" i="19"/>
  <c r="G288" i="19" s="1"/>
  <c r="F283" i="19"/>
  <c r="F288" i="19" s="1"/>
  <c r="E283" i="19"/>
  <c r="E288" i="19" s="1"/>
  <c r="D283" i="19"/>
  <c r="D288" i="19" s="1"/>
  <c r="G282" i="19"/>
  <c r="F282" i="19"/>
  <c r="E282" i="19"/>
  <c r="D282" i="19"/>
  <c r="G281" i="19"/>
  <c r="F281" i="19"/>
  <c r="E281" i="19"/>
  <c r="D281" i="19"/>
  <c r="M280" i="19" a="1"/>
  <c r="M280" i="19" s="1"/>
  <c r="L280" i="19" a="1"/>
  <c r="L280" i="19" s="1"/>
  <c r="K280" i="19" a="1"/>
  <c r="K280" i="19" s="1"/>
  <c r="K281" i="19" s="1"/>
  <c r="J280" i="19" a="1"/>
  <c r="J280" i="19" s="1"/>
  <c r="J281" i="19" s="1"/>
  <c r="I280" i="19" a="1"/>
  <c r="I280" i="19" s="1"/>
  <c r="H280" i="19" a="1"/>
  <c r="H280" i="19" s="1"/>
  <c r="D276" i="19"/>
  <c r="G274" i="19"/>
  <c r="G276" i="19" s="1"/>
  <c r="F274" i="19"/>
  <c r="F275" i="19" s="1"/>
  <c r="E274" i="19"/>
  <c r="E276" i="19" s="1"/>
  <c r="D274" i="19"/>
  <c r="D275" i="19" s="1"/>
  <c r="G272" i="19"/>
  <c r="G277" i="19" s="1"/>
  <c r="F272" i="19"/>
  <c r="F277" i="19" s="1"/>
  <c r="E272" i="19"/>
  <c r="E277" i="19" s="1"/>
  <c r="D272" i="19"/>
  <c r="D277" i="19" s="1"/>
  <c r="G271" i="19"/>
  <c r="F271" i="19"/>
  <c r="E271" i="19"/>
  <c r="D271" i="19"/>
  <c r="G270" i="19"/>
  <c r="F270" i="19"/>
  <c r="E270" i="19"/>
  <c r="D270" i="19"/>
  <c r="M269" i="19" a="1"/>
  <c r="M269" i="19" s="1"/>
  <c r="L269" i="19" a="1"/>
  <c r="L269" i="19" s="1"/>
  <c r="L271" i="19" s="1"/>
  <c r="K269" i="19" a="1"/>
  <c r="K269" i="19" s="1"/>
  <c r="J269" i="19" a="1"/>
  <c r="J269" i="19" s="1"/>
  <c r="I269" i="19" a="1"/>
  <c r="I269" i="19" s="1"/>
  <c r="I271" i="19" s="1"/>
  <c r="H269" i="19" a="1"/>
  <c r="H269" i="19" s="1"/>
  <c r="D266" i="19"/>
  <c r="F265" i="19"/>
  <c r="D265" i="19"/>
  <c r="G264" i="19"/>
  <c r="G263" i="19"/>
  <c r="G265" i="19" s="1"/>
  <c r="F263" i="19"/>
  <c r="F264" i="19" s="1"/>
  <c r="E263" i="19"/>
  <c r="D263" i="19"/>
  <c r="D264" i="19" s="1"/>
  <c r="G261" i="19"/>
  <c r="G266" i="19" s="1"/>
  <c r="F261" i="19"/>
  <c r="F266" i="19" s="1"/>
  <c r="E261" i="19"/>
  <c r="E266" i="19" s="1"/>
  <c r="D261" i="19"/>
  <c r="G260" i="19"/>
  <c r="F260" i="19"/>
  <c r="E260" i="19"/>
  <c r="D260" i="19"/>
  <c r="G259" i="19"/>
  <c r="F259" i="19"/>
  <c r="E259" i="19"/>
  <c r="D259" i="19"/>
  <c r="M258" i="19" a="1"/>
  <c r="M258" i="19" s="1"/>
  <c r="L258" i="19" a="1"/>
  <c r="L258" i="19" s="1"/>
  <c r="L259" i="19" s="1"/>
  <c r="K258" i="19" a="1"/>
  <c r="K258" i="19" s="1"/>
  <c r="K259" i="19" s="1"/>
  <c r="J258" i="19" a="1"/>
  <c r="J258" i="19" s="1"/>
  <c r="I258" i="19" a="1"/>
  <c r="I258" i="19" s="1"/>
  <c r="I259" i="19" s="1"/>
  <c r="H258" i="19" a="1"/>
  <c r="H258" i="19" s="1"/>
  <c r="D255" i="19"/>
  <c r="G253" i="19"/>
  <c r="G252" i="19"/>
  <c r="G254" i="19" s="1"/>
  <c r="F252" i="19"/>
  <c r="F253" i="19" s="1"/>
  <c r="E252" i="19"/>
  <c r="E254" i="19" s="1"/>
  <c r="D252" i="19"/>
  <c r="D254" i="19" s="1"/>
  <c r="G250" i="19"/>
  <c r="G255" i="19" s="1"/>
  <c r="F250" i="19"/>
  <c r="F255" i="19" s="1"/>
  <c r="E250" i="19"/>
  <c r="E255" i="19" s="1"/>
  <c r="D250" i="19"/>
  <c r="G249" i="19"/>
  <c r="F249" i="19"/>
  <c r="E249" i="19"/>
  <c r="D249" i="19"/>
  <c r="G248" i="19"/>
  <c r="F248" i="19"/>
  <c r="E248" i="19"/>
  <c r="D248" i="19"/>
  <c r="M247" i="19" a="1"/>
  <c r="M247" i="19" s="1"/>
  <c r="L247" i="19" a="1"/>
  <c r="L247" i="19" s="1"/>
  <c r="K247" i="19" a="1"/>
  <c r="K247" i="19" s="1"/>
  <c r="K248" i="19" s="1"/>
  <c r="J247" i="19" a="1"/>
  <c r="J247" i="19" s="1"/>
  <c r="J249" i="19" s="1"/>
  <c r="I247" i="19" a="1"/>
  <c r="I247" i="19" s="1"/>
  <c r="I249" i="19" s="1"/>
  <c r="H247" i="19" a="1"/>
  <c r="H247" i="19" s="1"/>
  <c r="F243" i="19"/>
  <c r="F242" i="19"/>
  <c r="G241" i="19"/>
  <c r="G242" i="19" s="1"/>
  <c r="F241" i="19"/>
  <c r="E241" i="19"/>
  <c r="E243" i="19" s="1"/>
  <c r="D241" i="19"/>
  <c r="D243" i="19" s="1"/>
  <c r="G239" i="19"/>
  <c r="G244" i="19" s="1"/>
  <c r="F239" i="19"/>
  <c r="F244" i="19" s="1"/>
  <c r="E239" i="19"/>
  <c r="E244" i="19" s="1"/>
  <c r="D239" i="19"/>
  <c r="D244" i="19" s="1"/>
  <c r="G238" i="19"/>
  <c r="F238" i="19"/>
  <c r="E238" i="19"/>
  <c r="D238" i="19"/>
  <c r="G237" i="19"/>
  <c r="F237" i="19"/>
  <c r="E237" i="19"/>
  <c r="D237" i="19"/>
  <c r="M236" i="19" a="1"/>
  <c r="M236" i="19" s="1"/>
  <c r="L236" i="19" a="1"/>
  <c r="L236" i="19" s="1"/>
  <c r="K236" i="19" a="1"/>
  <c r="K236" i="19" s="1"/>
  <c r="K238" i="19" s="1"/>
  <c r="J236" i="19" a="1"/>
  <c r="J236" i="19" s="1"/>
  <c r="J237" i="19" s="1"/>
  <c r="I236" i="19" a="1"/>
  <c r="I236" i="19" s="1"/>
  <c r="I238" i="19" s="1"/>
  <c r="H236" i="19" a="1"/>
  <c r="H236" i="19" s="1"/>
  <c r="H238" i="19" s="1"/>
  <c r="G230" i="19"/>
  <c r="G232" i="19" s="1"/>
  <c r="F230" i="19"/>
  <c r="F231" i="19" s="1"/>
  <c r="E230" i="19"/>
  <c r="E232" i="19" s="1"/>
  <c r="D230" i="19"/>
  <c r="D232" i="19" s="1"/>
  <c r="G228" i="19"/>
  <c r="G233" i="19" s="1"/>
  <c r="F228" i="19"/>
  <c r="F233" i="19" s="1"/>
  <c r="E228" i="19"/>
  <c r="E233" i="19" s="1"/>
  <c r="D228" i="19"/>
  <c r="D233" i="19" s="1"/>
  <c r="G227" i="19"/>
  <c r="F227" i="19"/>
  <c r="E227" i="19"/>
  <c r="D227" i="19"/>
  <c r="G226" i="19"/>
  <c r="F226" i="19"/>
  <c r="E226" i="19"/>
  <c r="D226" i="19"/>
  <c r="M225" i="19" a="1"/>
  <c r="M225" i="19" s="1"/>
  <c r="L225" i="19" a="1"/>
  <c r="L225" i="19" s="1"/>
  <c r="K225" i="19" a="1"/>
  <c r="K225" i="19" s="1"/>
  <c r="J225" i="19" a="1"/>
  <c r="J225" i="19" s="1"/>
  <c r="J226" i="19" s="1"/>
  <c r="I225" i="19" a="1"/>
  <c r="I225" i="19" s="1"/>
  <c r="H225" i="19" a="1"/>
  <c r="H225" i="19" s="1"/>
  <c r="G221" i="19"/>
  <c r="E221" i="19"/>
  <c r="D221" i="19"/>
  <c r="G219" i="19"/>
  <c r="G220" i="19" s="1"/>
  <c r="F219" i="19"/>
  <c r="F220" i="19" s="1"/>
  <c r="E219" i="19"/>
  <c r="E220" i="19" s="1"/>
  <c r="D219" i="19"/>
  <c r="D220" i="19" s="1"/>
  <c r="G217" i="19"/>
  <c r="G222" i="19" s="1"/>
  <c r="F217" i="19"/>
  <c r="F222" i="19" s="1"/>
  <c r="E217" i="19"/>
  <c r="E222" i="19" s="1"/>
  <c r="D217" i="19"/>
  <c r="D222" i="19" s="1"/>
  <c r="G216" i="19"/>
  <c r="F216" i="19"/>
  <c r="E216" i="19"/>
  <c r="D216" i="19"/>
  <c r="G215" i="19"/>
  <c r="F215" i="19"/>
  <c r="E215" i="19"/>
  <c r="D215" i="19"/>
  <c r="M214" i="19" a="1"/>
  <c r="M214" i="19" s="1"/>
  <c r="L214" i="19" a="1"/>
  <c r="L214" i="19" s="1"/>
  <c r="L216" i="19" s="1"/>
  <c r="K214" i="19" a="1"/>
  <c r="K214" i="19" s="1"/>
  <c r="K215" i="19" s="1"/>
  <c r="J214" i="19" a="1"/>
  <c r="J214" i="19" s="1"/>
  <c r="I214" i="19" a="1"/>
  <c r="I214" i="19" s="1"/>
  <c r="H214" i="19" a="1"/>
  <c r="H214" i="19" s="1"/>
  <c r="H215" i="19" s="1"/>
  <c r="E211" i="19"/>
  <c r="G208" i="19"/>
  <c r="G209" i="19" s="1"/>
  <c r="F208" i="19"/>
  <c r="F209" i="19" s="1"/>
  <c r="E208" i="19"/>
  <c r="E209" i="19" s="1"/>
  <c r="D208" i="19"/>
  <c r="D209" i="19" s="1"/>
  <c r="G206" i="19"/>
  <c r="G211" i="19" s="1"/>
  <c r="F206" i="19"/>
  <c r="F211" i="19" s="1"/>
  <c r="E206" i="19"/>
  <c r="D206" i="19"/>
  <c r="D211" i="19" s="1"/>
  <c r="G205" i="19"/>
  <c r="F205" i="19"/>
  <c r="E205" i="19"/>
  <c r="D205" i="19"/>
  <c r="G204" i="19"/>
  <c r="F204" i="19"/>
  <c r="E204" i="19"/>
  <c r="D204" i="19"/>
  <c r="M203" i="19" a="1"/>
  <c r="M203" i="19" s="1"/>
  <c r="L203" i="19" a="1"/>
  <c r="L203" i="19" s="1"/>
  <c r="K203" i="19" a="1"/>
  <c r="K203" i="19" s="1"/>
  <c r="K205" i="19" s="1"/>
  <c r="J203" i="19" a="1"/>
  <c r="J203" i="19" s="1"/>
  <c r="I203" i="19" a="1"/>
  <c r="I203" i="19" s="1"/>
  <c r="H203" i="19" a="1"/>
  <c r="H203" i="19" s="1"/>
  <c r="H204" i="19" s="1"/>
  <c r="E200" i="19"/>
  <c r="G197" i="19"/>
  <c r="G199" i="19" s="1"/>
  <c r="F197" i="19"/>
  <c r="F198" i="19" s="1"/>
  <c r="E197" i="19"/>
  <c r="E199" i="19" s="1"/>
  <c r="D197" i="19"/>
  <c r="D199" i="19" s="1"/>
  <c r="G195" i="19"/>
  <c r="G200" i="19" s="1"/>
  <c r="F195" i="19"/>
  <c r="F200" i="19" s="1"/>
  <c r="E195" i="19"/>
  <c r="D195" i="19"/>
  <c r="D200" i="19" s="1"/>
  <c r="G194" i="19"/>
  <c r="F194" i="19"/>
  <c r="E194" i="19"/>
  <c r="D194" i="19"/>
  <c r="G193" i="19"/>
  <c r="F193" i="19"/>
  <c r="E193" i="19"/>
  <c r="D193" i="19"/>
  <c r="M192" i="19" a="1"/>
  <c r="M192" i="19" s="1"/>
  <c r="L192" i="19" a="1"/>
  <c r="L192" i="19" s="1"/>
  <c r="K192" i="19" a="1"/>
  <c r="K192" i="19" s="1"/>
  <c r="J192" i="19" a="1"/>
  <c r="J192" i="19" s="1"/>
  <c r="J194" i="19" s="1"/>
  <c r="I192" i="19" a="1"/>
  <c r="I192" i="19" s="1"/>
  <c r="H192" i="19" a="1"/>
  <c r="H192" i="19" s="1"/>
  <c r="D189" i="19"/>
  <c r="G188" i="19"/>
  <c r="F188" i="19"/>
  <c r="D188" i="19"/>
  <c r="G186" i="19"/>
  <c r="G187" i="19" s="1"/>
  <c r="F186" i="19"/>
  <c r="F187" i="19" s="1"/>
  <c r="E186" i="19"/>
  <c r="D186" i="19"/>
  <c r="D187" i="19" s="1"/>
  <c r="G184" i="19"/>
  <c r="G189" i="19" s="1"/>
  <c r="F184" i="19"/>
  <c r="F189" i="19" s="1"/>
  <c r="E184" i="19"/>
  <c r="E189" i="19" s="1"/>
  <c r="D184" i="19"/>
  <c r="G183" i="19"/>
  <c r="F183" i="19"/>
  <c r="E183" i="19"/>
  <c r="D183" i="19"/>
  <c r="G182" i="19"/>
  <c r="F182" i="19"/>
  <c r="E182" i="19"/>
  <c r="D182" i="19"/>
  <c r="M181" i="19" a="1"/>
  <c r="M181" i="19" s="1"/>
  <c r="L181" i="19" a="1"/>
  <c r="L181" i="19" s="1"/>
  <c r="K181" i="19" a="1"/>
  <c r="K181" i="19" s="1"/>
  <c r="J181" i="19" a="1"/>
  <c r="J181" i="19" s="1"/>
  <c r="I181" i="19" a="1"/>
  <c r="I181" i="19" s="1"/>
  <c r="H181" i="19" a="1"/>
  <c r="H181" i="19" s="1"/>
  <c r="E178" i="19"/>
  <c r="D177" i="19"/>
  <c r="D176" i="19"/>
  <c r="G175" i="19"/>
  <c r="G176" i="19" s="1"/>
  <c r="F175" i="19"/>
  <c r="F177" i="19" s="1"/>
  <c r="E175" i="19"/>
  <c r="E176" i="19" s="1"/>
  <c r="D175" i="19"/>
  <c r="G173" i="19"/>
  <c r="G178" i="19" s="1"/>
  <c r="F173" i="19"/>
  <c r="F178" i="19" s="1"/>
  <c r="E173" i="19"/>
  <c r="D173" i="19"/>
  <c r="D178" i="19" s="1"/>
  <c r="G172" i="19"/>
  <c r="F172" i="19"/>
  <c r="E172" i="19"/>
  <c r="D172" i="19"/>
  <c r="G171" i="19"/>
  <c r="F171" i="19"/>
  <c r="E171" i="19"/>
  <c r="D171" i="19"/>
  <c r="M170" i="19" a="1"/>
  <c r="M170" i="19" s="1"/>
  <c r="L170" i="19" a="1"/>
  <c r="L170" i="19" s="1"/>
  <c r="L172" i="19" s="1"/>
  <c r="K170" i="19" a="1"/>
  <c r="K170" i="19" s="1"/>
  <c r="J170" i="19" a="1"/>
  <c r="J170" i="19" s="1"/>
  <c r="J171" i="19" s="1"/>
  <c r="I170" i="19" a="1"/>
  <c r="I170" i="19" s="1"/>
  <c r="AR48" i="19" s="1"/>
  <c r="AS48" i="19" s="1"/>
  <c r="T170" i="19" s="1"/>
  <c r="H170" i="19" a="1"/>
  <c r="H170" i="19" s="1"/>
  <c r="E166" i="19"/>
  <c r="E165" i="19"/>
  <c r="G164" i="19"/>
  <c r="F164" i="19"/>
  <c r="F166" i="19" s="1"/>
  <c r="E164" i="19"/>
  <c r="D164" i="19"/>
  <c r="G162" i="19"/>
  <c r="G167" i="19" s="1"/>
  <c r="F162" i="19"/>
  <c r="F167" i="19" s="1"/>
  <c r="E162" i="19"/>
  <c r="E167" i="19" s="1"/>
  <c r="D162" i="19"/>
  <c r="D167" i="19" s="1"/>
  <c r="G161" i="19"/>
  <c r="F161" i="19"/>
  <c r="E161" i="19"/>
  <c r="D161" i="19"/>
  <c r="G160" i="19"/>
  <c r="F160" i="19"/>
  <c r="E160" i="19"/>
  <c r="D160" i="19"/>
  <c r="M159" i="19" a="1"/>
  <c r="M159" i="19" s="1"/>
  <c r="L159" i="19" a="1"/>
  <c r="L159" i="19" s="1"/>
  <c r="K159" i="19" a="1"/>
  <c r="K159" i="19" s="1"/>
  <c r="AR47" i="19" s="1"/>
  <c r="AS47" i="19" s="1"/>
  <c r="AB159" i="19" s="1"/>
  <c r="J159" i="19" a="1"/>
  <c r="J159" i="19" s="1"/>
  <c r="I159" i="19" a="1"/>
  <c r="I159" i="19" s="1"/>
  <c r="H159" i="19" a="1"/>
  <c r="H159" i="19" s="1"/>
  <c r="H161" i="19" s="1"/>
  <c r="G153" i="19"/>
  <c r="G154" i="19" s="1"/>
  <c r="F153" i="19"/>
  <c r="F155" i="19" s="1"/>
  <c r="E153" i="19"/>
  <c r="E154" i="19" s="1"/>
  <c r="D153" i="19"/>
  <c r="D155" i="19" s="1"/>
  <c r="G151" i="19"/>
  <c r="G156" i="19" s="1"/>
  <c r="F151" i="19"/>
  <c r="F156" i="19" s="1"/>
  <c r="E151" i="19"/>
  <c r="E156" i="19" s="1"/>
  <c r="D151" i="19"/>
  <c r="D156" i="19" s="1"/>
  <c r="G150" i="19"/>
  <c r="F150" i="19"/>
  <c r="E150" i="19"/>
  <c r="D150" i="19"/>
  <c r="G149" i="19"/>
  <c r="F149" i="19"/>
  <c r="E149" i="19"/>
  <c r="D149" i="19"/>
  <c r="M148" i="19" a="1"/>
  <c r="M148" i="19" s="1"/>
  <c r="L148" i="19" a="1"/>
  <c r="L148" i="19" s="1"/>
  <c r="L149" i="19" s="1"/>
  <c r="K148" i="19" a="1"/>
  <c r="K148" i="19" s="1"/>
  <c r="J148" i="19" a="1"/>
  <c r="J148" i="19" s="1"/>
  <c r="I148" i="19" a="1"/>
  <c r="I148" i="19" s="1"/>
  <c r="I150" i="19" s="1"/>
  <c r="H148" i="19" a="1"/>
  <c r="H148" i="19" s="1"/>
  <c r="AR41" i="19" s="1"/>
  <c r="AS41" i="19" s="1"/>
  <c r="P148" i="19" s="1"/>
  <c r="E144" i="19"/>
  <c r="G143" i="19"/>
  <c r="E143" i="19"/>
  <c r="G142" i="19"/>
  <c r="G144" i="19" s="1"/>
  <c r="F142" i="19"/>
  <c r="F143" i="19" s="1"/>
  <c r="E142" i="19"/>
  <c r="D142" i="19"/>
  <c r="G140" i="19"/>
  <c r="G145" i="19" s="1"/>
  <c r="F140" i="19"/>
  <c r="F145" i="19" s="1"/>
  <c r="E140" i="19"/>
  <c r="E145" i="19" s="1"/>
  <c r="D140" i="19"/>
  <c r="D145" i="19" s="1"/>
  <c r="G139" i="19"/>
  <c r="F139" i="19"/>
  <c r="E139" i="19"/>
  <c r="D139" i="19"/>
  <c r="G138" i="19"/>
  <c r="F138" i="19"/>
  <c r="E138" i="19"/>
  <c r="D138" i="19"/>
  <c r="M137" i="19" a="1"/>
  <c r="M137" i="19" s="1"/>
  <c r="L137" i="19" a="1"/>
  <c r="L137" i="19" s="1"/>
  <c r="K137" i="19" a="1"/>
  <c r="K137" i="19" s="1"/>
  <c r="J137" i="19" a="1"/>
  <c r="J137" i="19" s="1"/>
  <c r="I137" i="19" a="1"/>
  <c r="I137" i="19" s="1"/>
  <c r="AR37" i="19" s="1"/>
  <c r="AS37" i="19" s="1"/>
  <c r="T137" i="19" s="1"/>
  <c r="H137" i="19" a="1"/>
  <c r="H137" i="19" s="1"/>
  <c r="H139" i="19" s="1"/>
  <c r="E134" i="19"/>
  <c r="G133" i="19"/>
  <c r="G131" i="19"/>
  <c r="G132" i="19" s="1"/>
  <c r="F131" i="19"/>
  <c r="F133" i="19" s="1"/>
  <c r="E131" i="19"/>
  <c r="E133" i="19" s="1"/>
  <c r="D131" i="19"/>
  <c r="D132" i="19" s="1"/>
  <c r="G129" i="19"/>
  <c r="G134" i="19" s="1"/>
  <c r="F129" i="19"/>
  <c r="F134" i="19" s="1"/>
  <c r="E129" i="19"/>
  <c r="D129" i="19"/>
  <c r="D134" i="19" s="1"/>
  <c r="G128" i="19"/>
  <c r="F128" i="19"/>
  <c r="E128" i="19"/>
  <c r="D128" i="19"/>
  <c r="G127" i="19"/>
  <c r="F127" i="19"/>
  <c r="E127" i="19"/>
  <c r="D127" i="19"/>
  <c r="M126" i="19" a="1"/>
  <c r="M126" i="19" s="1"/>
  <c r="L126" i="19" a="1"/>
  <c r="L126" i="19" s="1"/>
  <c r="K126" i="19" a="1"/>
  <c r="K126" i="19" s="1"/>
  <c r="K127" i="19" s="1"/>
  <c r="J126" i="19" a="1"/>
  <c r="J126" i="19" s="1"/>
  <c r="I126" i="19" a="1"/>
  <c r="I126" i="19" s="1"/>
  <c r="I127" i="19" s="1"/>
  <c r="T128" i="19" s="1"/>
  <c r="U128" i="19" s="1"/>
  <c r="H126" i="19" a="1"/>
  <c r="H126" i="19" s="1"/>
  <c r="H128" i="19" s="1"/>
  <c r="G120" i="19"/>
  <c r="G122" i="19" s="1"/>
  <c r="F120" i="19"/>
  <c r="F121" i="19" s="1"/>
  <c r="E120" i="19"/>
  <c r="E122" i="19" s="1"/>
  <c r="D120" i="19"/>
  <c r="D122" i="19" s="1"/>
  <c r="G118" i="19"/>
  <c r="G123" i="19" s="1"/>
  <c r="F118" i="19"/>
  <c r="F123" i="19" s="1"/>
  <c r="E118" i="19"/>
  <c r="E123" i="19" s="1"/>
  <c r="D118" i="19"/>
  <c r="D123" i="19" s="1"/>
  <c r="G117" i="19"/>
  <c r="F117" i="19"/>
  <c r="E117" i="19"/>
  <c r="D117" i="19"/>
  <c r="G116" i="19"/>
  <c r="F116" i="19"/>
  <c r="E116" i="19"/>
  <c r="D116" i="19"/>
  <c r="M115" i="19" a="1"/>
  <c r="M115" i="19" s="1"/>
  <c r="L115" i="19" a="1"/>
  <c r="L115" i="19" s="1"/>
  <c r="K115" i="19" a="1"/>
  <c r="K115" i="19" s="1"/>
  <c r="J115" i="19" a="1"/>
  <c r="J115" i="19" s="1"/>
  <c r="I115" i="19" a="1"/>
  <c r="I115" i="19" s="1"/>
  <c r="H115" i="19" a="1"/>
  <c r="H115" i="19" s="1"/>
  <c r="H117" i="19" s="1"/>
  <c r="G109" i="19"/>
  <c r="G110" i="19" s="1"/>
  <c r="F109" i="19"/>
  <c r="F111" i="19" s="1"/>
  <c r="E109" i="19"/>
  <c r="E110" i="19" s="1"/>
  <c r="D109" i="19"/>
  <c r="D110" i="19" s="1"/>
  <c r="G107" i="19"/>
  <c r="G112" i="19" s="1"/>
  <c r="F107" i="19"/>
  <c r="F112" i="19" s="1"/>
  <c r="E107" i="19"/>
  <c r="E112" i="19" s="1"/>
  <c r="D107" i="19"/>
  <c r="D112" i="19" s="1"/>
  <c r="G106" i="19"/>
  <c r="F106" i="19"/>
  <c r="E106" i="19"/>
  <c r="D106" i="19"/>
  <c r="G105" i="19"/>
  <c r="F105" i="19"/>
  <c r="E105" i="19"/>
  <c r="D105" i="19"/>
  <c r="M104" i="19" a="1"/>
  <c r="M104" i="19" s="1"/>
  <c r="L104" i="19" a="1"/>
  <c r="L104" i="19" s="1"/>
  <c r="K104" i="19" a="1"/>
  <c r="K104" i="19" s="1"/>
  <c r="J104" i="19" a="1"/>
  <c r="J104" i="19" s="1"/>
  <c r="I104" i="19" a="1"/>
  <c r="I104" i="19" s="1"/>
  <c r="H104" i="19" a="1"/>
  <c r="H104" i="19" s="1"/>
  <c r="F99" i="19"/>
  <c r="E99" i="19"/>
  <c r="G98" i="19"/>
  <c r="F98" i="19"/>
  <c r="F100" i="19" s="1"/>
  <c r="E98" i="19"/>
  <c r="E100" i="19" s="1"/>
  <c r="D98" i="19"/>
  <c r="D99" i="19" s="1"/>
  <c r="G96" i="19"/>
  <c r="G101" i="19" s="1"/>
  <c r="F96" i="19"/>
  <c r="F101" i="19" s="1"/>
  <c r="E96" i="19"/>
  <c r="E101" i="19" s="1"/>
  <c r="D96" i="19"/>
  <c r="D101" i="19" s="1"/>
  <c r="G95" i="19"/>
  <c r="F95" i="19"/>
  <c r="E95" i="19"/>
  <c r="D95" i="19"/>
  <c r="G94" i="19"/>
  <c r="F94" i="19"/>
  <c r="E94" i="19"/>
  <c r="D94" i="19"/>
  <c r="L93" i="19" a="1"/>
  <c r="L93" i="19" s="1"/>
  <c r="K93" i="19" a="1"/>
  <c r="K93" i="19" s="1"/>
  <c r="J93" i="19" a="1"/>
  <c r="J93" i="19" s="1"/>
  <c r="I93" i="19" a="1"/>
  <c r="I93" i="19" s="1"/>
  <c r="H93" i="19" a="1"/>
  <c r="H93" i="19" s="1"/>
  <c r="D88" i="19"/>
  <c r="G87" i="19"/>
  <c r="F87" i="19"/>
  <c r="F89" i="19" s="1"/>
  <c r="E87" i="19"/>
  <c r="E89" i="19" s="1"/>
  <c r="D87" i="19"/>
  <c r="D89" i="19" s="1"/>
  <c r="G85" i="19"/>
  <c r="G90" i="19" s="1"/>
  <c r="F85" i="19"/>
  <c r="F90" i="19" s="1"/>
  <c r="E85" i="19"/>
  <c r="E90" i="19" s="1"/>
  <c r="D85" i="19"/>
  <c r="D90" i="19" s="1"/>
  <c r="G84" i="19"/>
  <c r="F84" i="19"/>
  <c r="E84" i="19"/>
  <c r="D84" i="19"/>
  <c r="G83" i="19"/>
  <c r="F83" i="19"/>
  <c r="E83" i="19"/>
  <c r="D83" i="19"/>
  <c r="M82" i="19" a="1"/>
  <c r="M82" i="19" s="1"/>
  <c r="L82" i="19" a="1"/>
  <c r="L82" i="19" s="1"/>
  <c r="L83" i="19" s="1"/>
  <c r="AF90" i="19" s="1"/>
  <c r="AG90" i="19" s="1"/>
  <c r="K82" i="19" a="1"/>
  <c r="K82" i="19" s="1"/>
  <c r="K83" i="19" s="1"/>
  <c r="J82" i="19" a="1"/>
  <c r="J82" i="19" s="1"/>
  <c r="J84" i="19" s="1"/>
  <c r="I82" i="19" a="1"/>
  <c r="I82" i="19" s="1"/>
  <c r="H82" i="19" a="1"/>
  <c r="H82" i="19" s="1"/>
  <c r="H84" i="19" s="1"/>
  <c r="E78" i="19"/>
  <c r="G77" i="19"/>
  <c r="G76" i="19"/>
  <c r="G78" i="19" s="1"/>
  <c r="F76" i="19"/>
  <c r="F78" i="19" s="1"/>
  <c r="E76" i="19"/>
  <c r="E77" i="19" s="1"/>
  <c r="D76" i="19"/>
  <c r="G74" i="19"/>
  <c r="G79" i="19" s="1"/>
  <c r="F74" i="19"/>
  <c r="F79" i="19" s="1"/>
  <c r="E74" i="19"/>
  <c r="E79" i="19" s="1"/>
  <c r="D74" i="19"/>
  <c r="D79" i="19" s="1"/>
  <c r="G73" i="19"/>
  <c r="F73" i="19"/>
  <c r="E73" i="19"/>
  <c r="D73" i="19"/>
  <c r="G72" i="19"/>
  <c r="F72" i="19"/>
  <c r="E72" i="19"/>
  <c r="D72" i="19"/>
  <c r="M71" i="19" a="1"/>
  <c r="M71" i="19" s="1"/>
  <c r="L71" i="19" a="1"/>
  <c r="L71" i="19" s="1"/>
  <c r="K71" i="19" a="1"/>
  <c r="K71" i="19" s="1"/>
  <c r="J71" i="19" a="1"/>
  <c r="J71" i="19" s="1"/>
  <c r="I71" i="19" a="1"/>
  <c r="I71" i="19" s="1"/>
  <c r="I72" i="19" s="1"/>
  <c r="H71" i="19" a="1"/>
  <c r="H71" i="19" s="1"/>
  <c r="B70" i="19"/>
  <c r="B69" i="19"/>
  <c r="E67" i="19"/>
  <c r="D66" i="19"/>
  <c r="G65" i="19"/>
  <c r="G66" i="19" s="1"/>
  <c r="F65" i="19"/>
  <c r="F66" i="19" s="1"/>
  <c r="E65" i="19"/>
  <c r="E66" i="19" s="1"/>
  <c r="D65" i="19"/>
  <c r="D67" i="19" s="1"/>
  <c r="G63" i="19"/>
  <c r="G68" i="19" s="1"/>
  <c r="F63" i="19"/>
  <c r="F68" i="19" s="1"/>
  <c r="E63" i="19"/>
  <c r="E68" i="19" s="1"/>
  <c r="D63" i="19"/>
  <c r="D68" i="19" s="1"/>
  <c r="G62" i="19"/>
  <c r="F62" i="19"/>
  <c r="E62" i="19"/>
  <c r="D62" i="19"/>
  <c r="G61" i="19"/>
  <c r="F61" i="19"/>
  <c r="E61" i="19"/>
  <c r="D61" i="19"/>
  <c r="M60" i="19" a="1"/>
  <c r="M60" i="19" s="1"/>
  <c r="L60" i="19" a="1"/>
  <c r="L60" i="19" s="1"/>
  <c r="M58" i="19" s="1"/>
  <c r="K60" i="19" a="1"/>
  <c r="K60" i="19" s="1"/>
  <c r="J60" i="19" a="1"/>
  <c r="J60" i="19" s="1"/>
  <c r="I60" i="19" a="1"/>
  <c r="I60" i="19" s="1"/>
  <c r="I61" i="19" s="1"/>
  <c r="T64" i="19" s="1"/>
  <c r="U64" i="19" s="1"/>
  <c r="H60" i="19" a="1"/>
  <c r="H60" i="19" s="1"/>
  <c r="D57" i="19"/>
  <c r="G54" i="19"/>
  <c r="F54" i="19"/>
  <c r="F56" i="19" s="1"/>
  <c r="E54" i="19"/>
  <c r="E55" i="19" s="1"/>
  <c r="D54" i="19"/>
  <c r="D55" i="19" s="1"/>
  <c r="G52" i="19"/>
  <c r="G57" i="19" s="1"/>
  <c r="F52" i="19"/>
  <c r="F57" i="19" s="1"/>
  <c r="E52" i="19"/>
  <c r="E57" i="19" s="1"/>
  <c r="D52" i="19"/>
  <c r="G51" i="19"/>
  <c r="F51" i="19"/>
  <c r="E51" i="19"/>
  <c r="D51" i="19"/>
  <c r="G50" i="19"/>
  <c r="F50" i="19"/>
  <c r="E50" i="19"/>
  <c r="D50" i="19"/>
  <c r="M49" i="19" a="1"/>
  <c r="M49" i="19" s="1"/>
  <c r="L49" i="19" a="1"/>
  <c r="L49" i="19" s="1"/>
  <c r="K49" i="19" a="1"/>
  <c r="K49" i="19" s="1"/>
  <c r="J49" i="19" a="1"/>
  <c r="J49" i="19" s="1"/>
  <c r="I49" i="19" a="1"/>
  <c r="I49" i="19" s="1"/>
  <c r="H49" i="19" a="1"/>
  <c r="H49" i="19" s="1"/>
  <c r="H51" i="19" s="1"/>
  <c r="F45" i="19"/>
  <c r="D45" i="19"/>
  <c r="G43" i="19"/>
  <c r="F43" i="19"/>
  <c r="F44" i="19" s="1"/>
  <c r="E43" i="19"/>
  <c r="E45" i="19" s="1"/>
  <c r="D43" i="19"/>
  <c r="D44" i="19" s="1"/>
  <c r="G41" i="19"/>
  <c r="G46" i="19" s="1"/>
  <c r="F41" i="19"/>
  <c r="F46" i="19" s="1"/>
  <c r="E41" i="19"/>
  <c r="E46" i="19" s="1"/>
  <c r="D41" i="19"/>
  <c r="D46" i="19" s="1"/>
  <c r="G40" i="19"/>
  <c r="F40" i="19"/>
  <c r="E40" i="19"/>
  <c r="D40" i="19"/>
  <c r="G39" i="19"/>
  <c r="F39" i="19"/>
  <c r="E39" i="19"/>
  <c r="D39" i="19"/>
  <c r="M38" i="19" a="1"/>
  <c r="M38" i="19" s="1"/>
  <c r="L38" i="19" a="1"/>
  <c r="L38" i="19" s="1"/>
  <c r="L40" i="19" s="1"/>
  <c r="K38" i="19" a="1"/>
  <c r="K38" i="19" s="1"/>
  <c r="K39" i="19" s="1"/>
  <c r="AB41" i="19" s="1"/>
  <c r="AC41" i="19" s="1"/>
  <c r="J38" i="19" a="1"/>
  <c r="J38" i="19" s="1"/>
  <c r="J40" i="19" s="1"/>
  <c r="I38" i="19" a="1"/>
  <c r="I38" i="19" s="1"/>
  <c r="H38" i="19" a="1"/>
  <c r="H38" i="19" s="1"/>
  <c r="H39" i="19" s="1"/>
  <c r="P44" i="19" s="1"/>
  <c r="Q44" i="19" s="1"/>
  <c r="G32" i="19"/>
  <c r="G34" i="19" s="1"/>
  <c r="F32" i="19"/>
  <c r="E32" i="19"/>
  <c r="D32" i="19"/>
  <c r="D33" i="19" s="1"/>
  <c r="G30" i="19"/>
  <c r="G35" i="19" s="1"/>
  <c r="F30" i="19"/>
  <c r="F35" i="19" s="1"/>
  <c r="E30" i="19"/>
  <c r="E35" i="19" s="1"/>
  <c r="D30" i="19"/>
  <c r="D35" i="19" s="1"/>
  <c r="G29" i="19"/>
  <c r="F29" i="19"/>
  <c r="E29" i="19"/>
  <c r="D29" i="19"/>
  <c r="G28" i="19"/>
  <c r="F28" i="19"/>
  <c r="E28" i="19"/>
  <c r="D28" i="19"/>
  <c r="M27" i="19" a="1"/>
  <c r="M27" i="19" s="1"/>
  <c r="L27" i="19" a="1"/>
  <c r="L27" i="19" s="1"/>
  <c r="K27" i="19" a="1"/>
  <c r="K27" i="19" s="1"/>
  <c r="J27" i="19" a="1"/>
  <c r="J27" i="19" s="1"/>
  <c r="J28" i="19" s="1"/>
  <c r="X28" i="19" s="1"/>
  <c r="Y28" i="19" s="1"/>
  <c r="I27" i="19" a="1"/>
  <c r="I27" i="19" s="1"/>
  <c r="I28" i="19" s="1"/>
  <c r="H27" i="19" a="1"/>
  <c r="H27" i="19" s="1"/>
  <c r="H28" i="19" s="1"/>
  <c r="P31" i="19" s="1"/>
  <c r="Q31" i="19" s="1"/>
  <c r="E23" i="19"/>
  <c r="E22" i="19"/>
  <c r="D22" i="19"/>
  <c r="G21" i="19"/>
  <c r="G22" i="19" s="1"/>
  <c r="F21" i="19"/>
  <c r="F22" i="19" s="1"/>
  <c r="E21" i="19"/>
  <c r="D21" i="19"/>
  <c r="D23" i="19" s="1"/>
  <c r="G19" i="19"/>
  <c r="G24" i="19" s="1"/>
  <c r="F19" i="19"/>
  <c r="F24" i="19" s="1"/>
  <c r="E19" i="19"/>
  <c r="E24" i="19" s="1"/>
  <c r="D19" i="19"/>
  <c r="D24" i="19" s="1"/>
  <c r="G18" i="19"/>
  <c r="F18" i="19"/>
  <c r="E18" i="19"/>
  <c r="D18" i="19"/>
  <c r="G17" i="19"/>
  <c r="F17" i="19"/>
  <c r="E17" i="19"/>
  <c r="D17" i="19"/>
  <c r="BH16" i="19"/>
  <c r="BH17" i="19" s="1"/>
  <c r="BH18" i="19" s="1"/>
  <c r="BH19" i="19" s="1"/>
  <c r="BH20" i="19" s="1"/>
  <c r="BH21" i="19" s="1"/>
  <c r="BH22" i="19" s="1"/>
  <c r="BH23" i="19" s="1"/>
  <c r="BH24" i="19" s="1"/>
  <c r="BH25" i="19" s="1"/>
  <c r="BH26" i="19" s="1"/>
  <c r="BH27" i="19" s="1"/>
  <c r="BH28" i="19" s="1"/>
  <c r="BH29" i="19" s="1"/>
  <c r="BH30" i="19" s="1"/>
  <c r="BH31" i="19" s="1"/>
  <c r="BH32" i="19" s="1"/>
  <c r="BH33" i="19" s="1"/>
  <c r="BH34" i="19" s="1"/>
  <c r="BH35" i="19" s="1"/>
  <c r="BH36" i="19" s="1"/>
  <c r="BH37" i="19" s="1"/>
  <c r="BH38" i="19" s="1"/>
  <c r="BH39" i="19" s="1"/>
  <c r="BH40" i="19" s="1"/>
  <c r="BH41" i="19" s="1"/>
  <c r="BH42" i="19" s="1"/>
  <c r="BH43" i="19" s="1"/>
  <c r="BH44" i="19" s="1"/>
  <c r="L16" i="19" a="1"/>
  <c r="L16" i="19" s="1"/>
  <c r="K16" i="19" a="1"/>
  <c r="K16" i="19" s="1"/>
  <c r="K17" i="19" s="1"/>
  <c r="J16" i="19" a="1"/>
  <c r="J16" i="19" s="1"/>
  <c r="J17" i="19" s="1"/>
  <c r="X21" i="19" s="1"/>
  <c r="Y21" i="19" s="1"/>
  <c r="I16" i="19" a="1"/>
  <c r="I16" i="19" s="1"/>
  <c r="H16" i="19" a="1"/>
  <c r="H16" i="19" s="1"/>
  <c r="H18" i="19" s="1"/>
  <c r="BH15" i="19"/>
  <c r="BE15" i="19"/>
  <c r="BI14" i="19"/>
  <c r="B13" i="19"/>
  <c r="G10" i="19"/>
  <c r="G12" i="19" s="1"/>
  <c r="F10" i="19"/>
  <c r="F11" i="19" s="1"/>
  <c r="E10" i="19"/>
  <c r="E12" i="19" s="1"/>
  <c r="D10" i="19"/>
  <c r="D12" i="19" s="1"/>
  <c r="G8" i="19"/>
  <c r="G13" i="19" s="1"/>
  <c r="F8" i="19"/>
  <c r="F13" i="19" s="1"/>
  <c r="E8" i="19"/>
  <c r="E13" i="19" s="1"/>
  <c r="D8" i="19"/>
  <c r="D13" i="19" s="1"/>
  <c r="G7" i="19"/>
  <c r="F7" i="19"/>
  <c r="E7" i="19"/>
  <c r="D7" i="19"/>
  <c r="G6" i="19"/>
  <c r="F6" i="19"/>
  <c r="E6" i="19"/>
  <c r="D6" i="19"/>
  <c r="M5" i="19" a="1"/>
  <c r="M5" i="19" s="1"/>
  <c r="L5" i="19" a="1"/>
  <c r="L5" i="19" s="1"/>
  <c r="K5" i="19" a="1"/>
  <c r="K5" i="19" s="1"/>
  <c r="J5" i="19" a="1"/>
  <c r="J5" i="19" s="1"/>
  <c r="I5" i="19" a="1"/>
  <c r="I5" i="19" s="1"/>
  <c r="I6" i="19" s="1"/>
  <c r="T8" i="19" s="1"/>
  <c r="U8" i="19" s="1"/>
  <c r="H5" i="19" a="1"/>
  <c r="H5" i="19" s="1"/>
  <c r="G1" i="19"/>
  <c r="F1" i="19"/>
  <c r="H76" i="19" l="1"/>
  <c r="I76" i="19"/>
  <c r="J76" i="19"/>
  <c r="G434" i="19"/>
  <c r="E654" i="19"/>
  <c r="E659" i="19" s="1"/>
  <c r="E660" i="19" s="1"/>
  <c r="D621" i="19"/>
  <c r="D623" i="19" s="1"/>
  <c r="E434" i="19"/>
  <c r="F687" i="19"/>
  <c r="F689" i="19" s="1"/>
  <c r="E643" i="19"/>
  <c r="D599" i="19"/>
  <c r="F445" i="19"/>
  <c r="G577" i="19"/>
  <c r="G582" i="19" s="1"/>
  <c r="G583" i="19" s="1"/>
  <c r="F643" i="19"/>
  <c r="F648" i="19" s="1"/>
  <c r="E610" i="19"/>
  <c r="E615" i="19" s="1"/>
  <c r="E616" i="19" s="1"/>
  <c r="D577" i="19"/>
  <c r="D579" i="19" s="1"/>
  <c r="G456" i="19"/>
  <c r="G458" i="19" s="1"/>
  <c r="G676" i="19"/>
  <c r="F632" i="19"/>
  <c r="E588" i="19"/>
  <c r="D533" i="19"/>
  <c r="G632" i="19"/>
  <c r="G633" i="19" s="1"/>
  <c r="F599" i="19"/>
  <c r="E566" i="19"/>
  <c r="D522" i="19"/>
  <c r="G489" i="19"/>
  <c r="D654" i="19"/>
  <c r="G621" i="19"/>
  <c r="F577" i="19"/>
  <c r="E522" i="19"/>
  <c r="G588" i="19"/>
  <c r="G590" i="19" s="1"/>
  <c r="F555" i="19"/>
  <c r="E511" i="19"/>
  <c r="D489" i="19"/>
  <c r="G566" i="19"/>
  <c r="F511" i="19"/>
  <c r="E478" i="19"/>
  <c r="E479" i="19" s="1"/>
  <c r="D478" i="19"/>
  <c r="F467" i="19"/>
  <c r="F469" i="19" s="1"/>
  <c r="D665" i="19"/>
  <c r="D670" i="19" s="1"/>
  <c r="D671" i="19" s="1"/>
  <c r="G544" i="19"/>
  <c r="F500" i="19"/>
  <c r="E456" i="19"/>
  <c r="D456" i="19"/>
  <c r="G500" i="19"/>
  <c r="F423" i="19"/>
  <c r="D500" i="19"/>
  <c r="D632" i="19"/>
  <c r="E489" i="19"/>
  <c r="E621" i="19"/>
  <c r="F478" i="19"/>
  <c r="F610" i="19"/>
  <c r="G467" i="19"/>
  <c r="G599" i="19"/>
  <c r="D511" i="19"/>
  <c r="D513" i="19" s="1"/>
  <c r="D643" i="19"/>
  <c r="E500" i="19"/>
  <c r="E632" i="19"/>
  <c r="F489" i="19"/>
  <c r="F621" i="19"/>
  <c r="G478" i="19"/>
  <c r="G610" i="19"/>
  <c r="D626" i="19"/>
  <c r="D627" i="19" s="1"/>
  <c r="D423" i="19"/>
  <c r="D544" i="19"/>
  <c r="D676" i="19"/>
  <c r="E533" i="19"/>
  <c r="E665" i="19"/>
  <c r="F522" i="19"/>
  <c r="F654" i="19"/>
  <c r="G511" i="19"/>
  <c r="G643" i="19"/>
  <c r="D622" i="19"/>
  <c r="D434" i="19"/>
  <c r="D555" i="19"/>
  <c r="D687" i="19"/>
  <c r="E544" i="19"/>
  <c r="E676" i="19"/>
  <c r="F533" i="19"/>
  <c r="F665" i="19"/>
  <c r="G522" i="19"/>
  <c r="G654" i="19"/>
  <c r="F604" i="19"/>
  <c r="F605" i="19" s="1"/>
  <c r="D445" i="19"/>
  <c r="D566" i="19"/>
  <c r="E423" i="19"/>
  <c r="E555" i="19"/>
  <c r="E687" i="19"/>
  <c r="F544" i="19"/>
  <c r="F676" i="19"/>
  <c r="G533" i="19"/>
  <c r="G665" i="19"/>
  <c r="D666" i="19"/>
  <c r="D467" i="19"/>
  <c r="D588" i="19"/>
  <c r="E445" i="19"/>
  <c r="E577" i="19"/>
  <c r="F434" i="19"/>
  <c r="F566" i="19"/>
  <c r="G423" i="19"/>
  <c r="G555" i="19"/>
  <c r="G687" i="19"/>
  <c r="D610" i="19"/>
  <c r="E467" i="19"/>
  <c r="E599" i="19"/>
  <c r="F456" i="19"/>
  <c r="F588" i="19"/>
  <c r="G445" i="19"/>
  <c r="M410" i="19"/>
  <c r="I410" i="19"/>
  <c r="AF472" i="19"/>
  <c r="AG472" i="19" s="1"/>
  <c r="AF469" i="19"/>
  <c r="AG469" i="19" s="1"/>
  <c r="J391" i="19"/>
  <c r="X396" i="19" s="1"/>
  <c r="Y396" i="19" s="1"/>
  <c r="J538" i="19"/>
  <c r="J540" i="19" s="1"/>
  <c r="K501" i="19"/>
  <c r="AB508" i="19" s="1"/>
  <c r="AC508" i="19" s="1"/>
  <c r="J161" i="19"/>
  <c r="AR46" i="19"/>
  <c r="AS46" i="19" s="1"/>
  <c r="J157" i="19" s="1"/>
  <c r="E1" i="19"/>
  <c r="AR43" i="19"/>
  <c r="AS43" i="19" s="1"/>
  <c r="AF148" i="19" s="1"/>
  <c r="E56" i="19"/>
  <c r="D133" i="19"/>
  <c r="AR44" i="19"/>
  <c r="AS44" i="19" s="1"/>
  <c r="P159" i="19" s="1"/>
  <c r="D11" i="19"/>
  <c r="D100" i="19"/>
  <c r="E198" i="19"/>
  <c r="G243" i="19"/>
  <c r="F276" i="19"/>
  <c r="F352" i="19"/>
  <c r="L524" i="19"/>
  <c r="F67" i="19"/>
  <c r="F110" i="19"/>
  <c r="D121" i="19"/>
  <c r="D154" i="19"/>
  <c r="F176" i="19"/>
  <c r="G198" i="19"/>
  <c r="D253" i="19"/>
  <c r="E286" i="19"/>
  <c r="E297" i="19"/>
  <c r="D330" i="19"/>
  <c r="G352" i="19"/>
  <c r="G386" i="19"/>
  <c r="D407" i="19"/>
  <c r="G231" i="19"/>
  <c r="G67" i="19"/>
  <c r="D111" i="19"/>
  <c r="E121" i="19"/>
  <c r="F154" i="19"/>
  <c r="D298" i="19"/>
  <c r="F330" i="19"/>
  <c r="F407" i="19"/>
  <c r="F12" i="19"/>
  <c r="G33" i="19"/>
  <c r="F55" i="19"/>
  <c r="F122" i="19"/>
  <c r="K131" i="19"/>
  <c r="K133" i="19" s="1"/>
  <c r="E177" i="19"/>
  <c r="E210" i="19"/>
  <c r="F298" i="19"/>
  <c r="E331" i="19"/>
  <c r="E408" i="19"/>
  <c r="K556" i="19"/>
  <c r="AB563" i="19" s="1"/>
  <c r="AC563" i="19" s="1"/>
  <c r="L623" i="19"/>
  <c r="H677" i="19"/>
  <c r="P684" i="19" s="1"/>
  <c r="Q684" i="19" s="1"/>
  <c r="D1" i="19"/>
  <c r="D56" i="19"/>
  <c r="F77" i="19"/>
  <c r="F132" i="19"/>
  <c r="G155" i="19"/>
  <c r="G177" i="19"/>
  <c r="G210" i="19"/>
  <c r="F254" i="19"/>
  <c r="G298" i="19"/>
  <c r="D397" i="19"/>
  <c r="D419" i="19"/>
  <c r="L546" i="19"/>
  <c r="D672" i="19"/>
  <c r="I204" i="19"/>
  <c r="I205" i="19"/>
  <c r="H600" i="19"/>
  <c r="P603" i="19" s="1"/>
  <c r="Q603" i="19" s="1"/>
  <c r="I612" i="19"/>
  <c r="P666" i="19"/>
  <c r="Q666" i="19" s="1"/>
  <c r="P672" i="19"/>
  <c r="Q672" i="19" s="1"/>
  <c r="T12" i="19"/>
  <c r="U12" i="19" s="1"/>
  <c r="AR51" i="19"/>
  <c r="AS51" i="19" s="1"/>
  <c r="AF170" i="19" s="1"/>
  <c r="K249" i="19"/>
  <c r="H315" i="19"/>
  <c r="L413" i="19"/>
  <c r="AF416" i="19" s="1"/>
  <c r="AG416" i="19" s="1"/>
  <c r="K538" i="19"/>
  <c r="K540" i="19" s="1"/>
  <c r="K634" i="19"/>
  <c r="H359" i="19"/>
  <c r="T68" i="19"/>
  <c r="U68" i="19" s="1"/>
  <c r="H512" i="19"/>
  <c r="P517" i="19" s="1"/>
  <c r="Q517" i="19" s="1"/>
  <c r="H50" i="19"/>
  <c r="P53" i="19" s="1"/>
  <c r="Q53" i="19" s="1"/>
  <c r="L72" i="19"/>
  <c r="AF73" i="19" s="1"/>
  <c r="AG73" i="19" s="1"/>
  <c r="I128" i="19"/>
  <c r="I270" i="19"/>
  <c r="T277" i="19" s="1"/>
  <c r="U277" i="19" s="1"/>
  <c r="L435" i="19"/>
  <c r="AF441" i="19" s="1"/>
  <c r="AG441" i="19" s="1"/>
  <c r="AF471" i="19"/>
  <c r="AG471" i="19" s="1"/>
  <c r="K128" i="19"/>
  <c r="I402" i="19"/>
  <c r="T408" i="19" s="1"/>
  <c r="U408" i="19" s="1"/>
  <c r="X282" i="19"/>
  <c r="Y282" i="19" s="1"/>
  <c r="X281" i="19"/>
  <c r="Y281" i="19" s="1"/>
  <c r="X287" i="19"/>
  <c r="Y287" i="19" s="1"/>
  <c r="X286" i="19"/>
  <c r="Y286" i="19" s="1"/>
  <c r="X283" i="19"/>
  <c r="Y283" i="19" s="1"/>
  <c r="X285" i="19"/>
  <c r="Y285" i="19" s="1"/>
  <c r="X288" i="19"/>
  <c r="Y288" i="19" s="1"/>
  <c r="X284" i="19"/>
  <c r="Y284" i="19" s="1"/>
  <c r="P374" i="19"/>
  <c r="Q374" i="19" s="1"/>
  <c r="P370" i="19"/>
  <c r="Q370" i="19" s="1"/>
  <c r="P375" i="19"/>
  <c r="Q375" i="19" s="1"/>
  <c r="P372" i="19"/>
  <c r="Q372" i="19" s="1"/>
  <c r="P376" i="19"/>
  <c r="Q376" i="19" s="1"/>
  <c r="P373" i="19"/>
  <c r="Q373" i="19" s="1"/>
  <c r="P371" i="19"/>
  <c r="Q371" i="19" s="1"/>
  <c r="P369" i="19"/>
  <c r="Q369" i="19" s="1"/>
  <c r="I296" i="19"/>
  <c r="I298" i="19" s="1"/>
  <c r="I292" i="19"/>
  <c r="L106" i="19"/>
  <c r="L105" i="19"/>
  <c r="L116" i="19"/>
  <c r="L117" i="19"/>
  <c r="L161" i="19"/>
  <c r="L164" i="19"/>
  <c r="L166" i="19" s="1"/>
  <c r="X233" i="19"/>
  <c r="Y233" i="19" s="1"/>
  <c r="X232" i="19"/>
  <c r="Y232" i="19" s="1"/>
  <c r="X231" i="19"/>
  <c r="Y231" i="19" s="1"/>
  <c r="X228" i="19"/>
  <c r="Y228" i="19" s="1"/>
  <c r="X226" i="19"/>
  <c r="Y226" i="19" s="1"/>
  <c r="X229" i="19"/>
  <c r="Y229" i="19" s="1"/>
  <c r="X227" i="19"/>
  <c r="Y227" i="19" s="1"/>
  <c r="X230" i="19"/>
  <c r="Y230" i="19" s="1"/>
  <c r="K358" i="19"/>
  <c r="K362" i="19"/>
  <c r="K364" i="19" s="1"/>
  <c r="I216" i="19"/>
  <c r="I215" i="19"/>
  <c r="I304" i="19"/>
  <c r="I303" i="19"/>
  <c r="AB328" i="19"/>
  <c r="AC328" i="19" s="1"/>
  <c r="AB326" i="19"/>
  <c r="AC326" i="19" s="1"/>
  <c r="AB330" i="19"/>
  <c r="AC330" i="19" s="1"/>
  <c r="AB327" i="19"/>
  <c r="AC327" i="19" s="1"/>
  <c r="AB329" i="19"/>
  <c r="AC329" i="19" s="1"/>
  <c r="AB331" i="19"/>
  <c r="AC331" i="19" s="1"/>
  <c r="AB325" i="19"/>
  <c r="AC325" i="19" s="1"/>
  <c r="AB332" i="19"/>
  <c r="AC332" i="19" s="1"/>
  <c r="L370" i="19"/>
  <c r="L369" i="19"/>
  <c r="H391" i="19"/>
  <c r="H392" i="19"/>
  <c r="J468" i="19"/>
  <c r="X470" i="19" s="1"/>
  <c r="Y470" i="19" s="1"/>
  <c r="J469" i="19"/>
  <c r="K139" i="19"/>
  <c r="AR39" i="19"/>
  <c r="AS39" i="19" s="1"/>
  <c r="AB137" i="19" s="1"/>
  <c r="K138" i="19"/>
  <c r="P222" i="19"/>
  <c r="Q222" i="19" s="1"/>
  <c r="P220" i="19"/>
  <c r="Q220" i="19" s="1"/>
  <c r="P218" i="19"/>
  <c r="Q218" i="19" s="1"/>
  <c r="P216" i="19"/>
  <c r="Q216" i="19" s="1"/>
  <c r="P221" i="19"/>
  <c r="Q221" i="19" s="1"/>
  <c r="P219" i="19"/>
  <c r="Q219" i="19" s="1"/>
  <c r="P217" i="19"/>
  <c r="Q217" i="19" s="1"/>
  <c r="P215" i="19"/>
  <c r="Q215" i="19" s="1"/>
  <c r="J303" i="19"/>
  <c r="J304" i="19"/>
  <c r="AB387" i="19"/>
  <c r="AC387" i="19" s="1"/>
  <c r="AB380" i="19"/>
  <c r="AC380" i="19" s="1"/>
  <c r="AB382" i="19"/>
  <c r="AC382" i="19" s="1"/>
  <c r="AB384" i="19"/>
  <c r="AC384" i="19" s="1"/>
  <c r="AB383" i="19"/>
  <c r="AC383" i="19" s="1"/>
  <c r="AB381" i="19"/>
  <c r="AC381" i="19" s="1"/>
  <c r="AB385" i="19"/>
  <c r="AC385" i="19" s="1"/>
  <c r="AB386" i="19"/>
  <c r="AC386" i="19" s="1"/>
  <c r="K413" i="19"/>
  <c r="K414" i="19"/>
  <c r="H105" i="19"/>
  <c r="H106" i="19"/>
  <c r="H413" i="19"/>
  <c r="P417" i="19" s="1"/>
  <c r="Q417" i="19" s="1"/>
  <c r="H414" i="19"/>
  <c r="K150" i="19"/>
  <c r="AR42" i="19"/>
  <c r="AS42" i="19" s="1"/>
  <c r="AB148" i="19" s="1"/>
  <c r="K172" i="19"/>
  <c r="K171" i="19"/>
  <c r="AR50" i="19"/>
  <c r="AS50" i="19" s="1"/>
  <c r="AB170" i="19" s="1"/>
  <c r="L29" i="19"/>
  <c r="L28" i="19"/>
  <c r="K94" i="19"/>
  <c r="K95" i="19"/>
  <c r="I105" i="19"/>
  <c r="I106" i="19"/>
  <c r="J138" i="19"/>
  <c r="AR38" i="19"/>
  <c r="AS38" i="19" s="1"/>
  <c r="X137" i="19" s="1"/>
  <c r="H171" i="19"/>
  <c r="H175" i="19"/>
  <c r="H177" i="19" s="1"/>
  <c r="H172" i="19"/>
  <c r="I282" i="19"/>
  <c r="I281" i="19"/>
  <c r="I593" i="19"/>
  <c r="I595" i="19" s="1"/>
  <c r="I589" i="19"/>
  <c r="I590" i="19"/>
  <c r="J634" i="19"/>
  <c r="J633" i="19"/>
  <c r="X639" i="19" s="1"/>
  <c r="Y639" i="19" s="1"/>
  <c r="H17" i="19"/>
  <c r="H29" i="19"/>
  <c r="T134" i="19"/>
  <c r="U134" i="19" s="1"/>
  <c r="T131" i="19"/>
  <c r="U131" i="19" s="1"/>
  <c r="T132" i="19"/>
  <c r="U132" i="19" s="1"/>
  <c r="T133" i="19"/>
  <c r="U133" i="19" s="1"/>
  <c r="T130" i="19"/>
  <c r="U130" i="19" s="1"/>
  <c r="T127" i="19"/>
  <c r="U127" i="19" s="1"/>
  <c r="T129" i="19"/>
  <c r="U129" i="19" s="1"/>
  <c r="I208" i="19"/>
  <c r="I210" i="19" s="1"/>
  <c r="T263" i="19"/>
  <c r="U263" i="19" s="1"/>
  <c r="T265" i="19"/>
  <c r="U265" i="19" s="1"/>
  <c r="T266" i="19"/>
  <c r="U266" i="19" s="1"/>
  <c r="T260" i="19"/>
  <c r="U260" i="19" s="1"/>
  <c r="T262" i="19"/>
  <c r="U262" i="19" s="1"/>
  <c r="T264" i="19"/>
  <c r="U264" i="19" s="1"/>
  <c r="T259" i="19"/>
  <c r="U259" i="19" s="1"/>
  <c r="T261" i="19"/>
  <c r="U261" i="19" s="1"/>
  <c r="L391" i="19"/>
  <c r="K571" i="19"/>
  <c r="K573" i="19" s="1"/>
  <c r="K568" i="19"/>
  <c r="K567" i="19"/>
  <c r="K578" i="19"/>
  <c r="AB585" i="19" s="1"/>
  <c r="AC585" i="19" s="1"/>
  <c r="K579" i="19"/>
  <c r="P601" i="19"/>
  <c r="Q601" i="19" s="1"/>
  <c r="J677" i="19"/>
  <c r="J681" i="19"/>
  <c r="J683" i="19" s="1"/>
  <c r="AB22" i="19"/>
  <c r="AC22" i="19" s="1"/>
  <c r="AB23" i="19"/>
  <c r="AC23" i="19" s="1"/>
  <c r="AB18" i="19"/>
  <c r="AC18" i="19" s="1"/>
  <c r="AB19" i="19"/>
  <c r="AC19" i="19" s="1"/>
  <c r="AB24" i="19"/>
  <c r="AC24" i="19" s="1"/>
  <c r="AB20" i="19"/>
  <c r="AC20" i="19" s="1"/>
  <c r="J568" i="19"/>
  <c r="J567" i="19"/>
  <c r="X568" i="19" s="1"/>
  <c r="Y568" i="19" s="1"/>
  <c r="X29" i="19"/>
  <c r="Y29" i="19" s="1"/>
  <c r="X34" i="19"/>
  <c r="Y34" i="19" s="1"/>
  <c r="X35" i="19"/>
  <c r="Y35" i="19" s="1"/>
  <c r="X30" i="19"/>
  <c r="Y30" i="19" s="1"/>
  <c r="X31" i="19"/>
  <c r="Y31" i="19" s="1"/>
  <c r="X32" i="19"/>
  <c r="Y32" i="19" s="1"/>
  <c r="T78" i="19"/>
  <c r="U78" i="19" s="1"/>
  <c r="T79" i="19"/>
  <c r="U79" i="19" s="1"/>
  <c r="T77" i="19"/>
  <c r="U77" i="19" s="1"/>
  <c r="T76" i="19"/>
  <c r="U76" i="19" s="1"/>
  <c r="T72" i="19"/>
  <c r="U72" i="19" s="1"/>
  <c r="T73" i="19"/>
  <c r="U73" i="19" s="1"/>
  <c r="T74" i="19"/>
  <c r="U74" i="19" s="1"/>
  <c r="J172" i="19"/>
  <c r="I425" i="19"/>
  <c r="I424" i="19"/>
  <c r="T429" i="19" s="1"/>
  <c r="U429" i="19" s="1"/>
  <c r="X485" i="19"/>
  <c r="Y485" i="19" s="1"/>
  <c r="X479" i="19"/>
  <c r="Y479" i="19" s="1"/>
  <c r="X486" i="19"/>
  <c r="Y486" i="19" s="1"/>
  <c r="I505" i="19"/>
  <c r="I507" i="19" s="1"/>
  <c r="I501" i="19"/>
  <c r="I502" i="19"/>
  <c r="L556" i="19"/>
  <c r="AF559" i="19" s="1"/>
  <c r="AG559" i="19" s="1"/>
  <c r="K600" i="19"/>
  <c r="AB600" i="19" s="1"/>
  <c r="AC600" i="19" s="1"/>
  <c r="K601" i="19"/>
  <c r="AB21" i="19"/>
  <c r="AC21" i="19" s="1"/>
  <c r="P43" i="19"/>
  <c r="Q43" i="19" s="1"/>
  <c r="T33" i="19"/>
  <c r="U33" i="19" s="1"/>
  <c r="T29" i="19"/>
  <c r="U29" i="19" s="1"/>
  <c r="T34" i="19"/>
  <c r="U34" i="19" s="1"/>
  <c r="T30" i="19"/>
  <c r="U30" i="19" s="1"/>
  <c r="T35" i="19"/>
  <c r="U35" i="19" s="1"/>
  <c r="T31" i="19"/>
  <c r="U31" i="19" s="1"/>
  <c r="AB339" i="19"/>
  <c r="AC339" i="19" s="1"/>
  <c r="AB337" i="19"/>
  <c r="AC337" i="19" s="1"/>
  <c r="AB338" i="19"/>
  <c r="AC338" i="19" s="1"/>
  <c r="AB336" i="19"/>
  <c r="AC336" i="19" s="1"/>
  <c r="AB341" i="19"/>
  <c r="AC341" i="19" s="1"/>
  <c r="AB343" i="19"/>
  <c r="AC343" i="19" s="1"/>
  <c r="AB342" i="19"/>
  <c r="AC342" i="19" s="1"/>
  <c r="AB340" i="19"/>
  <c r="AC340" i="19" s="1"/>
  <c r="I73" i="19"/>
  <c r="M73" i="19" s="1"/>
  <c r="H127" i="19"/>
  <c r="W216" i="19"/>
  <c r="W218" i="19" s="1"/>
  <c r="K204" i="19"/>
  <c r="K219" i="19"/>
  <c r="K221" i="19" s="1"/>
  <c r="AB264" i="19"/>
  <c r="AC264" i="19" s="1"/>
  <c r="AB265" i="19"/>
  <c r="AC265" i="19" s="1"/>
  <c r="AB266" i="19"/>
  <c r="AC266" i="19" s="1"/>
  <c r="AB260" i="19"/>
  <c r="AC260" i="19" s="1"/>
  <c r="AB261" i="19"/>
  <c r="AC261" i="19" s="1"/>
  <c r="AB263" i="19"/>
  <c r="AC263" i="19" s="1"/>
  <c r="AB262" i="19"/>
  <c r="AC262" i="19" s="1"/>
  <c r="AB259" i="19"/>
  <c r="AC259" i="19" s="1"/>
  <c r="I446" i="19"/>
  <c r="T452" i="19" s="1"/>
  <c r="U452" i="19" s="1"/>
  <c r="I447" i="19"/>
  <c r="J447" i="19"/>
  <c r="J501" i="19"/>
  <c r="J502" i="19"/>
  <c r="L600" i="19"/>
  <c r="L601" i="19"/>
  <c r="AB17" i="19"/>
  <c r="AC17" i="19" s="1"/>
  <c r="P39" i="19"/>
  <c r="Q39" i="19" s="1"/>
  <c r="AB288" i="19"/>
  <c r="AC288" i="19" s="1"/>
  <c r="AB287" i="19"/>
  <c r="AC287" i="19" s="1"/>
  <c r="AB285" i="19"/>
  <c r="AC285" i="19" s="1"/>
  <c r="AB284" i="19"/>
  <c r="AC284" i="19" s="1"/>
  <c r="AB283" i="19"/>
  <c r="AC283" i="19" s="1"/>
  <c r="AB281" i="19"/>
  <c r="AC281" i="19" s="1"/>
  <c r="AB286" i="19"/>
  <c r="AC286" i="19" s="1"/>
  <c r="AB282" i="19"/>
  <c r="AC282" i="19" s="1"/>
  <c r="T65" i="19"/>
  <c r="U65" i="19" s="1"/>
  <c r="T61" i="19"/>
  <c r="U61" i="19" s="1"/>
  <c r="T66" i="19"/>
  <c r="U66" i="19" s="1"/>
  <c r="T62" i="19"/>
  <c r="U62" i="19" s="1"/>
  <c r="T67" i="19"/>
  <c r="U67" i="19" s="1"/>
  <c r="T63" i="19"/>
  <c r="U63" i="19" s="1"/>
  <c r="AB88" i="19"/>
  <c r="AC88" i="19" s="1"/>
  <c r="AB83" i="19"/>
  <c r="AC83" i="19" s="1"/>
  <c r="AB90" i="19"/>
  <c r="AC90" i="19" s="1"/>
  <c r="AB84" i="19"/>
  <c r="AC84" i="19" s="1"/>
  <c r="AB86" i="19"/>
  <c r="AC86" i="19" s="1"/>
  <c r="AB85" i="19"/>
  <c r="AC85" i="19" s="1"/>
  <c r="AB89" i="19"/>
  <c r="AC89" i="19" s="1"/>
  <c r="AR36" i="19"/>
  <c r="AS36" i="19" s="1"/>
  <c r="P137" i="19" s="1"/>
  <c r="AB42" i="19"/>
  <c r="AC42" i="19" s="1"/>
  <c r="AB43" i="19"/>
  <c r="AC43" i="19" s="1"/>
  <c r="AB39" i="19"/>
  <c r="AC39" i="19" s="1"/>
  <c r="AB44" i="19"/>
  <c r="AC44" i="19" s="1"/>
  <c r="AB45" i="19"/>
  <c r="AC45" i="19" s="1"/>
  <c r="AB40" i="19"/>
  <c r="AC40" i="19" s="1"/>
  <c r="K40" i="19"/>
  <c r="AR49" i="19"/>
  <c r="AS49" i="19" s="1"/>
  <c r="X170" i="19" s="1"/>
  <c r="AF89" i="19"/>
  <c r="AG89" i="19" s="1"/>
  <c r="AF88" i="19"/>
  <c r="AG88" i="19" s="1"/>
  <c r="AF83" i="19"/>
  <c r="AG83" i="19" s="1"/>
  <c r="AF85" i="19"/>
  <c r="AG85" i="19" s="1"/>
  <c r="AF86" i="19"/>
  <c r="AG86" i="19" s="1"/>
  <c r="AF87" i="19"/>
  <c r="AG87" i="19" s="1"/>
  <c r="AF84" i="19"/>
  <c r="AG84" i="19" s="1"/>
  <c r="H138" i="19"/>
  <c r="J160" i="19"/>
  <c r="AF266" i="19"/>
  <c r="AG266" i="19" s="1"/>
  <c r="AF260" i="19"/>
  <c r="AG260" i="19" s="1"/>
  <c r="AF262" i="19"/>
  <c r="AG262" i="19" s="1"/>
  <c r="AF263" i="19"/>
  <c r="AG263" i="19" s="1"/>
  <c r="AF265" i="19"/>
  <c r="AG265" i="19" s="1"/>
  <c r="AF259" i="19"/>
  <c r="AG259" i="19" s="1"/>
  <c r="AF264" i="19"/>
  <c r="AG264" i="19" s="1"/>
  <c r="AF261" i="19"/>
  <c r="AG261" i="19" s="1"/>
  <c r="L337" i="19"/>
  <c r="H381" i="19"/>
  <c r="J450" i="19"/>
  <c r="J452" i="19" s="1"/>
  <c r="X482" i="19"/>
  <c r="Y482" i="19" s="1"/>
  <c r="X484" i="19"/>
  <c r="Y484" i="19" s="1"/>
  <c r="J612" i="19"/>
  <c r="J611" i="19"/>
  <c r="X612" i="19" s="1"/>
  <c r="Y612" i="19" s="1"/>
  <c r="P363" i="19"/>
  <c r="Q363" i="19" s="1"/>
  <c r="P365" i="19"/>
  <c r="Q365" i="19" s="1"/>
  <c r="P358" i="19"/>
  <c r="Q358" i="19" s="1"/>
  <c r="P360" i="19"/>
  <c r="Q360" i="19" s="1"/>
  <c r="P364" i="19"/>
  <c r="Q364" i="19" s="1"/>
  <c r="P359" i="19"/>
  <c r="Q359" i="19" s="1"/>
  <c r="P362" i="19"/>
  <c r="Q362" i="19" s="1"/>
  <c r="P361" i="19"/>
  <c r="Q361" i="19" s="1"/>
  <c r="X393" i="19"/>
  <c r="Y393" i="19" s="1"/>
  <c r="L39" i="19"/>
  <c r="L61" i="19"/>
  <c r="K72" i="19"/>
  <c r="I248" i="19"/>
  <c r="J293" i="19"/>
  <c r="P317" i="19"/>
  <c r="Q317" i="19" s="1"/>
  <c r="P321" i="19"/>
  <c r="Q321" i="19" s="1"/>
  <c r="P314" i="19"/>
  <c r="Q314" i="19" s="1"/>
  <c r="P318" i="19"/>
  <c r="Q318" i="19" s="1"/>
  <c r="P319" i="19"/>
  <c r="Q319" i="19" s="1"/>
  <c r="P320" i="19"/>
  <c r="Q320" i="19" s="1"/>
  <c r="P316" i="19"/>
  <c r="Q316" i="19" s="1"/>
  <c r="P315" i="19"/>
  <c r="Q315" i="19" s="1"/>
  <c r="K326" i="19"/>
  <c r="T343" i="19"/>
  <c r="U343" i="19" s="1"/>
  <c r="T336" i="19"/>
  <c r="U336" i="19" s="1"/>
  <c r="T341" i="19"/>
  <c r="U341" i="19" s="1"/>
  <c r="T339" i="19"/>
  <c r="U339" i="19" s="1"/>
  <c r="T342" i="19"/>
  <c r="U342" i="19" s="1"/>
  <c r="T338" i="19"/>
  <c r="U338" i="19" s="1"/>
  <c r="T337" i="19"/>
  <c r="U337" i="19" s="1"/>
  <c r="H384" i="19"/>
  <c r="H386" i="19" s="1"/>
  <c r="AB426" i="19"/>
  <c r="AC426" i="19" s="1"/>
  <c r="AB431" i="19"/>
  <c r="AC431" i="19" s="1"/>
  <c r="AB427" i="19"/>
  <c r="AC427" i="19" s="1"/>
  <c r="H568" i="19"/>
  <c r="H567" i="19"/>
  <c r="P574" i="19" s="1"/>
  <c r="Q574" i="19" s="1"/>
  <c r="I655" i="19"/>
  <c r="T662" i="19" s="1"/>
  <c r="U662" i="19" s="1"/>
  <c r="I656" i="19"/>
  <c r="K18" i="19"/>
  <c r="K58" i="19"/>
  <c r="L215" i="19"/>
  <c r="AB250" i="19"/>
  <c r="AC250" i="19" s="1"/>
  <c r="AB251" i="19"/>
  <c r="AC251" i="19" s="1"/>
  <c r="AB252" i="19"/>
  <c r="AC252" i="19" s="1"/>
  <c r="AB254" i="19"/>
  <c r="AC254" i="19" s="1"/>
  <c r="AB249" i="19"/>
  <c r="AC249" i="19" s="1"/>
  <c r="AB253" i="19"/>
  <c r="AC253" i="19" s="1"/>
  <c r="AB248" i="19"/>
  <c r="AC248" i="19" s="1"/>
  <c r="AB255" i="19"/>
  <c r="AC255" i="19" s="1"/>
  <c r="I260" i="19"/>
  <c r="K282" i="19"/>
  <c r="X294" i="19"/>
  <c r="Y294" i="19" s="1"/>
  <c r="X298" i="19"/>
  <c r="Y298" i="19" s="1"/>
  <c r="X296" i="19"/>
  <c r="Y296" i="19" s="1"/>
  <c r="X292" i="19"/>
  <c r="Y292" i="19" s="1"/>
  <c r="X295" i="19"/>
  <c r="Y295" i="19" s="1"/>
  <c r="X299" i="19"/>
  <c r="Y299" i="19" s="1"/>
  <c r="X293" i="19"/>
  <c r="Y293" i="19" s="1"/>
  <c r="X297" i="19"/>
  <c r="Y297" i="19" s="1"/>
  <c r="J329" i="19"/>
  <c r="J331" i="19" s="1"/>
  <c r="T374" i="19"/>
  <c r="U374" i="19" s="1"/>
  <c r="T370" i="19"/>
  <c r="U370" i="19" s="1"/>
  <c r="T371" i="19"/>
  <c r="U371" i="19" s="1"/>
  <c r="T372" i="19"/>
  <c r="U372" i="19" s="1"/>
  <c r="T369" i="19"/>
  <c r="U369" i="19" s="1"/>
  <c r="T376" i="19"/>
  <c r="U376" i="19" s="1"/>
  <c r="T375" i="19"/>
  <c r="U375" i="19" s="1"/>
  <c r="T373" i="19"/>
  <c r="U373" i="19" s="1"/>
  <c r="I457" i="19"/>
  <c r="T463" i="19" s="1"/>
  <c r="U463" i="19" s="1"/>
  <c r="I458" i="19"/>
  <c r="L501" i="19"/>
  <c r="AF504" i="19" s="1"/>
  <c r="AG504" i="19" s="1"/>
  <c r="L502" i="19"/>
  <c r="I568" i="19"/>
  <c r="I567" i="19"/>
  <c r="T568" i="19" s="1"/>
  <c r="U568" i="19" s="1"/>
  <c r="J589" i="19"/>
  <c r="J593" i="19"/>
  <c r="J595" i="19" s="1"/>
  <c r="J590" i="19"/>
  <c r="T32" i="19"/>
  <c r="U32" i="19" s="1"/>
  <c r="T75" i="19"/>
  <c r="U75" i="19" s="1"/>
  <c r="AB87" i="19"/>
  <c r="AC87" i="19" s="1"/>
  <c r="AB351" i="19"/>
  <c r="AC351" i="19" s="1"/>
  <c r="AB349" i="19"/>
  <c r="AC349" i="19" s="1"/>
  <c r="AB347" i="19"/>
  <c r="AC347" i="19" s="1"/>
  <c r="AB350" i="19"/>
  <c r="AC350" i="19" s="1"/>
  <c r="AB353" i="19"/>
  <c r="AC353" i="19" s="1"/>
  <c r="AB348" i="19"/>
  <c r="AC348" i="19" s="1"/>
  <c r="AB354" i="19"/>
  <c r="AC354" i="19" s="1"/>
  <c r="AB352" i="19"/>
  <c r="AC352" i="19" s="1"/>
  <c r="T13" i="19"/>
  <c r="U13" i="19" s="1"/>
  <c r="T9" i="19"/>
  <c r="U9" i="19" s="1"/>
  <c r="T10" i="19"/>
  <c r="U10" i="19" s="1"/>
  <c r="T6" i="19"/>
  <c r="U6" i="19" s="1"/>
  <c r="T11" i="19"/>
  <c r="U11" i="19" s="1"/>
  <c r="T7" i="19"/>
  <c r="U7" i="19" s="1"/>
  <c r="X17" i="19"/>
  <c r="Y17" i="19" s="1"/>
  <c r="X22" i="19"/>
  <c r="Y22" i="19" s="1"/>
  <c r="X18" i="19"/>
  <c r="Y18" i="19" s="1"/>
  <c r="X23" i="19"/>
  <c r="Y23" i="19" s="1"/>
  <c r="X24" i="19"/>
  <c r="Y24" i="19" s="1"/>
  <c r="X19" i="19"/>
  <c r="Y19" i="19" s="1"/>
  <c r="X20" i="19"/>
  <c r="Y20" i="19" s="1"/>
  <c r="P32" i="19"/>
  <c r="Q32" i="19" s="1"/>
  <c r="P33" i="19"/>
  <c r="Q33" i="19" s="1"/>
  <c r="P28" i="19"/>
  <c r="Q28" i="19" s="1"/>
  <c r="P29" i="19"/>
  <c r="Q29" i="19" s="1"/>
  <c r="P34" i="19"/>
  <c r="Q34" i="19" s="1"/>
  <c r="P30" i="19"/>
  <c r="Q30" i="19" s="1"/>
  <c r="P35" i="19"/>
  <c r="Q35" i="19" s="1"/>
  <c r="P40" i="19"/>
  <c r="Q40" i="19" s="1"/>
  <c r="P45" i="19"/>
  <c r="Q45" i="19" s="1"/>
  <c r="P41" i="19"/>
  <c r="Q41" i="19" s="1"/>
  <c r="P46" i="19"/>
  <c r="Q46" i="19" s="1"/>
  <c r="P42" i="19"/>
  <c r="Q42" i="19" s="1"/>
  <c r="L84" i="19"/>
  <c r="H237" i="19"/>
  <c r="K260" i="19"/>
  <c r="H336" i="19"/>
  <c r="X353" i="19"/>
  <c r="Y353" i="19" s="1"/>
  <c r="X351" i="19"/>
  <c r="Y351" i="19" s="1"/>
  <c r="X354" i="19"/>
  <c r="Y354" i="19" s="1"/>
  <c r="X352" i="19"/>
  <c r="Y352" i="19" s="1"/>
  <c r="X347" i="19"/>
  <c r="Y347" i="19" s="1"/>
  <c r="X348" i="19"/>
  <c r="Y348" i="19" s="1"/>
  <c r="X349" i="19"/>
  <c r="Y349" i="19" s="1"/>
  <c r="X350" i="19"/>
  <c r="Y350" i="19" s="1"/>
  <c r="J523" i="19"/>
  <c r="X526" i="19" s="1"/>
  <c r="Y526" i="19" s="1"/>
  <c r="J524" i="19"/>
  <c r="AF528" i="19"/>
  <c r="AG528" i="19" s="1"/>
  <c r="AF530" i="19"/>
  <c r="AG530" i="19" s="1"/>
  <c r="AF529" i="19"/>
  <c r="AG529" i="19" s="1"/>
  <c r="H545" i="19"/>
  <c r="P546" i="19" s="1"/>
  <c r="Q546" i="19" s="1"/>
  <c r="H546" i="19"/>
  <c r="I578" i="19"/>
  <c r="T580" i="19" s="1"/>
  <c r="U580" i="19" s="1"/>
  <c r="I579" i="19"/>
  <c r="I678" i="19"/>
  <c r="I677" i="19"/>
  <c r="J678" i="19"/>
  <c r="T28" i="19"/>
  <c r="U28" i="19" s="1"/>
  <c r="X33" i="19"/>
  <c r="Y33" i="19" s="1"/>
  <c r="AB46" i="19"/>
  <c r="AC46" i="19" s="1"/>
  <c r="T340" i="19"/>
  <c r="U340" i="19" s="1"/>
  <c r="K534" i="19"/>
  <c r="J579" i="19"/>
  <c r="J645" i="19"/>
  <c r="P673" i="19"/>
  <c r="Q673" i="19" s="1"/>
  <c r="K458" i="19"/>
  <c r="H667" i="19"/>
  <c r="AF470" i="19"/>
  <c r="AG470" i="19" s="1"/>
  <c r="J557" i="19"/>
  <c r="L579" i="19"/>
  <c r="H589" i="19"/>
  <c r="P591" i="19" s="1"/>
  <c r="Q591" i="19" s="1"/>
  <c r="K644" i="19"/>
  <c r="AB645" i="19" s="1"/>
  <c r="AC645" i="19" s="1"/>
  <c r="W220" i="19"/>
  <c r="W222" i="19"/>
  <c r="K28" i="19"/>
  <c r="K29" i="19"/>
  <c r="J6" i="19"/>
  <c r="J7" i="19"/>
  <c r="G88" i="19"/>
  <c r="G89" i="19"/>
  <c r="D77" i="19"/>
  <c r="D78" i="19"/>
  <c r="E11" i="19"/>
  <c r="H61" i="19"/>
  <c r="H62" i="19"/>
  <c r="J105" i="19"/>
  <c r="J106" i="19"/>
  <c r="I315" i="19"/>
  <c r="I314" i="19"/>
  <c r="BE16" i="19"/>
  <c r="I135" i="19"/>
  <c r="H72" i="19"/>
  <c r="H73" i="19"/>
  <c r="J73" i="19" s="1"/>
  <c r="K106" i="19"/>
  <c r="K105" i="19"/>
  <c r="I116" i="19"/>
  <c r="I117" i="19"/>
  <c r="L17" i="19"/>
  <c r="L18" i="19"/>
  <c r="J39" i="19"/>
  <c r="K51" i="19"/>
  <c r="K50" i="19"/>
  <c r="J117" i="19"/>
  <c r="J116" i="19"/>
  <c r="L138" i="19"/>
  <c r="AR40" i="19"/>
  <c r="AS40" i="19" s="1"/>
  <c r="AF137" i="19" s="1"/>
  <c r="L139" i="19"/>
  <c r="L226" i="19"/>
  <c r="L227" i="19"/>
  <c r="L6" i="19"/>
  <c r="L7" i="19"/>
  <c r="E33" i="19"/>
  <c r="E34" i="19"/>
  <c r="G45" i="19"/>
  <c r="G44" i="19"/>
  <c r="K157" i="19"/>
  <c r="L51" i="19"/>
  <c r="L50" i="19"/>
  <c r="J193" i="19"/>
  <c r="K6" i="19"/>
  <c r="K7" i="19"/>
  <c r="F33" i="19"/>
  <c r="F34" i="19"/>
  <c r="H146" i="19"/>
  <c r="K84" i="19"/>
  <c r="K193" i="19"/>
  <c r="K194" i="19"/>
  <c r="BI15" i="19"/>
  <c r="BI16" i="19" s="1"/>
  <c r="BI17" i="19" s="1"/>
  <c r="BI18" i="19" s="1"/>
  <c r="BI19" i="19" s="1"/>
  <c r="BI20" i="19" s="1"/>
  <c r="BI21" i="19" s="1"/>
  <c r="BI22" i="19" s="1"/>
  <c r="BI23" i="19" s="1"/>
  <c r="BI24" i="19" s="1"/>
  <c r="BI25" i="19" s="1"/>
  <c r="BI26" i="19" s="1"/>
  <c r="BI27" i="19" s="1"/>
  <c r="BI28" i="19" s="1"/>
  <c r="BI29" i="19" s="1"/>
  <c r="BI30" i="19" s="1"/>
  <c r="BI31" i="19" s="1"/>
  <c r="BI32" i="19" s="1"/>
  <c r="BI33" i="19" s="1"/>
  <c r="BI34" i="19" s="1"/>
  <c r="BI35" i="19" s="1"/>
  <c r="BI36" i="19" s="1"/>
  <c r="BI37" i="19" s="1"/>
  <c r="BI38" i="19" s="1"/>
  <c r="BI39" i="19" s="1"/>
  <c r="BI40" i="19" s="1"/>
  <c r="BI41" i="19" s="1"/>
  <c r="BI42" i="19" s="1"/>
  <c r="BI43" i="19" s="1"/>
  <c r="BI44" i="19" s="1"/>
  <c r="BK14" i="19"/>
  <c r="H7" i="19"/>
  <c r="H6" i="19"/>
  <c r="I7" i="19"/>
  <c r="I18" i="19"/>
  <c r="I17" i="19"/>
  <c r="J18" i="19"/>
  <c r="F23" i="19"/>
  <c r="I29" i="19"/>
  <c r="D34" i="19"/>
  <c r="H40" i="19"/>
  <c r="I168" i="19"/>
  <c r="G56" i="19"/>
  <c r="G55" i="19"/>
  <c r="G11" i="19"/>
  <c r="G23" i="19"/>
  <c r="J29" i="19"/>
  <c r="H95" i="19"/>
  <c r="H94" i="19"/>
  <c r="K117" i="19"/>
  <c r="K116" i="19"/>
  <c r="J128" i="19"/>
  <c r="J127" i="19"/>
  <c r="D165" i="19"/>
  <c r="D166" i="19"/>
  <c r="E44" i="19"/>
  <c r="J72" i="19"/>
  <c r="L73" i="19"/>
  <c r="K73" i="19"/>
  <c r="M69" i="19"/>
  <c r="J69" i="19"/>
  <c r="I84" i="19"/>
  <c r="I83" i="19"/>
  <c r="I95" i="19"/>
  <c r="I94" i="19"/>
  <c r="G100" i="19"/>
  <c r="G99" i="19"/>
  <c r="E111" i="19"/>
  <c r="H182" i="19"/>
  <c r="AR52" i="19"/>
  <c r="AS52" i="19" s="1"/>
  <c r="P181" i="19" s="1"/>
  <c r="H183" i="19"/>
  <c r="I51" i="19"/>
  <c r="I50" i="19"/>
  <c r="J168" i="19"/>
  <c r="J61" i="19"/>
  <c r="J62" i="19"/>
  <c r="J95" i="19"/>
  <c r="J94" i="19"/>
  <c r="I160" i="19"/>
  <c r="AR45" i="19"/>
  <c r="AS45" i="19" s="1"/>
  <c r="T159" i="19" s="1"/>
  <c r="I161" i="19"/>
  <c r="J204" i="19"/>
  <c r="J205" i="19"/>
  <c r="J51" i="19"/>
  <c r="J50" i="19"/>
  <c r="I39" i="19"/>
  <c r="I40" i="19"/>
  <c r="L62" i="19"/>
  <c r="K61" i="19"/>
  <c r="J153" i="19"/>
  <c r="J155" i="19" s="1"/>
  <c r="J150" i="19"/>
  <c r="J149" i="19"/>
  <c r="L237" i="19"/>
  <c r="L238" i="19"/>
  <c r="I62" i="19"/>
  <c r="H83" i="19"/>
  <c r="E88" i="19"/>
  <c r="H116" i="19"/>
  <c r="L150" i="19"/>
  <c r="I183" i="19"/>
  <c r="I182" i="19"/>
  <c r="L193" i="19"/>
  <c r="L194" i="19"/>
  <c r="H248" i="19"/>
  <c r="H249" i="19"/>
  <c r="J260" i="19"/>
  <c r="J259" i="19"/>
  <c r="J457" i="19"/>
  <c r="J458" i="19"/>
  <c r="F88" i="19"/>
  <c r="G111" i="19"/>
  <c r="L131" i="19"/>
  <c r="L133" i="19" s="1"/>
  <c r="L128" i="19"/>
  <c r="L127" i="19"/>
  <c r="G166" i="19"/>
  <c r="G165" i="19"/>
  <c r="J183" i="19"/>
  <c r="J186" i="19"/>
  <c r="J188" i="19" s="1"/>
  <c r="J182" i="19"/>
  <c r="F199" i="19"/>
  <c r="L204" i="19"/>
  <c r="L205" i="19"/>
  <c r="H227" i="19"/>
  <c r="H226" i="19"/>
  <c r="J83" i="19"/>
  <c r="I139" i="19"/>
  <c r="I138" i="19"/>
  <c r="K161" i="19"/>
  <c r="K160" i="19"/>
  <c r="K186" i="19"/>
  <c r="K188" i="19" s="1"/>
  <c r="K182" i="19"/>
  <c r="K183" i="19"/>
  <c r="H208" i="19"/>
  <c r="H205" i="19"/>
  <c r="I227" i="19"/>
  <c r="I226" i="19"/>
  <c r="J227" i="19"/>
  <c r="E132" i="19"/>
  <c r="H150" i="19"/>
  <c r="H149" i="19"/>
  <c r="E188" i="19"/>
  <c r="E187" i="19"/>
  <c r="H194" i="19"/>
  <c r="H193" i="19"/>
  <c r="F232" i="19"/>
  <c r="H271" i="19"/>
  <c r="H270" i="19"/>
  <c r="H157" i="19"/>
  <c r="I172" i="19"/>
  <c r="I171" i="19"/>
  <c r="L182" i="19"/>
  <c r="L183" i="19"/>
  <c r="I194" i="19"/>
  <c r="I193" i="19"/>
  <c r="J215" i="19"/>
  <c r="J216" i="19"/>
  <c r="E341" i="19"/>
  <c r="E342" i="19"/>
  <c r="J139" i="19"/>
  <c r="D144" i="19"/>
  <c r="D143" i="19"/>
  <c r="I153" i="19"/>
  <c r="I155" i="19" s="1"/>
  <c r="I149" i="19"/>
  <c r="K226" i="19"/>
  <c r="K227" i="19"/>
  <c r="L252" i="19"/>
  <c r="L254" i="19" s="1"/>
  <c r="L249" i="19"/>
  <c r="L248" i="19"/>
  <c r="J270" i="19"/>
  <c r="J271" i="19"/>
  <c r="J274" i="19"/>
  <c r="J276" i="19" s="1"/>
  <c r="I479" i="19"/>
  <c r="I480" i="19"/>
  <c r="F144" i="19"/>
  <c r="E155" i="19"/>
  <c r="F165" i="19"/>
  <c r="L219" i="19"/>
  <c r="L221" i="19" s="1"/>
  <c r="I237" i="19"/>
  <c r="I241" i="19"/>
  <c r="I243" i="19" s="1"/>
  <c r="D242" i="19"/>
  <c r="H263" i="19"/>
  <c r="H260" i="19"/>
  <c r="L260" i="19"/>
  <c r="K270" i="19"/>
  <c r="K274" i="19"/>
  <c r="K276" i="19" s="1"/>
  <c r="K271" i="19"/>
  <c r="L282" i="19"/>
  <c r="L281" i="19"/>
  <c r="L292" i="19"/>
  <c r="K303" i="19"/>
  <c r="K307" i="19"/>
  <c r="K309" i="19" s="1"/>
  <c r="K304" i="19"/>
  <c r="L347" i="19"/>
  <c r="J370" i="19"/>
  <c r="J369" i="19"/>
  <c r="K391" i="19"/>
  <c r="K395" i="19"/>
  <c r="K397" i="19" s="1"/>
  <c r="K392" i="19"/>
  <c r="AB439" i="19"/>
  <c r="AC439" i="19" s="1"/>
  <c r="AB435" i="19"/>
  <c r="AC435" i="19" s="1"/>
  <c r="AB442" i="19"/>
  <c r="AC442" i="19" s="1"/>
  <c r="AB438" i="19"/>
  <c r="AC438" i="19" s="1"/>
  <c r="AB441" i="19"/>
  <c r="AC441" i="19" s="1"/>
  <c r="AB436" i="19"/>
  <c r="AC436" i="19" s="1"/>
  <c r="AB437" i="19"/>
  <c r="AC437" i="19" s="1"/>
  <c r="AB440" i="19"/>
  <c r="AC440" i="19" s="1"/>
  <c r="L160" i="19"/>
  <c r="D198" i="19"/>
  <c r="D210" i="19"/>
  <c r="F221" i="19"/>
  <c r="D231" i="19"/>
  <c r="K237" i="19"/>
  <c r="J241" i="19"/>
  <c r="J243" i="19" s="1"/>
  <c r="E242" i="19"/>
  <c r="E253" i="19"/>
  <c r="H281" i="19"/>
  <c r="H282" i="19"/>
  <c r="J282" i="19"/>
  <c r="G308" i="19"/>
  <c r="L380" i="19"/>
  <c r="L381" i="19"/>
  <c r="H216" i="19"/>
  <c r="E231" i="19"/>
  <c r="E265" i="19"/>
  <c r="E264" i="19"/>
  <c r="H292" i="19"/>
  <c r="H296" i="19"/>
  <c r="H293" i="19"/>
  <c r="L303" i="19"/>
  <c r="L307" i="19"/>
  <c r="L309" i="19" s="1"/>
  <c r="L304" i="19"/>
  <c r="K314" i="19"/>
  <c r="H325" i="19"/>
  <c r="G121" i="19"/>
  <c r="F210" i="19"/>
  <c r="H259" i="19"/>
  <c r="L270" i="19"/>
  <c r="H303" i="19"/>
  <c r="H304" i="19"/>
  <c r="L314" i="19"/>
  <c r="L315" i="19"/>
  <c r="D320" i="19"/>
  <c r="L325" i="19"/>
  <c r="L326" i="19"/>
  <c r="H351" i="19"/>
  <c r="H348" i="19"/>
  <c r="I358" i="19"/>
  <c r="I359" i="19"/>
  <c r="F287" i="19"/>
  <c r="I380" i="19"/>
  <c r="I384" i="19"/>
  <c r="I381" i="19"/>
  <c r="K149" i="19"/>
  <c r="H160" i="19"/>
  <c r="L171" i="19"/>
  <c r="K216" i="19"/>
  <c r="J248" i="19"/>
  <c r="E275" i="19"/>
  <c r="G287" i="19"/>
  <c r="J337" i="19"/>
  <c r="J336" i="19"/>
  <c r="I391" i="19"/>
  <c r="I392" i="19"/>
  <c r="J238" i="19"/>
  <c r="G275" i="19"/>
  <c r="K292" i="19"/>
  <c r="K293" i="19"/>
  <c r="I329" i="19"/>
  <c r="I331" i="19" s="1"/>
  <c r="I325" i="19"/>
  <c r="I326" i="19"/>
  <c r="E309" i="19"/>
  <c r="D353" i="19"/>
  <c r="H403" i="19"/>
  <c r="H402" i="19"/>
  <c r="I413" i="19"/>
  <c r="I414" i="19"/>
  <c r="AB429" i="19"/>
  <c r="AC429" i="19" s="1"/>
  <c r="AB430" i="19"/>
  <c r="AC430" i="19" s="1"/>
  <c r="AB425" i="19"/>
  <c r="AC425" i="19" s="1"/>
  <c r="AB428" i="19"/>
  <c r="AC428" i="19" s="1"/>
  <c r="AB424" i="19"/>
  <c r="AC424" i="19" s="1"/>
  <c r="H436" i="19"/>
  <c r="H435" i="19"/>
  <c r="H439" i="19"/>
  <c r="AB462" i="19"/>
  <c r="AC462" i="19" s="1"/>
  <c r="AB460" i="19"/>
  <c r="AC460" i="19" s="1"/>
  <c r="AB458" i="19"/>
  <c r="AC458" i="19" s="1"/>
  <c r="AB464" i="19"/>
  <c r="AC464" i="19" s="1"/>
  <c r="AB459" i="19"/>
  <c r="AC459" i="19" s="1"/>
  <c r="AB457" i="19"/>
  <c r="AC457" i="19" s="1"/>
  <c r="AB463" i="19"/>
  <c r="AC463" i="19" s="1"/>
  <c r="H472" i="19"/>
  <c r="H468" i="19"/>
  <c r="D287" i="19"/>
  <c r="L358" i="19"/>
  <c r="L359" i="19"/>
  <c r="J417" i="19"/>
  <c r="J419" i="19" s="1"/>
  <c r="J414" i="19"/>
  <c r="H425" i="19"/>
  <c r="I435" i="19"/>
  <c r="I436" i="19"/>
  <c r="K450" i="19"/>
  <c r="K452" i="19" s="1"/>
  <c r="K447" i="19"/>
  <c r="K446" i="19"/>
  <c r="L458" i="19"/>
  <c r="L457" i="19"/>
  <c r="F319" i="19"/>
  <c r="J348" i="19"/>
  <c r="K370" i="19"/>
  <c r="K369" i="19"/>
  <c r="J380" i="19"/>
  <c r="J403" i="19"/>
  <c r="J402" i="19"/>
  <c r="L425" i="19"/>
  <c r="L428" i="19"/>
  <c r="L430" i="19" s="1"/>
  <c r="K425" i="19"/>
  <c r="P430" i="19"/>
  <c r="Q430" i="19" s="1"/>
  <c r="J436" i="19"/>
  <c r="J435" i="19"/>
  <c r="AF451" i="19"/>
  <c r="AG451" i="19" s="1"/>
  <c r="AF450" i="19"/>
  <c r="AG450" i="19" s="1"/>
  <c r="AF448" i="19"/>
  <c r="AG448" i="19" s="1"/>
  <c r="AF447" i="19"/>
  <c r="AG447" i="19" s="1"/>
  <c r="AF453" i="19"/>
  <c r="AG453" i="19" s="1"/>
  <c r="AF452" i="19"/>
  <c r="AG452" i="19" s="1"/>
  <c r="L447" i="19"/>
  <c r="I468" i="19"/>
  <c r="I469" i="19"/>
  <c r="I472" i="19"/>
  <c r="I474" i="19" s="1"/>
  <c r="I293" i="19"/>
  <c r="J314" i="19"/>
  <c r="J326" i="19"/>
  <c r="L336" i="19"/>
  <c r="K348" i="19"/>
  <c r="K359" i="19"/>
  <c r="K381" i="19"/>
  <c r="AB415" i="19"/>
  <c r="AC415" i="19" s="1"/>
  <c r="AB419" i="19"/>
  <c r="AC419" i="19" s="1"/>
  <c r="AB418" i="19"/>
  <c r="AC418" i="19" s="1"/>
  <c r="J413" i="19"/>
  <c r="K436" i="19"/>
  <c r="H447" i="19"/>
  <c r="H446" i="19"/>
  <c r="AF446" i="19"/>
  <c r="AG446" i="19" s="1"/>
  <c r="K403" i="19"/>
  <c r="K402" i="19"/>
  <c r="P431" i="19"/>
  <c r="Q431" i="19" s="1"/>
  <c r="P428" i="19"/>
  <c r="Q428" i="19" s="1"/>
  <c r="P424" i="19"/>
  <c r="Q424" i="19" s="1"/>
  <c r="P429" i="19"/>
  <c r="Q429" i="19" s="1"/>
  <c r="P427" i="19"/>
  <c r="Q427" i="19" s="1"/>
  <c r="P426" i="19"/>
  <c r="Q426" i="19" s="1"/>
  <c r="H457" i="19"/>
  <c r="H458" i="19"/>
  <c r="X496" i="19"/>
  <c r="Y496" i="19" s="1"/>
  <c r="X494" i="19"/>
  <c r="Y494" i="19" s="1"/>
  <c r="X490" i="19"/>
  <c r="Y490" i="19" s="1"/>
  <c r="X497" i="19"/>
  <c r="Y497" i="19" s="1"/>
  <c r="X495" i="19"/>
  <c r="Y495" i="19" s="1"/>
  <c r="X492" i="19"/>
  <c r="Y492" i="19" s="1"/>
  <c r="X493" i="19"/>
  <c r="Y493" i="19" s="1"/>
  <c r="X491" i="19"/>
  <c r="Y491" i="19" s="1"/>
  <c r="I337" i="19"/>
  <c r="I347" i="19"/>
  <c r="E352" i="19"/>
  <c r="I370" i="19"/>
  <c r="L402" i="19"/>
  <c r="AB461" i="19"/>
  <c r="AC461" i="19" s="1"/>
  <c r="K469" i="19"/>
  <c r="K468" i="19"/>
  <c r="H480" i="19"/>
  <c r="H479" i="19"/>
  <c r="K337" i="19"/>
  <c r="J362" i="19"/>
  <c r="J364" i="19" s="1"/>
  <c r="J359" i="19"/>
  <c r="F363" i="19"/>
  <c r="J425" i="19"/>
  <c r="J424" i="19"/>
  <c r="H370" i="19"/>
  <c r="L392" i="19"/>
  <c r="M392" i="19" s="1"/>
  <c r="F397" i="19"/>
  <c r="F419" i="19"/>
  <c r="H502" i="19"/>
  <c r="H501" i="19"/>
  <c r="F375" i="19"/>
  <c r="G407" i="19"/>
  <c r="AF468" i="19"/>
  <c r="AG468" i="19" s="1"/>
  <c r="L469" i="19"/>
  <c r="AF473" i="19"/>
  <c r="AG473" i="19" s="1"/>
  <c r="AB497" i="19"/>
  <c r="AC497" i="19" s="1"/>
  <c r="AB495" i="19"/>
  <c r="AC495" i="19" s="1"/>
  <c r="AB493" i="19"/>
  <c r="AC493" i="19" s="1"/>
  <c r="AB491" i="19"/>
  <c r="AC491" i="19" s="1"/>
  <c r="AB492" i="19"/>
  <c r="AC492" i="19" s="1"/>
  <c r="AB490" i="19"/>
  <c r="AC490" i="19" s="1"/>
  <c r="AB496" i="19"/>
  <c r="AC496" i="19" s="1"/>
  <c r="G331" i="19"/>
  <c r="D364" i="19"/>
  <c r="D386" i="19"/>
  <c r="T457" i="19"/>
  <c r="U457" i="19" s="1"/>
  <c r="T459" i="19"/>
  <c r="U459" i="19" s="1"/>
  <c r="AF474" i="19"/>
  <c r="AG474" i="19" s="1"/>
  <c r="AF475" i="19"/>
  <c r="AG475" i="19" s="1"/>
  <c r="K483" i="19"/>
  <c r="K485" i="19" s="1"/>
  <c r="K480" i="19"/>
  <c r="K479" i="19"/>
  <c r="H490" i="19"/>
  <c r="H491" i="19"/>
  <c r="L479" i="19"/>
  <c r="L483" i="19"/>
  <c r="L485" i="19" s="1"/>
  <c r="K523" i="19"/>
  <c r="I557" i="19"/>
  <c r="I560" i="19"/>
  <c r="I562" i="19" s="1"/>
  <c r="I556" i="19"/>
  <c r="X480" i="19"/>
  <c r="Y480" i="19" s="1"/>
  <c r="X481" i="19"/>
  <c r="Y481" i="19" s="1"/>
  <c r="X527" i="19"/>
  <c r="Y527" i="19" s="1"/>
  <c r="L567" i="19"/>
  <c r="L571" i="19"/>
  <c r="L573" i="19" s="1"/>
  <c r="L568" i="19"/>
  <c r="I490" i="19"/>
  <c r="I491" i="19"/>
  <c r="J480" i="19"/>
  <c r="X483" i="19"/>
  <c r="Y483" i="19" s="1"/>
  <c r="I534" i="19"/>
  <c r="J491" i="19"/>
  <c r="I513" i="19"/>
  <c r="I512" i="19"/>
  <c r="H524" i="19"/>
  <c r="H527" i="19"/>
  <c r="L535" i="19"/>
  <c r="L534" i="19"/>
  <c r="K491" i="19"/>
  <c r="J513" i="19"/>
  <c r="J512" i="19"/>
  <c r="I523" i="19"/>
  <c r="I524" i="19"/>
  <c r="L666" i="19"/>
  <c r="L667" i="19"/>
  <c r="L491" i="19"/>
  <c r="L490" i="19"/>
  <c r="K513" i="19"/>
  <c r="K512" i="19"/>
  <c r="X524" i="19"/>
  <c r="Y524" i="19" s="1"/>
  <c r="H560" i="19"/>
  <c r="H557" i="19"/>
  <c r="H556" i="19"/>
  <c r="K590" i="19"/>
  <c r="K589" i="19"/>
  <c r="L513" i="19"/>
  <c r="L512" i="19"/>
  <c r="H523" i="19"/>
  <c r="H535" i="19"/>
  <c r="H534" i="19"/>
  <c r="AF548" i="19"/>
  <c r="AG548" i="19" s="1"/>
  <c r="AF545" i="19"/>
  <c r="AG545" i="19" s="1"/>
  <c r="AF547" i="19"/>
  <c r="AG547" i="19" s="1"/>
  <c r="AF552" i="19"/>
  <c r="AG552" i="19" s="1"/>
  <c r="AF551" i="19"/>
  <c r="AG551" i="19" s="1"/>
  <c r="AF550" i="19"/>
  <c r="AG550" i="19" s="1"/>
  <c r="AF549" i="19"/>
  <c r="AG549" i="19" s="1"/>
  <c r="AF546" i="19"/>
  <c r="AG546" i="19" s="1"/>
  <c r="AF523" i="19"/>
  <c r="AG523" i="19" s="1"/>
  <c r="AF524" i="19"/>
  <c r="AG524" i="19" s="1"/>
  <c r="J534" i="19"/>
  <c r="X560" i="19"/>
  <c r="Y560" i="19" s="1"/>
  <c r="AF583" i="19"/>
  <c r="AG583" i="19" s="1"/>
  <c r="AF581" i="19"/>
  <c r="AG581" i="19" s="1"/>
  <c r="AF579" i="19"/>
  <c r="AG579" i="19" s="1"/>
  <c r="AF580" i="19"/>
  <c r="AG580" i="19" s="1"/>
  <c r="AF584" i="19"/>
  <c r="AG584" i="19" s="1"/>
  <c r="AF582" i="19"/>
  <c r="AG582" i="19" s="1"/>
  <c r="L612" i="19"/>
  <c r="L611" i="19"/>
  <c r="AF628" i="19"/>
  <c r="AG628" i="19" s="1"/>
  <c r="AF627" i="19"/>
  <c r="AG627" i="19" s="1"/>
  <c r="AF629" i="19"/>
  <c r="AG629" i="19" s="1"/>
  <c r="AF625" i="19"/>
  <c r="AG625" i="19" s="1"/>
  <c r="AF623" i="19"/>
  <c r="AG623" i="19" s="1"/>
  <c r="AF622" i="19"/>
  <c r="AG622" i="19" s="1"/>
  <c r="AF626" i="19"/>
  <c r="AG626" i="19" s="1"/>
  <c r="AF624" i="19"/>
  <c r="AG624" i="19" s="1"/>
  <c r="AF526" i="19"/>
  <c r="AG526" i="19" s="1"/>
  <c r="AF525" i="19"/>
  <c r="AG525" i="19" s="1"/>
  <c r="AF527" i="19"/>
  <c r="AG527" i="19" s="1"/>
  <c r="H579" i="19"/>
  <c r="H578" i="19"/>
  <c r="AF578" i="19"/>
  <c r="AG578" i="19" s="1"/>
  <c r="AF595" i="19"/>
  <c r="AG595" i="19" s="1"/>
  <c r="AF596" i="19"/>
  <c r="AG596" i="19" s="1"/>
  <c r="AF594" i="19"/>
  <c r="AG594" i="19" s="1"/>
  <c r="AF593" i="19"/>
  <c r="AG593" i="19" s="1"/>
  <c r="AF591" i="19"/>
  <c r="AG591" i="19" s="1"/>
  <c r="AF590" i="19"/>
  <c r="AG590" i="19" s="1"/>
  <c r="AF592" i="19"/>
  <c r="AG592" i="19" s="1"/>
  <c r="AF589" i="19"/>
  <c r="AG589" i="19" s="1"/>
  <c r="L590" i="19"/>
  <c r="X605" i="19"/>
  <c r="Y605" i="19" s="1"/>
  <c r="X604" i="19"/>
  <c r="Y604" i="19" s="1"/>
  <c r="X600" i="19"/>
  <c r="Y600" i="19" s="1"/>
  <c r="X603" i="19"/>
  <c r="Y603" i="19" s="1"/>
  <c r="X602" i="19"/>
  <c r="Y602" i="19" s="1"/>
  <c r="X607" i="19"/>
  <c r="Y607" i="19" s="1"/>
  <c r="X606" i="19"/>
  <c r="Y606" i="19" s="1"/>
  <c r="X601" i="19"/>
  <c r="Y601" i="19" s="1"/>
  <c r="H615" i="19"/>
  <c r="H611" i="19"/>
  <c r="L644" i="19"/>
  <c r="I546" i="19"/>
  <c r="I545" i="19"/>
  <c r="J601" i="19"/>
  <c r="H634" i="19"/>
  <c r="H633" i="19"/>
  <c r="X558" i="19"/>
  <c r="Y558" i="19" s="1"/>
  <c r="X556" i="19"/>
  <c r="Y556" i="19" s="1"/>
  <c r="X563" i="19"/>
  <c r="Y563" i="19" s="1"/>
  <c r="X557" i="19"/>
  <c r="Y557" i="19" s="1"/>
  <c r="X561" i="19"/>
  <c r="Y561" i="19" s="1"/>
  <c r="J546" i="19"/>
  <c r="J545" i="19"/>
  <c r="X559" i="19"/>
  <c r="Y559" i="19" s="1"/>
  <c r="X584" i="19"/>
  <c r="Y584" i="19" s="1"/>
  <c r="X582" i="19"/>
  <c r="Y582" i="19" s="1"/>
  <c r="X578" i="19"/>
  <c r="Y578" i="19" s="1"/>
  <c r="X585" i="19"/>
  <c r="Y585" i="19" s="1"/>
  <c r="X583" i="19"/>
  <c r="Y583" i="19" s="1"/>
  <c r="X579" i="19"/>
  <c r="Y579" i="19" s="1"/>
  <c r="X580" i="19"/>
  <c r="Y580" i="19" s="1"/>
  <c r="K546" i="19"/>
  <c r="K545" i="19"/>
  <c r="X617" i="19"/>
  <c r="Y617" i="19" s="1"/>
  <c r="I634" i="19"/>
  <c r="I633" i="19"/>
  <c r="H644" i="19"/>
  <c r="H648" i="19"/>
  <c r="H645" i="19"/>
  <c r="H622" i="19"/>
  <c r="H623" i="19"/>
  <c r="D628" i="19"/>
  <c r="X661" i="19"/>
  <c r="Y661" i="19" s="1"/>
  <c r="X660" i="19"/>
  <c r="Y660" i="19" s="1"/>
  <c r="X657" i="19"/>
  <c r="Y657" i="19" s="1"/>
  <c r="X662" i="19"/>
  <c r="Y662" i="19" s="1"/>
  <c r="X659" i="19"/>
  <c r="Y659" i="19" s="1"/>
  <c r="X658" i="19"/>
  <c r="Y658" i="19" s="1"/>
  <c r="X656" i="19"/>
  <c r="Y656" i="19" s="1"/>
  <c r="X655" i="19"/>
  <c r="Y655" i="19" s="1"/>
  <c r="I601" i="19"/>
  <c r="I600" i="19"/>
  <c r="T616" i="19"/>
  <c r="U616" i="19" s="1"/>
  <c r="T615" i="19"/>
  <c r="U615" i="19" s="1"/>
  <c r="T611" i="19"/>
  <c r="U611" i="19" s="1"/>
  <c r="T618" i="19"/>
  <c r="U618" i="19" s="1"/>
  <c r="T614" i="19"/>
  <c r="U614" i="19" s="1"/>
  <c r="T613" i="19"/>
  <c r="U613" i="19" s="1"/>
  <c r="T617" i="19"/>
  <c r="U617" i="19" s="1"/>
  <c r="T612" i="19"/>
  <c r="U612" i="19" s="1"/>
  <c r="I622" i="19"/>
  <c r="I623" i="19"/>
  <c r="L634" i="19"/>
  <c r="L633" i="19"/>
  <c r="AB638" i="19"/>
  <c r="AC638" i="19" s="1"/>
  <c r="AB636" i="19"/>
  <c r="AC636" i="19" s="1"/>
  <c r="AB634" i="19"/>
  <c r="AC634" i="19" s="1"/>
  <c r="AB639" i="19"/>
  <c r="AC639" i="19" s="1"/>
  <c r="AB633" i="19"/>
  <c r="AC633" i="19" s="1"/>
  <c r="AB635" i="19"/>
  <c r="AC635" i="19" s="1"/>
  <c r="AB637" i="19"/>
  <c r="AC637" i="19" s="1"/>
  <c r="J622" i="19"/>
  <c r="J626" i="19"/>
  <c r="J628" i="19" s="1"/>
  <c r="J623" i="19"/>
  <c r="X672" i="19"/>
  <c r="Y672" i="19" s="1"/>
  <c r="X670" i="19"/>
  <c r="Y670" i="19" s="1"/>
  <c r="X666" i="19"/>
  <c r="Y666" i="19" s="1"/>
  <c r="X673" i="19"/>
  <c r="Y673" i="19" s="1"/>
  <c r="X669" i="19"/>
  <c r="Y669" i="19" s="1"/>
  <c r="X667" i="19"/>
  <c r="Y667" i="19" s="1"/>
  <c r="X671" i="19"/>
  <c r="Y671" i="19" s="1"/>
  <c r="X668" i="19"/>
  <c r="Y668" i="19" s="1"/>
  <c r="J667" i="19"/>
  <c r="L604" i="19"/>
  <c r="L606" i="19" s="1"/>
  <c r="P606" i="19"/>
  <c r="Q606" i="19" s="1"/>
  <c r="P602" i="19"/>
  <c r="Q602" i="19" s="1"/>
  <c r="K626" i="19"/>
  <c r="K628" i="19" s="1"/>
  <c r="K623" i="19"/>
  <c r="K622" i="19"/>
  <c r="L677" i="19"/>
  <c r="L678" i="19"/>
  <c r="I689" i="19"/>
  <c r="I688" i="19"/>
  <c r="K612" i="19"/>
  <c r="K611" i="19"/>
  <c r="K666" i="19"/>
  <c r="K677" i="19"/>
  <c r="K678" i="19"/>
  <c r="H689" i="19"/>
  <c r="H688" i="19"/>
  <c r="K655" i="19"/>
  <c r="K659" i="19"/>
  <c r="K661" i="19" s="1"/>
  <c r="K656" i="19"/>
  <c r="H655" i="19"/>
  <c r="P671" i="19"/>
  <c r="Q671" i="19" s="1"/>
  <c r="P669" i="19"/>
  <c r="Q669" i="19" s="1"/>
  <c r="P667" i="19"/>
  <c r="Q667" i="19" s="1"/>
  <c r="P668" i="19"/>
  <c r="Q668" i="19" s="1"/>
  <c r="I648" i="19"/>
  <c r="I650" i="19" s="1"/>
  <c r="I645" i="19"/>
  <c r="L655" i="19"/>
  <c r="L659" i="19"/>
  <c r="L661" i="19" s="1"/>
  <c r="L656" i="19"/>
  <c r="J689" i="19"/>
  <c r="J688" i="19"/>
  <c r="X646" i="19"/>
  <c r="Y646" i="19" s="1"/>
  <c r="X651" i="19"/>
  <c r="Y651" i="19" s="1"/>
  <c r="X648" i="19"/>
  <c r="Y648" i="19" s="1"/>
  <c r="X647" i="19"/>
  <c r="Y647" i="19" s="1"/>
  <c r="X645" i="19"/>
  <c r="Y645" i="19" s="1"/>
  <c r="X644" i="19"/>
  <c r="Y644" i="19" s="1"/>
  <c r="X649" i="19"/>
  <c r="Y649" i="19" s="1"/>
  <c r="I667" i="19"/>
  <c r="I666" i="19"/>
  <c r="K689" i="19"/>
  <c r="K688" i="19"/>
  <c r="J656" i="19"/>
  <c r="AB580" i="19" l="1"/>
  <c r="AC580" i="19" s="1"/>
  <c r="AB578" i="19"/>
  <c r="AC578" i="19" s="1"/>
  <c r="AB584" i="19"/>
  <c r="AC584" i="19" s="1"/>
  <c r="P514" i="19"/>
  <c r="Q514" i="19" s="1"/>
  <c r="P56" i="19"/>
  <c r="Q56" i="19" s="1"/>
  <c r="T658" i="19"/>
  <c r="U658" i="19" s="1"/>
  <c r="T656" i="19"/>
  <c r="U656" i="19" s="1"/>
  <c r="P515" i="19"/>
  <c r="Q515" i="19" s="1"/>
  <c r="T655" i="19"/>
  <c r="U655" i="19" s="1"/>
  <c r="P512" i="19"/>
  <c r="Q512" i="19" s="1"/>
  <c r="P513" i="19"/>
  <c r="Q513" i="19" s="1"/>
  <c r="P516" i="19"/>
  <c r="Q516" i="19" s="1"/>
  <c r="K62" i="19"/>
  <c r="T660" i="19"/>
  <c r="U660" i="19" s="1"/>
  <c r="T661" i="19"/>
  <c r="U661" i="19" s="1"/>
  <c r="T657" i="19"/>
  <c r="U657" i="19" s="1"/>
  <c r="I660" i="19" s="1"/>
  <c r="T659" i="19"/>
  <c r="U659" i="19" s="1"/>
  <c r="J135" i="19"/>
  <c r="X392" i="19"/>
  <c r="Y392" i="19" s="1"/>
  <c r="AF442" i="19"/>
  <c r="AG442" i="19" s="1"/>
  <c r="F472" i="19"/>
  <c r="F473" i="19" s="1"/>
  <c r="T461" i="19"/>
  <c r="U461" i="19" s="1"/>
  <c r="H135" i="19"/>
  <c r="X395" i="19"/>
  <c r="Y395" i="19" s="1"/>
  <c r="X397" i="19"/>
  <c r="Y397" i="19" s="1"/>
  <c r="AF437" i="19"/>
  <c r="AG437" i="19" s="1"/>
  <c r="X391" i="19"/>
  <c r="Y391" i="19" s="1"/>
  <c r="AB562" i="19"/>
  <c r="AC562" i="19" s="1"/>
  <c r="AF438" i="19"/>
  <c r="AG438" i="19" s="1"/>
  <c r="X398" i="19"/>
  <c r="Y398" i="19" s="1"/>
  <c r="AB556" i="19"/>
  <c r="AC556" i="19" s="1"/>
  <c r="L168" i="19"/>
  <c r="X394" i="19"/>
  <c r="Y394" i="19" s="1"/>
  <c r="D512" i="19"/>
  <c r="AB560" i="19"/>
  <c r="AC560" i="19" s="1"/>
  <c r="G457" i="19"/>
  <c r="D624" i="19"/>
  <c r="D629" i="19" s="1"/>
  <c r="D668" i="19"/>
  <c r="D673" i="19" s="1"/>
  <c r="F468" i="19"/>
  <c r="AF418" i="19"/>
  <c r="AG418" i="19" s="1"/>
  <c r="P683" i="19"/>
  <c r="Q683" i="19" s="1"/>
  <c r="P678" i="19"/>
  <c r="Q678" i="19" s="1"/>
  <c r="P681" i="19"/>
  <c r="Q681" i="19" s="1"/>
  <c r="AF417" i="19"/>
  <c r="AG417" i="19" s="1"/>
  <c r="AF420" i="19"/>
  <c r="AG420" i="19" s="1"/>
  <c r="P420" i="19"/>
  <c r="Q420" i="19" s="1"/>
  <c r="E655" i="19"/>
  <c r="K135" i="19"/>
  <c r="X636" i="19"/>
  <c r="Y636" i="19" s="1"/>
  <c r="X633" i="19"/>
  <c r="Y633" i="19" s="1"/>
  <c r="P415" i="19"/>
  <c r="Q415" i="19" s="1"/>
  <c r="X638" i="19"/>
  <c r="Y638" i="19" s="1"/>
  <c r="P418" i="19"/>
  <c r="Q418" i="19" s="1"/>
  <c r="X640" i="19"/>
  <c r="Y640" i="19" s="1"/>
  <c r="P419" i="19"/>
  <c r="Q419" i="19" s="1"/>
  <c r="X572" i="19"/>
  <c r="Y572" i="19" s="1"/>
  <c r="AB650" i="19"/>
  <c r="AC650" i="19" s="1"/>
  <c r="P413" i="19"/>
  <c r="Q413" i="19" s="1"/>
  <c r="P414" i="19"/>
  <c r="Q414" i="19" s="1"/>
  <c r="X570" i="19"/>
  <c r="Y570" i="19" s="1"/>
  <c r="P589" i="19"/>
  <c r="Q589" i="19" s="1"/>
  <c r="X573" i="19"/>
  <c r="Y573" i="19" s="1"/>
  <c r="P416" i="19"/>
  <c r="Q416" i="19" s="1"/>
  <c r="M304" i="19"/>
  <c r="L146" i="19"/>
  <c r="AF502" i="19"/>
  <c r="AG502" i="19" s="1"/>
  <c r="E617" i="19"/>
  <c r="AF503" i="19"/>
  <c r="AG503" i="19" s="1"/>
  <c r="E611" i="19"/>
  <c r="P548" i="19"/>
  <c r="Q548" i="19" s="1"/>
  <c r="F688" i="19"/>
  <c r="G461" i="19"/>
  <c r="G463" i="19" s="1"/>
  <c r="K168" i="19"/>
  <c r="P590" i="19"/>
  <c r="Q590" i="19" s="1"/>
  <c r="G578" i="19"/>
  <c r="P592" i="19"/>
  <c r="Q592" i="19" s="1"/>
  <c r="G579" i="19"/>
  <c r="X159" i="19"/>
  <c r="J164" i="19" s="1"/>
  <c r="J166" i="19" s="1"/>
  <c r="G589" i="19"/>
  <c r="AF415" i="19"/>
  <c r="AG415" i="19" s="1"/>
  <c r="M370" i="19"/>
  <c r="AF413" i="19"/>
  <c r="AG413" i="19" s="1"/>
  <c r="AF419" i="19"/>
  <c r="AG419" i="19" s="1"/>
  <c r="AF414" i="19"/>
  <c r="AG414" i="19" s="1"/>
  <c r="AB649" i="19"/>
  <c r="AC649" i="19" s="1"/>
  <c r="K146" i="19"/>
  <c r="D461" i="19"/>
  <c r="D457" i="19"/>
  <c r="D459" i="19"/>
  <c r="D464" i="19" s="1"/>
  <c r="D458" i="19"/>
  <c r="E645" i="19"/>
  <c r="E648" i="19"/>
  <c r="E646" i="19"/>
  <c r="E651" i="19" s="1"/>
  <c r="E644" i="19"/>
  <c r="E459" i="19"/>
  <c r="E464" i="19" s="1"/>
  <c r="E457" i="19"/>
  <c r="E461" i="19"/>
  <c r="E458" i="19"/>
  <c r="F512" i="19"/>
  <c r="F513" i="19"/>
  <c r="F516" i="19"/>
  <c r="D538" i="19"/>
  <c r="D536" i="19"/>
  <c r="D541" i="19" s="1"/>
  <c r="D535" i="19"/>
  <c r="D534" i="19"/>
  <c r="F501" i="19"/>
  <c r="F505" i="19"/>
  <c r="F502" i="19"/>
  <c r="G571" i="19"/>
  <c r="G568" i="19"/>
  <c r="G567" i="19"/>
  <c r="E593" i="19"/>
  <c r="E591" i="19"/>
  <c r="E596" i="19" s="1"/>
  <c r="E590" i="19"/>
  <c r="E589" i="19"/>
  <c r="F645" i="19"/>
  <c r="F644" i="19"/>
  <c r="D602" i="19"/>
  <c r="D607" i="19" s="1"/>
  <c r="D604" i="19"/>
  <c r="D601" i="19"/>
  <c r="D600" i="19"/>
  <c r="E483" i="19"/>
  <c r="E480" i="19"/>
  <c r="D580" i="19"/>
  <c r="D585" i="19" s="1"/>
  <c r="D578" i="19"/>
  <c r="G593" i="19"/>
  <c r="G546" i="19"/>
  <c r="G545" i="19"/>
  <c r="G549" i="19"/>
  <c r="D525" i="19"/>
  <c r="D530" i="19" s="1"/>
  <c r="D524" i="19"/>
  <c r="D523" i="19"/>
  <c r="D527" i="19"/>
  <c r="F637" i="19"/>
  <c r="F634" i="19"/>
  <c r="F633" i="19"/>
  <c r="E439" i="19"/>
  <c r="E435" i="19"/>
  <c r="E437" i="19"/>
  <c r="E442" i="19" s="1"/>
  <c r="E436" i="19"/>
  <c r="D480" i="19"/>
  <c r="D479" i="19"/>
  <c r="D481" i="19"/>
  <c r="D486" i="19" s="1"/>
  <c r="D483" i="19"/>
  <c r="E571" i="19"/>
  <c r="E569" i="19"/>
  <c r="E574" i="19" s="1"/>
  <c r="E568" i="19"/>
  <c r="E567" i="19"/>
  <c r="G681" i="19"/>
  <c r="G678" i="19"/>
  <c r="G677" i="19"/>
  <c r="F424" i="19"/>
  <c r="F428" i="19"/>
  <c r="F425" i="19"/>
  <c r="F600" i="19"/>
  <c r="F601" i="19"/>
  <c r="F447" i="19"/>
  <c r="F446" i="19"/>
  <c r="F450" i="19"/>
  <c r="E525" i="19"/>
  <c r="E530" i="19" s="1"/>
  <c r="E527" i="19"/>
  <c r="E524" i="19"/>
  <c r="E523" i="19"/>
  <c r="G637" i="19"/>
  <c r="G634" i="19"/>
  <c r="E481" i="19"/>
  <c r="E486" i="19" s="1"/>
  <c r="G501" i="19"/>
  <c r="G505" i="19"/>
  <c r="G502" i="19"/>
  <c r="D494" i="19"/>
  <c r="D492" i="19"/>
  <c r="D497" i="19" s="1"/>
  <c r="D491" i="19"/>
  <c r="D490" i="19"/>
  <c r="F578" i="19"/>
  <c r="F582" i="19"/>
  <c r="F579" i="19"/>
  <c r="E613" i="19"/>
  <c r="E618" i="19" s="1"/>
  <c r="F692" i="19"/>
  <c r="E513" i="19"/>
  <c r="E512" i="19"/>
  <c r="E516" i="19"/>
  <c r="E514" i="19"/>
  <c r="E519" i="19" s="1"/>
  <c r="G626" i="19"/>
  <c r="G623" i="19"/>
  <c r="G622" i="19"/>
  <c r="E612" i="19"/>
  <c r="D667" i="19"/>
  <c r="F557" i="19"/>
  <c r="F556" i="19"/>
  <c r="F560" i="19"/>
  <c r="D659" i="19"/>
  <c r="D657" i="19"/>
  <c r="D662" i="19" s="1"/>
  <c r="D656" i="19"/>
  <c r="D655" i="19"/>
  <c r="E656" i="19"/>
  <c r="E657" i="19"/>
  <c r="E662" i="19" s="1"/>
  <c r="D582" i="19"/>
  <c r="G494" i="19"/>
  <c r="G491" i="19"/>
  <c r="G490" i="19"/>
  <c r="G439" i="19"/>
  <c r="G436" i="19"/>
  <c r="G435" i="19"/>
  <c r="F606" i="19"/>
  <c r="E661" i="19"/>
  <c r="F474" i="19"/>
  <c r="G584" i="19"/>
  <c r="F546" i="19"/>
  <c r="F549" i="19"/>
  <c r="F545" i="19"/>
  <c r="E546" i="19"/>
  <c r="E549" i="19"/>
  <c r="E545" i="19"/>
  <c r="E547" i="19"/>
  <c r="E552" i="19" s="1"/>
  <c r="D514" i="19"/>
  <c r="D519" i="19" s="1"/>
  <c r="D516" i="19"/>
  <c r="G600" i="19"/>
  <c r="G604" i="19"/>
  <c r="G601" i="19"/>
  <c r="G689" i="19"/>
  <c r="G688" i="19"/>
  <c r="G692" i="19"/>
  <c r="E689" i="19"/>
  <c r="E688" i="19"/>
  <c r="E692" i="19"/>
  <c r="E690" i="19"/>
  <c r="E695" i="19" s="1"/>
  <c r="D690" i="19"/>
  <c r="D695" i="19" s="1"/>
  <c r="D689" i="19"/>
  <c r="D688" i="19"/>
  <c r="D692" i="19"/>
  <c r="G469" i="19"/>
  <c r="G468" i="19"/>
  <c r="G472" i="19"/>
  <c r="G556" i="19"/>
  <c r="G560" i="19"/>
  <c r="G557" i="19"/>
  <c r="E556" i="19"/>
  <c r="E560" i="19"/>
  <c r="E558" i="19"/>
  <c r="E563" i="19" s="1"/>
  <c r="E557" i="19"/>
  <c r="D557" i="19"/>
  <c r="D556" i="19"/>
  <c r="D560" i="19"/>
  <c r="D558" i="19"/>
  <c r="D563" i="19" s="1"/>
  <c r="G645" i="19"/>
  <c r="G644" i="19"/>
  <c r="G648" i="19"/>
  <c r="F612" i="19"/>
  <c r="F615" i="19"/>
  <c r="F611" i="19"/>
  <c r="G424" i="19"/>
  <c r="G428" i="19"/>
  <c r="G425" i="19"/>
  <c r="E425" i="19"/>
  <c r="E424" i="19"/>
  <c r="E428" i="19"/>
  <c r="E426" i="19"/>
  <c r="E431" i="19" s="1"/>
  <c r="D435" i="19"/>
  <c r="D436" i="19"/>
  <c r="D439" i="19"/>
  <c r="D437" i="19"/>
  <c r="D442" i="19" s="1"/>
  <c r="G512" i="19"/>
  <c r="G516" i="19"/>
  <c r="G513" i="19"/>
  <c r="F483" i="19"/>
  <c r="F479" i="19"/>
  <c r="F480" i="19"/>
  <c r="D567" i="19"/>
  <c r="D571" i="19"/>
  <c r="D569" i="19"/>
  <c r="D574" i="19" s="1"/>
  <c r="D568" i="19"/>
  <c r="G447" i="19"/>
  <c r="G446" i="19"/>
  <c r="G450" i="19"/>
  <c r="F571" i="19"/>
  <c r="F568" i="19"/>
  <c r="F567" i="19"/>
  <c r="F655" i="19"/>
  <c r="F659" i="19"/>
  <c r="F656" i="19"/>
  <c r="E623" i="19"/>
  <c r="E622" i="19"/>
  <c r="E626" i="19"/>
  <c r="E624" i="19"/>
  <c r="E629" i="19" s="1"/>
  <c r="F590" i="19"/>
  <c r="F589" i="19"/>
  <c r="F593" i="19"/>
  <c r="F435" i="19"/>
  <c r="F439" i="19"/>
  <c r="F436" i="19"/>
  <c r="D450" i="19"/>
  <c r="D448" i="19"/>
  <c r="D453" i="19" s="1"/>
  <c r="D447" i="19"/>
  <c r="D446" i="19"/>
  <c r="F523" i="19"/>
  <c r="F527" i="19"/>
  <c r="F524" i="19"/>
  <c r="G612" i="19"/>
  <c r="G615" i="19"/>
  <c r="G611" i="19"/>
  <c r="E490" i="19"/>
  <c r="E492" i="19"/>
  <c r="E497" i="19" s="1"/>
  <c r="E491" i="19"/>
  <c r="E494" i="19"/>
  <c r="F458" i="19"/>
  <c r="F457" i="19"/>
  <c r="F461" i="19"/>
  <c r="E579" i="19"/>
  <c r="E578" i="19"/>
  <c r="E582" i="19"/>
  <c r="E580" i="19"/>
  <c r="E585" i="19" s="1"/>
  <c r="E670" i="19"/>
  <c r="E666" i="19"/>
  <c r="E668" i="19"/>
  <c r="E673" i="19" s="1"/>
  <c r="E667" i="19"/>
  <c r="G483" i="19"/>
  <c r="G479" i="19"/>
  <c r="G480" i="19"/>
  <c r="D637" i="19"/>
  <c r="D633" i="19"/>
  <c r="D634" i="19"/>
  <c r="D635" i="19"/>
  <c r="D640" i="19" s="1"/>
  <c r="E601" i="19"/>
  <c r="E600" i="19"/>
  <c r="E604" i="19"/>
  <c r="E602" i="19"/>
  <c r="E607" i="19" s="1"/>
  <c r="E450" i="19"/>
  <c r="E448" i="19"/>
  <c r="E453" i="19" s="1"/>
  <c r="E447" i="19"/>
  <c r="E446" i="19"/>
  <c r="G655" i="19"/>
  <c r="G659" i="19"/>
  <c r="G656" i="19"/>
  <c r="E536" i="19"/>
  <c r="E541" i="19" s="1"/>
  <c r="E535" i="19"/>
  <c r="E538" i="19"/>
  <c r="E534" i="19"/>
  <c r="F623" i="19"/>
  <c r="F622" i="19"/>
  <c r="F626" i="19"/>
  <c r="D502" i="19"/>
  <c r="D503" i="19"/>
  <c r="D508" i="19" s="1"/>
  <c r="D505" i="19"/>
  <c r="D501" i="19"/>
  <c r="E469" i="19"/>
  <c r="E468" i="19"/>
  <c r="E472" i="19"/>
  <c r="E470" i="19"/>
  <c r="E475" i="19" s="1"/>
  <c r="D590" i="19"/>
  <c r="D591" i="19"/>
  <c r="D596" i="19" s="1"/>
  <c r="D589" i="19"/>
  <c r="D593" i="19"/>
  <c r="G527" i="19"/>
  <c r="G523" i="19"/>
  <c r="G524" i="19"/>
  <c r="D681" i="19"/>
  <c r="D679" i="19"/>
  <c r="D684" i="19" s="1"/>
  <c r="D678" i="19"/>
  <c r="D677" i="19"/>
  <c r="F491" i="19"/>
  <c r="F494" i="19"/>
  <c r="F490" i="19"/>
  <c r="D615" i="19"/>
  <c r="D611" i="19"/>
  <c r="D613" i="19"/>
  <c r="D618" i="19" s="1"/>
  <c r="D612" i="19"/>
  <c r="D470" i="19"/>
  <c r="D475" i="19" s="1"/>
  <c r="D469" i="19"/>
  <c r="D468" i="19"/>
  <c r="D472" i="19"/>
  <c r="G667" i="19"/>
  <c r="G670" i="19"/>
  <c r="G666" i="19"/>
  <c r="F670" i="19"/>
  <c r="F666" i="19"/>
  <c r="F667" i="19"/>
  <c r="D546" i="19"/>
  <c r="D549" i="19"/>
  <c r="D545" i="19"/>
  <c r="D547" i="19"/>
  <c r="D552" i="19" s="1"/>
  <c r="E637" i="19"/>
  <c r="E633" i="19"/>
  <c r="E635" i="19"/>
  <c r="E640" i="19" s="1"/>
  <c r="E634" i="19"/>
  <c r="F649" i="19"/>
  <c r="F650" i="19"/>
  <c r="E502" i="19"/>
  <c r="E505" i="19"/>
  <c r="E501" i="19"/>
  <c r="E503" i="19"/>
  <c r="E508" i="19" s="1"/>
  <c r="G535" i="19"/>
  <c r="G538" i="19"/>
  <c r="G534" i="19"/>
  <c r="F535" i="19"/>
  <c r="F538" i="19"/>
  <c r="F534" i="19"/>
  <c r="D425" i="19"/>
  <c r="D424" i="19"/>
  <c r="D428" i="19"/>
  <c r="D426" i="19"/>
  <c r="D431" i="19" s="1"/>
  <c r="F678" i="19"/>
  <c r="F677" i="19"/>
  <c r="F681" i="19"/>
  <c r="E679" i="19"/>
  <c r="E684" i="19" s="1"/>
  <c r="E681" i="19"/>
  <c r="E678" i="19"/>
  <c r="E677" i="19"/>
  <c r="D648" i="19"/>
  <c r="D646" i="19"/>
  <c r="D651" i="19" s="1"/>
  <c r="D645" i="19"/>
  <c r="D644" i="19"/>
  <c r="P679" i="19"/>
  <c r="Q679" i="19" s="1"/>
  <c r="AB648" i="19"/>
  <c r="AC648" i="19" s="1"/>
  <c r="AB647" i="19"/>
  <c r="AC647" i="19" s="1"/>
  <c r="AB651" i="19"/>
  <c r="AC651" i="19" s="1"/>
  <c r="AB602" i="19"/>
  <c r="AC602" i="19" s="1"/>
  <c r="P572" i="19"/>
  <c r="Q572" i="19" s="1"/>
  <c r="AB558" i="19"/>
  <c r="AC558" i="19" s="1"/>
  <c r="AB557" i="19"/>
  <c r="AC557" i="19" s="1"/>
  <c r="X634" i="19"/>
  <c r="Y634" i="19" s="1"/>
  <c r="X613" i="19"/>
  <c r="Y613" i="19" s="1"/>
  <c r="X614" i="19"/>
  <c r="Y614" i="19" s="1"/>
  <c r="X618" i="19"/>
  <c r="Y618" i="19" s="1"/>
  <c r="X611" i="19"/>
  <c r="Y611" i="19" s="1"/>
  <c r="X615" i="19"/>
  <c r="Y615" i="19" s="1"/>
  <c r="X616" i="19"/>
  <c r="Y616" i="19" s="1"/>
  <c r="AF563" i="19"/>
  <c r="AG563" i="19" s="1"/>
  <c r="AF562" i="19"/>
  <c r="AG562" i="19" s="1"/>
  <c r="AB561" i="19"/>
  <c r="AC561" i="19" s="1"/>
  <c r="AB559" i="19"/>
  <c r="AC559" i="19" s="1"/>
  <c r="AF507" i="19"/>
  <c r="AG507" i="19" s="1"/>
  <c r="P682" i="19"/>
  <c r="Q682" i="19" s="1"/>
  <c r="P677" i="19"/>
  <c r="Q677" i="19" s="1"/>
  <c r="P680" i="19"/>
  <c r="Q680" i="19" s="1"/>
  <c r="AB646" i="19"/>
  <c r="AC646" i="19" s="1"/>
  <c r="AB644" i="19"/>
  <c r="AC644" i="19" s="1"/>
  <c r="P600" i="19"/>
  <c r="Q600" i="19" s="1"/>
  <c r="P607" i="19"/>
  <c r="Q607" i="19" s="1"/>
  <c r="P604" i="19"/>
  <c r="Q604" i="19" s="1"/>
  <c r="P605" i="19"/>
  <c r="Q605" i="19" s="1"/>
  <c r="P593" i="19"/>
  <c r="Q593" i="19" s="1"/>
  <c r="P596" i="19"/>
  <c r="Q596" i="19" s="1"/>
  <c r="P594" i="19"/>
  <c r="Q594" i="19" s="1"/>
  <c r="P595" i="19"/>
  <c r="Q595" i="19" s="1"/>
  <c r="X574" i="19"/>
  <c r="Y574" i="19" s="1"/>
  <c r="X525" i="19"/>
  <c r="Y525" i="19" s="1"/>
  <c r="X529" i="19"/>
  <c r="Y529" i="19" s="1"/>
  <c r="X530" i="19"/>
  <c r="Y530" i="19" s="1"/>
  <c r="X523" i="19"/>
  <c r="Y523" i="19" s="1"/>
  <c r="X528" i="19"/>
  <c r="Y528" i="19" s="1"/>
  <c r="P518" i="19"/>
  <c r="Q518" i="19" s="1"/>
  <c r="P519" i="19"/>
  <c r="Q519" i="19" s="1"/>
  <c r="AF506" i="19"/>
  <c r="AG506" i="19" s="1"/>
  <c r="AF508" i="19"/>
  <c r="AG508" i="19" s="1"/>
  <c r="AB506" i="19"/>
  <c r="AC506" i="19" s="1"/>
  <c r="AB501" i="19"/>
  <c r="AC501" i="19" s="1"/>
  <c r="AB502" i="19"/>
  <c r="AC502" i="19" s="1"/>
  <c r="AB504" i="19"/>
  <c r="AC504" i="19" s="1"/>
  <c r="AB505" i="19"/>
  <c r="AC505" i="19" s="1"/>
  <c r="AB507" i="19"/>
  <c r="AC507" i="19" s="1"/>
  <c r="AB503" i="19"/>
  <c r="AC503" i="19" s="1"/>
  <c r="T448" i="19"/>
  <c r="U448" i="19" s="1"/>
  <c r="AF439" i="19"/>
  <c r="AG439" i="19" s="1"/>
  <c r="AF440" i="19"/>
  <c r="AG440" i="19" s="1"/>
  <c r="M128" i="19"/>
  <c r="T571" i="19"/>
  <c r="U571" i="19" s="1"/>
  <c r="T570" i="19"/>
  <c r="U570" i="19" s="1"/>
  <c r="T567" i="19"/>
  <c r="U567" i="19" s="1"/>
  <c r="X475" i="19"/>
  <c r="Y475" i="19" s="1"/>
  <c r="T573" i="19"/>
  <c r="U573" i="19" s="1"/>
  <c r="T574" i="19"/>
  <c r="U574" i="19" s="1"/>
  <c r="T569" i="19"/>
  <c r="U569" i="19" s="1"/>
  <c r="T572" i="19"/>
  <c r="U572" i="19" s="1"/>
  <c r="T271" i="19"/>
  <c r="U271" i="19" s="1"/>
  <c r="P547" i="19"/>
  <c r="Q547" i="19" s="1"/>
  <c r="X468" i="19"/>
  <c r="Y468" i="19" s="1"/>
  <c r="T274" i="19"/>
  <c r="U274" i="19" s="1"/>
  <c r="X469" i="19"/>
  <c r="Y469" i="19" s="1"/>
  <c r="T273" i="19"/>
  <c r="U273" i="19" s="1"/>
  <c r="X473" i="19"/>
  <c r="Y473" i="19" s="1"/>
  <c r="X471" i="19"/>
  <c r="Y471" i="19" s="1"/>
  <c r="T276" i="19"/>
  <c r="U276" i="19" s="1"/>
  <c r="K330" i="19"/>
  <c r="K329" i="19" s="1"/>
  <c r="K331" i="19" s="1"/>
  <c r="H374" i="19"/>
  <c r="H373" i="19" s="1"/>
  <c r="H375" i="19" s="1"/>
  <c r="J286" i="19"/>
  <c r="J285" i="19" s="1"/>
  <c r="J287" i="19" s="1"/>
  <c r="X472" i="19"/>
  <c r="Y472" i="19" s="1"/>
  <c r="T270" i="19"/>
  <c r="U270" i="19" s="1"/>
  <c r="K385" i="19"/>
  <c r="K384" i="19" s="1"/>
  <c r="K386" i="19" s="1"/>
  <c r="P545" i="19"/>
  <c r="Q545" i="19" s="1"/>
  <c r="P550" i="19"/>
  <c r="Q550" i="19" s="1"/>
  <c r="X474" i="19"/>
  <c r="Y474" i="19" s="1"/>
  <c r="T272" i="19"/>
  <c r="U272" i="19" s="1"/>
  <c r="P549" i="19"/>
  <c r="Q549" i="19" s="1"/>
  <c r="T275" i="19"/>
  <c r="U275" i="19" s="1"/>
  <c r="M326" i="19"/>
  <c r="I341" i="19"/>
  <c r="I340" i="19" s="1"/>
  <c r="I342" i="19" s="1"/>
  <c r="T585" i="19"/>
  <c r="U585" i="19" s="1"/>
  <c r="AB603" i="19"/>
  <c r="AC603" i="19" s="1"/>
  <c r="P569" i="19"/>
  <c r="Q569" i="19" s="1"/>
  <c r="M194" i="19"/>
  <c r="AF72" i="19"/>
  <c r="AG72" i="19" s="1"/>
  <c r="L77" i="19" s="1"/>
  <c r="L76" i="19" s="1"/>
  <c r="L78" i="19" s="1"/>
  <c r="I264" i="19"/>
  <c r="I263" i="19" s="1"/>
  <c r="I265" i="19" s="1"/>
  <c r="T582" i="19"/>
  <c r="U582" i="19" s="1"/>
  <c r="T584" i="19"/>
  <c r="U584" i="19" s="1"/>
  <c r="AF556" i="19"/>
  <c r="AG556" i="19" s="1"/>
  <c r="AB607" i="19"/>
  <c r="AC607" i="19" s="1"/>
  <c r="P568" i="19"/>
  <c r="Q568" i="19" s="1"/>
  <c r="T430" i="19"/>
  <c r="U430" i="19" s="1"/>
  <c r="M18" i="19"/>
  <c r="AF76" i="19"/>
  <c r="AG76" i="19" s="1"/>
  <c r="T407" i="19"/>
  <c r="U407" i="19" s="1"/>
  <c r="H671" i="19"/>
  <c r="H670" i="19" s="1"/>
  <c r="T581" i="19"/>
  <c r="U581" i="19" s="1"/>
  <c r="T583" i="19"/>
  <c r="U583" i="19" s="1"/>
  <c r="AF558" i="19"/>
  <c r="AG558" i="19" s="1"/>
  <c r="P570" i="19"/>
  <c r="Q570" i="19" s="1"/>
  <c r="T431" i="19"/>
  <c r="U431" i="19" s="1"/>
  <c r="AF75" i="19"/>
  <c r="AG75" i="19" s="1"/>
  <c r="T409" i="19"/>
  <c r="U409" i="19" s="1"/>
  <c r="P50" i="19"/>
  <c r="Q50" i="19" s="1"/>
  <c r="T579" i="19"/>
  <c r="U579" i="19" s="1"/>
  <c r="AF560" i="19"/>
  <c r="AG560" i="19" s="1"/>
  <c r="AB604" i="19"/>
  <c r="AC604" i="19" s="1"/>
  <c r="P571" i="19"/>
  <c r="Q571" i="19" s="1"/>
  <c r="T426" i="19"/>
  <c r="U426" i="19" s="1"/>
  <c r="M205" i="19"/>
  <c r="AF79" i="19"/>
  <c r="AG79" i="19" s="1"/>
  <c r="J297" i="19"/>
  <c r="J296" i="19" s="1"/>
  <c r="J298" i="19" s="1"/>
  <c r="P51" i="19"/>
  <c r="Q51" i="19" s="1"/>
  <c r="T404" i="19"/>
  <c r="U404" i="19" s="1"/>
  <c r="P55" i="19"/>
  <c r="Q55" i="19" s="1"/>
  <c r="T578" i="19"/>
  <c r="U578" i="19" s="1"/>
  <c r="AB606" i="19"/>
  <c r="AC606" i="19" s="1"/>
  <c r="P567" i="19"/>
  <c r="Q567" i="19" s="1"/>
  <c r="M337" i="19"/>
  <c r="T424" i="19"/>
  <c r="U424" i="19" s="1"/>
  <c r="T427" i="19"/>
  <c r="U427" i="19" s="1"/>
  <c r="M172" i="19"/>
  <c r="M51" i="19"/>
  <c r="AF74" i="19"/>
  <c r="AG74" i="19" s="1"/>
  <c r="T403" i="19"/>
  <c r="U403" i="19" s="1"/>
  <c r="P54" i="19"/>
  <c r="Q54" i="19" s="1"/>
  <c r="AF557" i="19"/>
  <c r="AG557" i="19" s="1"/>
  <c r="AB605" i="19"/>
  <c r="AC605" i="19" s="1"/>
  <c r="P573" i="19"/>
  <c r="Q573" i="19" s="1"/>
  <c r="AF78" i="19"/>
  <c r="AG78" i="19" s="1"/>
  <c r="T405" i="19"/>
  <c r="U405" i="19" s="1"/>
  <c r="P57" i="19"/>
  <c r="Q57" i="19" s="1"/>
  <c r="AF561" i="19"/>
  <c r="AG561" i="19" s="1"/>
  <c r="AB601" i="19"/>
  <c r="AC601" i="19" s="1"/>
  <c r="AF77" i="19"/>
  <c r="AG77" i="19" s="1"/>
  <c r="T402" i="19"/>
  <c r="U402" i="19" s="1"/>
  <c r="P52" i="19"/>
  <c r="Q52" i="19" s="1"/>
  <c r="M403" i="19"/>
  <c r="M238" i="19"/>
  <c r="M315" i="19"/>
  <c r="M271" i="19"/>
  <c r="M150" i="19"/>
  <c r="M227" i="19"/>
  <c r="M183" i="19"/>
  <c r="M84" i="19"/>
  <c r="M106" i="19"/>
  <c r="T406" i="19"/>
  <c r="U406" i="19" s="1"/>
  <c r="H429" i="19"/>
  <c r="AF435" i="19"/>
  <c r="AG435" i="19" s="1"/>
  <c r="AF436" i="19"/>
  <c r="AG436" i="19" s="1"/>
  <c r="M414" i="19"/>
  <c r="M260" i="19"/>
  <c r="M139" i="19"/>
  <c r="M381" i="19"/>
  <c r="M359" i="19"/>
  <c r="M293" i="19"/>
  <c r="M7" i="19"/>
  <c r="T453" i="19"/>
  <c r="U453" i="19" s="1"/>
  <c r="T350" i="19"/>
  <c r="U350" i="19" s="1"/>
  <c r="T348" i="19"/>
  <c r="U348" i="19" s="1"/>
  <c r="T353" i="19"/>
  <c r="U353" i="19" s="1"/>
  <c r="T349" i="19"/>
  <c r="U349" i="19" s="1"/>
  <c r="T354" i="19"/>
  <c r="U354" i="19" s="1"/>
  <c r="T347" i="19"/>
  <c r="U347" i="19" s="1"/>
  <c r="T352" i="19"/>
  <c r="U352" i="19" s="1"/>
  <c r="T351" i="19"/>
  <c r="U351" i="19" s="1"/>
  <c r="J495" i="19"/>
  <c r="AB405" i="19"/>
  <c r="AC405" i="19" s="1"/>
  <c r="AB409" i="19"/>
  <c r="AC409" i="19" s="1"/>
  <c r="AB406" i="19"/>
  <c r="AC406" i="19" s="1"/>
  <c r="AB403" i="19"/>
  <c r="AC403" i="19" s="1"/>
  <c r="AB407" i="19"/>
  <c r="AC407" i="19" s="1"/>
  <c r="AB404" i="19"/>
  <c r="AC404" i="19" s="1"/>
  <c r="AB402" i="19"/>
  <c r="AC402" i="19" s="1"/>
  <c r="AB408" i="19"/>
  <c r="AC408" i="19" s="1"/>
  <c r="AF360" i="19"/>
  <c r="AG360" i="19" s="1"/>
  <c r="AF362" i="19"/>
  <c r="AG362" i="19" s="1"/>
  <c r="AF364" i="19"/>
  <c r="AG364" i="19" s="1"/>
  <c r="AF361" i="19"/>
  <c r="AG361" i="19" s="1"/>
  <c r="AF363" i="19"/>
  <c r="AG363" i="19" s="1"/>
  <c r="AF365" i="19"/>
  <c r="AG365" i="19" s="1"/>
  <c r="AF358" i="19"/>
  <c r="AG358" i="19" s="1"/>
  <c r="AF359" i="19"/>
  <c r="AG359" i="19" s="1"/>
  <c r="T397" i="19"/>
  <c r="U397" i="19" s="1"/>
  <c r="T392" i="19"/>
  <c r="U392" i="19" s="1"/>
  <c r="T396" i="19"/>
  <c r="U396" i="19" s="1"/>
  <c r="T398" i="19"/>
  <c r="U398" i="19" s="1"/>
  <c r="T391" i="19"/>
  <c r="U391" i="19" s="1"/>
  <c r="T395" i="19"/>
  <c r="U395" i="19" s="1"/>
  <c r="T393" i="19"/>
  <c r="U393" i="19" s="1"/>
  <c r="T394" i="19"/>
  <c r="U394" i="19" s="1"/>
  <c r="AF382" i="19"/>
  <c r="AG382" i="19" s="1"/>
  <c r="AF384" i="19"/>
  <c r="AG384" i="19" s="1"/>
  <c r="AF386" i="19"/>
  <c r="AG386" i="19" s="1"/>
  <c r="AF383" i="19"/>
  <c r="AG383" i="19" s="1"/>
  <c r="AF385" i="19"/>
  <c r="AG385" i="19" s="1"/>
  <c r="AF387" i="19"/>
  <c r="AG387" i="19" s="1"/>
  <c r="AF380" i="19"/>
  <c r="AG380" i="19" s="1"/>
  <c r="AF381" i="19"/>
  <c r="AG381" i="19" s="1"/>
  <c r="AF185" i="19"/>
  <c r="AG185" i="19" s="1"/>
  <c r="AF187" i="19"/>
  <c r="AG187" i="19" s="1"/>
  <c r="AF189" i="19"/>
  <c r="AG189" i="19" s="1"/>
  <c r="AF182" i="19"/>
  <c r="AG182" i="19" s="1"/>
  <c r="AF184" i="19"/>
  <c r="AG184" i="19" s="1"/>
  <c r="AF186" i="19"/>
  <c r="AG186" i="19" s="1"/>
  <c r="AF188" i="19"/>
  <c r="AG188" i="19" s="1"/>
  <c r="AF183" i="19"/>
  <c r="AG183" i="19" s="1"/>
  <c r="P193" i="19"/>
  <c r="Q193" i="19" s="1"/>
  <c r="P200" i="19"/>
  <c r="Q200" i="19" s="1"/>
  <c r="P199" i="19"/>
  <c r="Q199" i="19" s="1"/>
  <c r="P198" i="19"/>
  <c r="Q198" i="19" s="1"/>
  <c r="P197" i="19"/>
  <c r="Q197" i="19" s="1"/>
  <c r="P196" i="19"/>
  <c r="Q196" i="19" s="1"/>
  <c r="P195" i="19"/>
  <c r="Q195" i="19" s="1"/>
  <c r="P194" i="19"/>
  <c r="Q194" i="19" s="1"/>
  <c r="AF210" i="19"/>
  <c r="AF205" i="19"/>
  <c r="AF208" i="19"/>
  <c r="AF206" i="19"/>
  <c r="AF209" i="19"/>
  <c r="AF211" i="19"/>
  <c r="AF204" i="19"/>
  <c r="AF207" i="19"/>
  <c r="X264" i="19"/>
  <c r="Y264" i="19" s="1"/>
  <c r="X265" i="19"/>
  <c r="Y265" i="19" s="1"/>
  <c r="X259" i="19"/>
  <c r="Y259" i="19" s="1"/>
  <c r="X260" i="19"/>
  <c r="Y260" i="19" s="1"/>
  <c r="X262" i="19"/>
  <c r="Y262" i="19" s="1"/>
  <c r="X266" i="19"/>
  <c r="Y266" i="19" s="1"/>
  <c r="X261" i="19"/>
  <c r="Y261" i="19" s="1"/>
  <c r="X263" i="19"/>
  <c r="Y263" i="19" s="1"/>
  <c r="X54" i="19"/>
  <c r="Y54" i="19" s="1"/>
  <c r="X50" i="19"/>
  <c r="Y50" i="19" s="1"/>
  <c r="X55" i="19"/>
  <c r="Y55" i="19" s="1"/>
  <c r="X51" i="19"/>
  <c r="Y51" i="19" s="1"/>
  <c r="X56" i="19"/>
  <c r="Y56" i="19" s="1"/>
  <c r="X53" i="19"/>
  <c r="Y53" i="19" s="1"/>
  <c r="X57" i="19"/>
  <c r="Y57" i="19" s="1"/>
  <c r="X52" i="19"/>
  <c r="Y52" i="19" s="1"/>
  <c r="M29" i="19"/>
  <c r="AF11" i="19"/>
  <c r="AG11" i="19" s="1"/>
  <c r="AF6" i="19"/>
  <c r="AG6" i="19" s="1"/>
  <c r="AF7" i="19"/>
  <c r="AG7" i="19" s="1"/>
  <c r="AF12" i="19"/>
  <c r="AG12" i="19" s="1"/>
  <c r="AF8" i="19"/>
  <c r="AG8" i="19" s="1"/>
  <c r="AF13" i="19"/>
  <c r="AG13" i="19" s="1"/>
  <c r="AF9" i="19"/>
  <c r="AG9" i="19" s="1"/>
  <c r="AF10" i="19"/>
  <c r="AG10" i="19" s="1"/>
  <c r="AB111" i="19"/>
  <c r="AC111" i="19" s="1"/>
  <c r="AB110" i="19"/>
  <c r="AC110" i="19" s="1"/>
  <c r="AB109" i="19"/>
  <c r="AC109" i="19" s="1"/>
  <c r="AB108" i="19"/>
  <c r="AC108" i="19" s="1"/>
  <c r="AB105" i="19"/>
  <c r="AC105" i="19" s="1"/>
  <c r="AB112" i="19"/>
  <c r="AC112" i="19" s="1"/>
  <c r="AB107" i="19"/>
  <c r="AC107" i="19" s="1"/>
  <c r="AB106" i="19"/>
  <c r="AC106" i="19" s="1"/>
  <c r="AF501" i="19"/>
  <c r="AG501" i="19" s="1"/>
  <c r="AF505" i="19"/>
  <c r="AG505" i="19" s="1"/>
  <c r="P20" i="19"/>
  <c r="Q20" i="19" s="1"/>
  <c r="P21" i="19"/>
  <c r="Q21" i="19" s="1"/>
  <c r="P22" i="19"/>
  <c r="Q22" i="19" s="1"/>
  <c r="P17" i="19"/>
  <c r="Q17" i="19" s="1"/>
  <c r="P18" i="19"/>
  <c r="Q18" i="19" s="1"/>
  <c r="P23" i="19"/>
  <c r="Q23" i="19" s="1"/>
  <c r="P19" i="19"/>
  <c r="Q19" i="19" s="1"/>
  <c r="P24" i="19"/>
  <c r="Q24" i="19" s="1"/>
  <c r="AB96" i="19"/>
  <c r="AC96" i="19" s="1"/>
  <c r="AB98" i="19"/>
  <c r="AC98" i="19" s="1"/>
  <c r="AB99" i="19"/>
  <c r="AC99" i="19" s="1"/>
  <c r="AB94" i="19"/>
  <c r="AC94" i="19" s="1"/>
  <c r="AB100" i="19"/>
  <c r="AC100" i="19" s="1"/>
  <c r="AB95" i="19"/>
  <c r="AC95" i="19" s="1"/>
  <c r="AB101" i="19"/>
  <c r="AC101" i="19" s="1"/>
  <c r="AB97" i="19"/>
  <c r="AC97" i="19" s="1"/>
  <c r="T451" i="19"/>
  <c r="U451" i="19" s="1"/>
  <c r="X341" i="19"/>
  <c r="Y341" i="19" s="1"/>
  <c r="X339" i="19"/>
  <c r="Y339" i="19" s="1"/>
  <c r="X337" i="19"/>
  <c r="Y337" i="19" s="1"/>
  <c r="X342" i="19"/>
  <c r="Y342" i="19" s="1"/>
  <c r="X340" i="19"/>
  <c r="Y340" i="19" s="1"/>
  <c r="X343" i="19"/>
  <c r="Y343" i="19" s="1"/>
  <c r="X338" i="19"/>
  <c r="Y338" i="19" s="1"/>
  <c r="X336" i="19"/>
  <c r="Y336" i="19" s="1"/>
  <c r="AB243" i="19"/>
  <c r="AC243" i="19" s="1"/>
  <c r="AB241" i="19"/>
  <c r="AC241" i="19" s="1"/>
  <c r="AB239" i="19"/>
  <c r="AC239" i="19" s="1"/>
  <c r="AB237" i="19"/>
  <c r="AC237" i="19" s="1"/>
  <c r="AB244" i="19"/>
  <c r="AC244" i="19" s="1"/>
  <c r="AB240" i="19"/>
  <c r="AC240" i="19" s="1"/>
  <c r="AB242" i="19"/>
  <c r="AC242" i="19" s="1"/>
  <c r="AB238" i="19"/>
  <c r="AC238" i="19" s="1"/>
  <c r="AF298" i="19"/>
  <c r="AG298" i="19" s="1"/>
  <c r="AF292" i="19"/>
  <c r="AG292" i="19" s="1"/>
  <c r="AF297" i="19"/>
  <c r="AG297" i="19" s="1"/>
  <c r="AF299" i="19"/>
  <c r="AG299" i="19" s="1"/>
  <c r="AF296" i="19"/>
  <c r="AG296" i="19" s="1"/>
  <c r="AF295" i="19"/>
  <c r="AG295" i="19" s="1"/>
  <c r="AF294" i="19"/>
  <c r="AG294" i="19" s="1"/>
  <c r="AF293" i="19"/>
  <c r="AG293" i="19" s="1"/>
  <c r="T230" i="19"/>
  <c r="U230" i="19" s="1"/>
  <c r="T229" i="19"/>
  <c r="U229" i="19" s="1"/>
  <c r="T228" i="19"/>
  <c r="U228" i="19" s="1"/>
  <c r="T233" i="19"/>
  <c r="U233" i="19" s="1"/>
  <c r="T232" i="19"/>
  <c r="U232" i="19" s="1"/>
  <c r="T231" i="19"/>
  <c r="U231" i="19" s="1"/>
  <c r="T226" i="19"/>
  <c r="U226" i="19" s="1"/>
  <c r="T227" i="19"/>
  <c r="U227" i="19" s="1"/>
  <c r="X78" i="19"/>
  <c r="Y78" i="19" s="1"/>
  <c r="X73" i="19"/>
  <c r="Y73" i="19" s="1"/>
  <c r="X79" i="19"/>
  <c r="Y79" i="19" s="1"/>
  <c r="X74" i="19"/>
  <c r="Y74" i="19" s="1"/>
  <c r="X75" i="19"/>
  <c r="Y75" i="19" s="1"/>
  <c r="X76" i="19"/>
  <c r="Y76" i="19" s="1"/>
  <c r="X77" i="19"/>
  <c r="Y77" i="19" s="1"/>
  <c r="X72" i="19"/>
  <c r="Y72" i="19" s="1"/>
  <c r="AB117" i="19"/>
  <c r="AC117" i="19" s="1"/>
  <c r="AB120" i="19"/>
  <c r="AC120" i="19" s="1"/>
  <c r="AB121" i="19"/>
  <c r="AC121" i="19" s="1"/>
  <c r="AB116" i="19"/>
  <c r="AC116" i="19" s="1"/>
  <c r="AB119" i="19"/>
  <c r="AC119" i="19" s="1"/>
  <c r="AB123" i="19"/>
  <c r="AC123" i="19" s="1"/>
  <c r="AB118" i="19"/>
  <c r="AC118" i="19" s="1"/>
  <c r="AB122" i="19"/>
  <c r="AC122" i="19" s="1"/>
  <c r="AB54" i="19"/>
  <c r="AC54" i="19" s="1"/>
  <c r="AB50" i="19"/>
  <c r="AC50" i="19" s="1"/>
  <c r="AB55" i="19"/>
  <c r="AC55" i="19" s="1"/>
  <c r="AB56" i="19"/>
  <c r="AC56" i="19" s="1"/>
  <c r="AB51" i="19"/>
  <c r="AC51" i="19" s="1"/>
  <c r="AB52" i="19"/>
  <c r="AC52" i="19" s="1"/>
  <c r="AB57" i="19"/>
  <c r="AC57" i="19" s="1"/>
  <c r="AB53" i="19"/>
  <c r="AC53" i="19" s="1"/>
  <c r="X107" i="19"/>
  <c r="Y107" i="19" s="1"/>
  <c r="X106" i="19"/>
  <c r="Y106" i="19" s="1"/>
  <c r="X105" i="19"/>
  <c r="Y105" i="19" s="1"/>
  <c r="X112" i="19"/>
  <c r="Y112" i="19" s="1"/>
  <c r="X111" i="19"/>
  <c r="Y111" i="19" s="1"/>
  <c r="X110" i="19"/>
  <c r="Y110" i="19" s="1"/>
  <c r="X109" i="19"/>
  <c r="Y109" i="19" s="1"/>
  <c r="X108" i="19"/>
  <c r="Y108" i="19" s="1"/>
  <c r="X635" i="19"/>
  <c r="Y635" i="19" s="1"/>
  <c r="X637" i="19"/>
  <c r="Y637" i="19" s="1"/>
  <c r="AF35" i="19"/>
  <c r="AG35" i="19" s="1"/>
  <c r="AF31" i="19"/>
  <c r="AG31" i="19" s="1"/>
  <c r="AF32" i="19"/>
  <c r="AG32" i="19" s="1"/>
  <c r="AF33" i="19"/>
  <c r="AG33" i="19" s="1"/>
  <c r="AF28" i="19"/>
  <c r="AG28" i="19" s="1"/>
  <c r="AF29" i="19"/>
  <c r="AG29" i="19" s="1"/>
  <c r="AF30" i="19"/>
  <c r="AG30" i="19" s="1"/>
  <c r="AF34" i="19"/>
  <c r="AG34" i="19" s="1"/>
  <c r="T306" i="19"/>
  <c r="U306" i="19" s="1"/>
  <c r="T304" i="19"/>
  <c r="U304" i="19" s="1"/>
  <c r="T308" i="19"/>
  <c r="U308" i="19" s="1"/>
  <c r="T305" i="19"/>
  <c r="U305" i="19" s="1"/>
  <c r="T307" i="19"/>
  <c r="U307" i="19" s="1"/>
  <c r="T309" i="19"/>
  <c r="U309" i="19" s="1"/>
  <c r="T303" i="19"/>
  <c r="U303" i="19" s="1"/>
  <c r="T310" i="19"/>
  <c r="U310" i="19" s="1"/>
  <c r="X318" i="19"/>
  <c r="Y318" i="19" s="1"/>
  <c r="X315" i="19"/>
  <c r="Y315" i="19" s="1"/>
  <c r="X316" i="19"/>
  <c r="Y316" i="19" s="1"/>
  <c r="X320" i="19"/>
  <c r="Y320" i="19" s="1"/>
  <c r="X321" i="19"/>
  <c r="Y321" i="19" s="1"/>
  <c r="X317" i="19"/>
  <c r="Y317" i="19" s="1"/>
  <c r="X314" i="19"/>
  <c r="Y314" i="19" s="1"/>
  <c r="X319" i="19"/>
  <c r="Y319" i="19" s="1"/>
  <c r="X255" i="19"/>
  <c r="Y255" i="19" s="1"/>
  <c r="X251" i="19"/>
  <c r="Y251" i="19" s="1"/>
  <c r="X252" i="19"/>
  <c r="Y252" i="19" s="1"/>
  <c r="X248" i="19"/>
  <c r="Y248" i="19" s="1"/>
  <c r="X254" i="19"/>
  <c r="Y254" i="19" s="1"/>
  <c r="X249" i="19"/>
  <c r="Y249" i="19" s="1"/>
  <c r="X253" i="19"/>
  <c r="Y253" i="19" s="1"/>
  <c r="X250" i="19"/>
  <c r="Y250" i="19" s="1"/>
  <c r="X101" i="19"/>
  <c r="Y101" i="19" s="1"/>
  <c r="X96" i="19"/>
  <c r="Y96" i="19" s="1"/>
  <c r="X97" i="19"/>
  <c r="Y97" i="19" s="1"/>
  <c r="X98" i="19"/>
  <c r="Y98" i="19" s="1"/>
  <c r="X94" i="19"/>
  <c r="Y94" i="19" s="1"/>
  <c r="X99" i="19"/>
  <c r="Y99" i="19" s="1"/>
  <c r="X95" i="19"/>
  <c r="Y95" i="19" s="1"/>
  <c r="X100" i="19"/>
  <c r="Y100" i="19" s="1"/>
  <c r="AF43" i="19"/>
  <c r="AG43" i="19" s="1"/>
  <c r="AF44" i="19"/>
  <c r="AG44" i="19" s="1"/>
  <c r="AF39" i="19"/>
  <c r="AG39" i="19" s="1"/>
  <c r="AF40" i="19"/>
  <c r="AG40" i="19" s="1"/>
  <c r="AF45" i="19"/>
  <c r="AG45" i="19" s="1"/>
  <c r="AF41" i="19"/>
  <c r="AG41" i="19" s="1"/>
  <c r="AF46" i="19"/>
  <c r="AG46" i="19" s="1"/>
  <c r="AF42" i="19"/>
  <c r="AG42" i="19" s="1"/>
  <c r="L451" i="19"/>
  <c r="T365" i="19"/>
  <c r="U365" i="19" s="1"/>
  <c r="T358" i="19"/>
  <c r="U358" i="19" s="1"/>
  <c r="T360" i="19"/>
  <c r="U360" i="19" s="1"/>
  <c r="T362" i="19"/>
  <c r="U362" i="19" s="1"/>
  <c r="T361" i="19"/>
  <c r="U361" i="19" s="1"/>
  <c r="T359" i="19"/>
  <c r="U359" i="19" s="1"/>
  <c r="T363" i="19"/>
  <c r="U363" i="19" s="1"/>
  <c r="T364" i="19"/>
  <c r="U364" i="19" s="1"/>
  <c r="AF319" i="19"/>
  <c r="AG319" i="19" s="1"/>
  <c r="AF316" i="19"/>
  <c r="AG316" i="19" s="1"/>
  <c r="AF320" i="19"/>
  <c r="AG320" i="19" s="1"/>
  <c r="AF314" i="19"/>
  <c r="AG314" i="19" s="1"/>
  <c r="AF321" i="19"/>
  <c r="AG321" i="19" s="1"/>
  <c r="AF315" i="19"/>
  <c r="AG315" i="19" s="1"/>
  <c r="AF317" i="19"/>
  <c r="AG317" i="19" s="1"/>
  <c r="AF318" i="19"/>
  <c r="AG318" i="19" s="1"/>
  <c r="P331" i="19"/>
  <c r="Q331" i="19" s="1"/>
  <c r="P326" i="19"/>
  <c r="Q326" i="19" s="1"/>
  <c r="P328" i="19"/>
  <c r="Q328" i="19" s="1"/>
  <c r="P332" i="19"/>
  <c r="Q332" i="19" s="1"/>
  <c r="P325" i="19"/>
  <c r="Q325" i="19" s="1"/>
  <c r="P327" i="19"/>
  <c r="Q327" i="19" s="1"/>
  <c r="P330" i="19"/>
  <c r="Q330" i="19" s="1"/>
  <c r="P329" i="19"/>
  <c r="Q329" i="19" s="1"/>
  <c r="AF286" i="19"/>
  <c r="AG286" i="19" s="1"/>
  <c r="AF287" i="19"/>
  <c r="AG287" i="19" s="1"/>
  <c r="AF285" i="19"/>
  <c r="AG285" i="19" s="1"/>
  <c r="AF283" i="19"/>
  <c r="AG283" i="19" s="1"/>
  <c r="AF282" i="19"/>
  <c r="AG282" i="19" s="1"/>
  <c r="AF281" i="19"/>
  <c r="AG281" i="19" s="1"/>
  <c r="AF288" i="19"/>
  <c r="AG288" i="19" s="1"/>
  <c r="AF284" i="19"/>
  <c r="AG284" i="19" s="1"/>
  <c r="AB227" i="19"/>
  <c r="AC227" i="19" s="1"/>
  <c r="AB231" i="19"/>
  <c r="AC231" i="19" s="1"/>
  <c r="AB226" i="19"/>
  <c r="AC226" i="19" s="1"/>
  <c r="AB233" i="19"/>
  <c r="AC233" i="19" s="1"/>
  <c r="AB229" i="19"/>
  <c r="AC229" i="19" s="1"/>
  <c r="AB232" i="19"/>
  <c r="AC232" i="19" s="1"/>
  <c r="AB230" i="19"/>
  <c r="AC230" i="19" s="1"/>
  <c r="AB228" i="19"/>
  <c r="AC228" i="19" s="1"/>
  <c r="M249" i="19"/>
  <c r="AB66" i="19"/>
  <c r="AC66" i="19" s="1"/>
  <c r="AB67" i="19"/>
  <c r="AC67" i="19" s="1"/>
  <c r="AB62" i="19"/>
  <c r="AC62" i="19" s="1"/>
  <c r="AB63" i="19"/>
  <c r="AC63" i="19" s="1"/>
  <c r="AB68" i="19"/>
  <c r="AC68" i="19" s="1"/>
  <c r="AB64" i="19"/>
  <c r="AC64" i="19" s="1"/>
  <c r="AB61" i="19"/>
  <c r="AC61" i="19" s="1"/>
  <c r="AB65" i="19"/>
  <c r="AC65" i="19" s="1"/>
  <c r="X61" i="19"/>
  <c r="Y61" i="19" s="1"/>
  <c r="X66" i="19"/>
  <c r="Y66" i="19" s="1"/>
  <c r="X62" i="19"/>
  <c r="Y62" i="19" s="1"/>
  <c r="X67" i="19"/>
  <c r="Y67" i="19" s="1"/>
  <c r="X63" i="19"/>
  <c r="Y63" i="19" s="1"/>
  <c r="X68" i="19"/>
  <c r="Y68" i="19" s="1"/>
  <c r="X64" i="19"/>
  <c r="Y64" i="19" s="1"/>
  <c r="X65" i="19"/>
  <c r="Y65" i="19" s="1"/>
  <c r="AB10" i="19"/>
  <c r="AC10" i="19" s="1"/>
  <c r="AB6" i="19"/>
  <c r="AC6" i="19" s="1"/>
  <c r="AB11" i="19"/>
  <c r="AC11" i="19" s="1"/>
  <c r="AB12" i="19"/>
  <c r="AC12" i="19" s="1"/>
  <c r="AB7" i="19"/>
  <c r="AC7" i="19" s="1"/>
  <c r="AB8" i="19"/>
  <c r="AC8" i="19" s="1"/>
  <c r="AB13" i="19"/>
  <c r="AC13" i="19" s="1"/>
  <c r="AB9" i="19"/>
  <c r="AC9" i="19" s="1"/>
  <c r="AF226" i="19"/>
  <c r="AG226" i="19" s="1"/>
  <c r="AF228" i="19"/>
  <c r="AG228" i="19" s="1"/>
  <c r="AF232" i="19"/>
  <c r="AG232" i="19" s="1"/>
  <c r="AF231" i="19"/>
  <c r="AG231" i="19" s="1"/>
  <c r="AF233" i="19"/>
  <c r="AG233" i="19" s="1"/>
  <c r="AF229" i="19"/>
  <c r="AG229" i="19" s="1"/>
  <c r="AF227" i="19"/>
  <c r="AG227" i="19" s="1"/>
  <c r="AF230" i="19"/>
  <c r="AG230" i="19" s="1"/>
  <c r="T460" i="19"/>
  <c r="U460" i="19" s="1"/>
  <c r="T458" i="19"/>
  <c r="U458" i="19" s="1"/>
  <c r="T464" i="19"/>
  <c r="U464" i="19" s="1"/>
  <c r="T462" i="19"/>
  <c r="U462" i="19" s="1"/>
  <c r="AF123" i="19"/>
  <c r="AG123" i="19" s="1"/>
  <c r="AF120" i="19"/>
  <c r="AG120" i="19" s="1"/>
  <c r="AF118" i="19"/>
  <c r="AG118" i="19" s="1"/>
  <c r="AF121" i="19"/>
  <c r="AG121" i="19" s="1"/>
  <c r="AF116" i="19"/>
  <c r="AG116" i="19" s="1"/>
  <c r="AF119" i="19"/>
  <c r="AG119" i="19" s="1"/>
  <c r="AF122" i="19"/>
  <c r="AG122" i="19" s="1"/>
  <c r="AF117" i="19"/>
  <c r="AG117" i="19" s="1"/>
  <c r="T449" i="19"/>
  <c r="U449" i="19" s="1"/>
  <c r="T446" i="19"/>
  <c r="U446" i="19" s="1"/>
  <c r="AB315" i="19"/>
  <c r="AC315" i="19" s="1"/>
  <c r="AB319" i="19"/>
  <c r="AC319" i="19" s="1"/>
  <c r="AB316" i="19"/>
  <c r="AC316" i="19" s="1"/>
  <c r="AB320" i="19"/>
  <c r="AC320" i="19" s="1"/>
  <c r="AB317" i="19"/>
  <c r="AC317" i="19" s="1"/>
  <c r="AB314" i="19"/>
  <c r="AC314" i="19" s="1"/>
  <c r="AB318" i="19"/>
  <c r="AC318" i="19" s="1"/>
  <c r="AB321" i="19"/>
  <c r="AC321" i="19" s="1"/>
  <c r="M282" i="19"/>
  <c r="X371" i="19"/>
  <c r="Y371" i="19" s="1"/>
  <c r="X375" i="19"/>
  <c r="Y375" i="19" s="1"/>
  <c r="X372" i="19"/>
  <c r="Y372" i="19" s="1"/>
  <c r="X369" i="19"/>
  <c r="Y369" i="19" s="1"/>
  <c r="X376" i="19"/>
  <c r="Y376" i="19" s="1"/>
  <c r="X373" i="19"/>
  <c r="Y373" i="19" s="1"/>
  <c r="X374" i="19"/>
  <c r="Y374" i="19" s="1"/>
  <c r="X370" i="19"/>
  <c r="Y370" i="19" s="1"/>
  <c r="P252" i="19"/>
  <c r="Q252" i="19" s="1"/>
  <c r="P248" i="19"/>
  <c r="Q248" i="19" s="1"/>
  <c r="P254" i="19"/>
  <c r="Q254" i="19" s="1"/>
  <c r="P249" i="19"/>
  <c r="Q249" i="19" s="1"/>
  <c r="P255" i="19"/>
  <c r="Q255" i="19" s="1"/>
  <c r="P250" i="19"/>
  <c r="Q250" i="19" s="1"/>
  <c r="P251" i="19"/>
  <c r="Q251" i="19" s="1"/>
  <c r="P253" i="19"/>
  <c r="Q253" i="19" s="1"/>
  <c r="P85" i="19"/>
  <c r="Q85" i="19" s="1"/>
  <c r="P87" i="19"/>
  <c r="Q87" i="19" s="1"/>
  <c r="P88" i="19"/>
  <c r="Q88" i="19" s="1"/>
  <c r="P90" i="19"/>
  <c r="Q90" i="19" s="1"/>
  <c r="P83" i="19"/>
  <c r="Q83" i="19" s="1"/>
  <c r="P89" i="19"/>
  <c r="Q89" i="19" s="1"/>
  <c r="P86" i="19"/>
  <c r="Q86" i="19" s="1"/>
  <c r="P84" i="19"/>
  <c r="Q84" i="19" s="1"/>
  <c r="X211" i="19"/>
  <c r="Y211" i="19" s="1"/>
  <c r="X206" i="19"/>
  <c r="Y206" i="19" s="1"/>
  <c r="X209" i="19"/>
  <c r="Y209" i="19" s="1"/>
  <c r="X204" i="19"/>
  <c r="Y204" i="19" s="1"/>
  <c r="X210" i="19"/>
  <c r="Y210" i="19" s="1"/>
  <c r="X207" i="19"/>
  <c r="Y207" i="19" s="1"/>
  <c r="X205" i="19"/>
  <c r="Y205" i="19" s="1"/>
  <c r="X208" i="19"/>
  <c r="Y208" i="19" s="1"/>
  <c r="P98" i="19"/>
  <c r="Q98" i="19" s="1"/>
  <c r="P94" i="19"/>
  <c r="Q94" i="19" s="1"/>
  <c r="P100" i="19"/>
  <c r="Q100" i="19" s="1"/>
  <c r="P95" i="19"/>
  <c r="Q95" i="19" s="1"/>
  <c r="P101" i="19"/>
  <c r="Q101" i="19" s="1"/>
  <c r="P96" i="19"/>
  <c r="Q96" i="19" s="1"/>
  <c r="P99" i="19"/>
  <c r="Q99" i="19" s="1"/>
  <c r="P97" i="19"/>
  <c r="Q97" i="19" s="1"/>
  <c r="T21" i="19"/>
  <c r="U21" i="19" s="1"/>
  <c r="T17" i="19"/>
  <c r="U17" i="19" s="1"/>
  <c r="T22" i="19"/>
  <c r="U22" i="19" s="1"/>
  <c r="T18" i="19"/>
  <c r="U18" i="19" s="1"/>
  <c r="T23" i="19"/>
  <c r="U23" i="19" s="1"/>
  <c r="T19" i="19"/>
  <c r="U19" i="19" s="1"/>
  <c r="T20" i="19"/>
  <c r="U20" i="19" s="1"/>
  <c r="T24" i="19"/>
  <c r="U24" i="19" s="1"/>
  <c r="AB197" i="19"/>
  <c r="AC197" i="19" s="1"/>
  <c r="AB196" i="19"/>
  <c r="AC196" i="19" s="1"/>
  <c r="AB195" i="19"/>
  <c r="AC195" i="19" s="1"/>
  <c r="AB194" i="19"/>
  <c r="AC194" i="19" s="1"/>
  <c r="AB193" i="19"/>
  <c r="AC193" i="19" s="1"/>
  <c r="AB200" i="19"/>
  <c r="AC200" i="19" s="1"/>
  <c r="AB199" i="19"/>
  <c r="AC199" i="19" s="1"/>
  <c r="AB198" i="19"/>
  <c r="AC198" i="19" s="1"/>
  <c r="X46" i="19"/>
  <c r="Y46" i="19" s="1"/>
  <c r="X41" i="19"/>
  <c r="Y41" i="19" s="1"/>
  <c r="X42" i="19"/>
  <c r="Y42" i="19" s="1"/>
  <c r="X43" i="19"/>
  <c r="Y43" i="19" s="1"/>
  <c r="X39" i="19"/>
  <c r="Y39" i="19" s="1"/>
  <c r="X44" i="19"/>
  <c r="Y44" i="19" s="1"/>
  <c r="X40" i="19"/>
  <c r="Y40" i="19" s="1"/>
  <c r="X45" i="19"/>
  <c r="Y45" i="19" s="1"/>
  <c r="P79" i="19"/>
  <c r="Q79" i="19" s="1"/>
  <c r="P76" i="19"/>
  <c r="Q76" i="19" s="1"/>
  <c r="P77" i="19"/>
  <c r="Q77" i="19" s="1"/>
  <c r="P72" i="19"/>
  <c r="Q72" i="19" s="1"/>
  <c r="P73" i="19"/>
  <c r="Q73" i="19" s="1"/>
  <c r="P75" i="19"/>
  <c r="Q75" i="19" s="1"/>
  <c r="P74" i="19"/>
  <c r="Q74" i="19" s="1"/>
  <c r="P78" i="19"/>
  <c r="Q78" i="19" s="1"/>
  <c r="P64" i="19"/>
  <c r="Q64" i="19" s="1"/>
  <c r="P65" i="19"/>
  <c r="Q65" i="19" s="1"/>
  <c r="P66" i="19"/>
  <c r="Q66" i="19" s="1"/>
  <c r="P61" i="19"/>
  <c r="Q61" i="19" s="1"/>
  <c r="P62" i="19"/>
  <c r="Q62" i="19" s="1"/>
  <c r="P67" i="19"/>
  <c r="Q67" i="19" s="1"/>
  <c r="P68" i="19"/>
  <c r="Q68" i="19" s="1"/>
  <c r="P63" i="19"/>
  <c r="Q63" i="19" s="1"/>
  <c r="X10" i="19"/>
  <c r="Y10" i="19" s="1"/>
  <c r="X6" i="19"/>
  <c r="Y6" i="19" s="1"/>
  <c r="X11" i="19"/>
  <c r="Y11" i="19" s="1"/>
  <c r="X7" i="19"/>
  <c r="Y7" i="19" s="1"/>
  <c r="X12" i="19"/>
  <c r="Y12" i="19" s="1"/>
  <c r="X9" i="19"/>
  <c r="Y9" i="19" s="1"/>
  <c r="X13" i="19"/>
  <c r="Y13" i="19" s="1"/>
  <c r="X8" i="19"/>
  <c r="Y8" i="19" s="1"/>
  <c r="P338" i="19"/>
  <c r="Q338" i="19" s="1"/>
  <c r="P336" i="19"/>
  <c r="Q336" i="19" s="1"/>
  <c r="P343" i="19"/>
  <c r="Q343" i="19" s="1"/>
  <c r="P341" i="19"/>
  <c r="Q341" i="19" s="1"/>
  <c r="P339" i="19"/>
  <c r="Q339" i="19" s="1"/>
  <c r="P337" i="19"/>
  <c r="Q337" i="19" s="1"/>
  <c r="P340" i="19"/>
  <c r="Q340" i="19" s="1"/>
  <c r="P342" i="19"/>
  <c r="Q342" i="19" s="1"/>
  <c r="T428" i="19"/>
  <c r="U428" i="19" s="1"/>
  <c r="T425" i="19"/>
  <c r="U425" i="19" s="1"/>
  <c r="X567" i="19"/>
  <c r="Y567" i="19" s="1"/>
  <c r="X569" i="19"/>
  <c r="Y569" i="19" s="1"/>
  <c r="X571" i="19"/>
  <c r="Y571" i="19" s="1"/>
  <c r="P111" i="19"/>
  <c r="Q111" i="19" s="1"/>
  <c r="P110" i="19"/>
  <c r="Q110" i="19" s="1"/>
  <c r="P107" i="19"/>
  <c r="Q107" i="19" s="1"/>
  <c r="P106" i="19"/>
  <c r="Q106" i="19" s="1"/>
  <c r="P105" i="19"/>
  <c r="Q105" i="19" s="1"/>
  <c r="P108" i="19"/>
  <c r="Q108" i="19" s="1"/>
  <c r="P112" i="19"/>
  <c r="Q112" i="19" s="1"/>
  <c r="P109" i="19"/>
  <c r="Q109" i="19" s="1"/>
  <c r="T220" i="19"/>
  <c r="T216" i="19"/>
  <c r="T221" i="19"/>
  <c r="T219" i="19"/>
  <c r="T217" i="19"/>
  <c r="T215" i="19"/>
  <c r="T222" i="19"/>
  <c r="T218" i="19"/>
  <c r="AF112" i="19"/>
  <c r="AG112" i="19" s="1"/>
  <c r="AF111" i="19"/>
  <c r="AG111" i="19" s="1"/>
  <c r="AF109" i="19"/>
  <c r="AG109" i="19" s="1"/>
  <c r="AF108" i="19"/>
  <c r="AG108" i="19" s="1"/>
  <c r="AF107" i="19"/>
  <c r="AG107" i="19" s="1"/>
  <c r="AF106" i="19"/>
  <c r="AG106" i="19" s="1"/>
  <c r="AF105" i="19"/>
  <c r="AG105" i="19" s="1"/>
  <c r="AF110" i="19"/>
  <c r="AG110" i="19" s="1"/>
  <c r="AB375" i="19"/>
  <c r="AC375" i="19" s="1"/>
  <c r="AB372" i="19"/>
  <c r="AC372" i="19" s="1"/>
  <c r="AB376" i="19"/>
  <c r="AC376" i="19" s="1"/>
  <c r="AB373" i="19"/>
  <c r="AC373" i="19" s="1"/>
  <c r="AB371" i="19"/>
  <c r="AC371" i="19" s="1"/>
  <c r="AB370" i="19"/>
  <c r="AC370" i="19" s="1"/>
  <c r="AB369" i="19"/>
  <c r="AC369" i="19" s="1"/>
  <c r="AB374" i="19"/>
  <c r="AC374" i="19" s="1"/>
  <c r="AF409" i="19"/>
  <c r="AG409" i="19" s="1"/>
  <c r="AF406" i="19"/>
  <c r="AG406" i="19" s="1"/>
  <c r="AF403" i="19"/>
  <c r="AG403" i="19" s="1"/>
  <c r="AF404" i="19"/>
  <c r="AG404" i="19" s="1"/>
  <c r="AF408" i="19"/>
  <c r="AG408" i="19" s="1"/>
  <c r="AF405" i="19"/>
  <c r="AG405" i="19" s="1"/>
  <c r="AF402" i="19"/>
  <c r="AG402" i="19" s="1"/>
  <c r="AF407" i="19"/>
  <c r="AG407" i="19" s="1"/>
  <c r="X408" i="19"/>
  <c r="Y408" i="19" s="1"/>
  <c r="X402" i="19"/>
  <c r="Y402" i="19" s="1"/>
  <c r="X405" i="19"/>
  <c r="Y405" i="19" s="1"/>
  <c r="X409" i="19"/>
  <c r="Y409" i="19" s="1"/>
  <c r="X407" i="19"/>
  <c r="Y407" i="19" s="1"/>
  <c r="X403" i="19"/>
  <c r="Y403" i="19" s="1"/>
  <c r="X406" i="19"/>
  <c r="Y406" i="19" s="1"/>
  <c r="X404" i="19"/>
  <c r="Y404" i="19" s="1"/>
  <c r="P404" i="19"/>
  <c r="Q404" i="19" s="1"/>
  <c r="P408" i="19"/>
  <c r="Q408" i="19" s="1"/>
  <c r="P409" i="19"/>
  <c r="Q409" i="19" s="1"/>
  <c r="P403" i="19"/>
  <c r="Q403" i="19" s="1"/>
  <c r="P407" i="19"/>
  <c r="Q407" i="19" s="1"/>
  <c r="P402" i="19"/>
  <c r="Q402" i="19" s="1"/>
  <c r="P406" i="19"/>
  <c r="Q406" i="19" s="1"/>
  <c r="P405" i="19"/>
  <c r="Q405" i="19" s="1"/>
  <c r="AB296" i="19"/>
  <c r="AC296" i="19" s="1"/>
  <c r="AB298" i="19"/>
  <c r="AC298" i="19" s="1"/>
  <c r="AB292" i="19"/>
  <c r="AC292" i="19" s="1"/>
  <c r="AB295" i="19"/>
  <c r="AC295" i="19" s="1"/>
  <c r="AB297" i="19"/>
  <c r="AC297" i="19" s="1"/>
  <c r="AB293" i="19"/>
  <c r="AC293" i="19" s="1"/>
  <c r="AB294" i="19"/>
  <c r="AC294" i="19" s="1"/>
  <c r="AB299" i="19"/>
  <c r="AC299" i="19" s="1"/>
  <c r="P309" i="19"/>
  <c r="Q309" i="19" s="1"/>
  <c r="P304" i="19"/>
  <c r="Q304" i="19" s="1"/>
  <c r="P306" i="19"/>
  <c r="Q306" i="19" s="1"/>
  <c r="P310" i="19"/>
  <c r="Q310" i="19" s="1"/>
  <c r="P303" i="19"/>
  <c r="Q303" i="19" s="1"/>
  <c r="P305" i="19"/>
  <c r="Q305" i="19" s="1"/>
  <c r="P308" i="19"/>
  <c r="Q308" i="19" s="1"/>
  <c r="P307" i="19"/>
  <c r="Q307" i="19" s="1"/>
  <c r="P287" i="19"/>
  <c r="Q287" i="19" s="1"/>
  <c r="P286" i="19"/>
  <c r="Q286" i="19" s="1"/>
  <c r="P288" i="19"/>
  <c r="Q288" i="19" s="1"/>
  <c r="P285" i="19"/>
  <c r="Q285" i="19" s="1"/>
  <c r="P284" i="19"/>
  <c r="Q284" i="19" s="1"/>
  <c r="P281" i="19"/>
  <c r="Q281" i="19" s="1"/>
  <c r="P283" i="19"/>
  <c r="Q283" i="19" s="1"/>
  <c r="P282" i="19"/>
  <c r="Q282" i="19" s="1"/>
  <c r="X221" i="19"/>
  <c r="Y221" i="19" s="1"/>
  <c r="X219" i="19"/>
  <c r="Y219" i="19" s="1"/>
  <c r="X217" i="19"/>
  <c r="Y217" i="19" s="1"/>
  <c r="X215" i="19"/>
  <c r="Y215" i="19" s="1"/>
  <c r="X222" i="19"/>
  <c r="Y222" i="19" s="1"/>
  <c r="X218" i="19"/>
  <c r="Y218" i="19" s="1"/>
  <c r="X220" i="19"/>
  <c r="Y220" i="19" s="1"/>
  <c r="X216" i="19"/>
  <c r="Y216" i="19" s="1"/>
  <c r="P277" i="19"/>
  <c r="Q277" i="19" s="1"/>
  <c r="P274" i="19"/>
  <c r="Q274" i="19" s="1"/>
  <c r="P271" i="19"/>
  <c r="Q271" i="19" s="1"/>
  <c r="P275" i="19"/>
  <c r="Q275" i="19" s="1"/>
  <c r="P272" i="19"/>
  <c r="Q272" i="19" s="1"/>
  <c r="P276" i="19"/>
  <c r="Q276" i="19" s="1"/>
  <c r="P273" i="19"/>
  <c r="Q273" i="19" s="1"/>
  <c r="P270" i="19"/>
  <c r="Q270" i="19" s="1"/>
  <c r="X87" i="19"/>
  <c r="Y87" i="19" s="1"/>
  <c r="X89" i="19"/>
  <c r="Y89" i="19" s="1"/>
  <c r="X84" i="19"/>
  <c r="Y84" i="19" s="1"/>
  <c r="X90" i="19"/>
  <c r="Y90" i="19" s="1"/>
  <c r="X83" i="19"/>
  <c r="Y83" i="19" s="1"/>
  <c r="X86" i="19"/>
  <c r="Y86" i="19" s="1"/>
  <c r="X85" i="19"/>
  <c r="Y85" i="19" s="1"/>
  <c r="X88" i="19"/>
  <c r="Y88" i="19" s="1"/>
  <c r="M62" i="19"/>
  <c r="M161" i="19"/>
  <c r="T57" i="19"/>
  <c r="U57" i="19" s="1"/>
  <c r="T53" i="19"/>
  <c r="U53" i="19" s="1"/>
  <c r="T54" i="19"/>
  <c r="U54" i="19" s="1"/>
  <c r="T50" i="19"/>
  <c r="U50" i="19" s="1"/>
  <c r="T55" i="19"/>
  <c r="U55" i="19" s="1"/>
  <c r="T51" i="19"/>
  <c r="U51" i="19" s="1"/>
  <c r="T52" i="19"/>
  <c r="U52" i="19" s="1"/>
  <c r="T56" i="19"/>
  <c r="U56" i="19" s="1"/>
  <c r="T99" i="19"/>
  <c r="U99" i="19" s="1"/>
  <c r="T100" i="19"/>
  <c r="U100" i="19" s="1"/>
  <c r="T95" i="19"/>
  <c r="U95" i="19" s="1"/>
  <c r="T96" i="19"/>
  <c r="U96" i="19" s="1"/>
  <c r="T97" i="19"/>
  <c r="U97" i="19" s="1"/>
  <c r="T101" i="19"/>
  <c r="U101" i="19" s="1"/>
  <c r="T98" i="19"/>
  <c r="U98" i="19" s="1"/>
  <c r="T94" i="19"/>
  <c r="U94" i="19" s="1"/>
  <c r="L95" i="19"/>
  <c r="X199" i="19"/>
  <c r="Y199" i="19" s="1"/>
  <c r="X198" i="19"/>
  <c r="Y198" i="19" s="1"/>
  <c r="X197" i="19"/>
  <c r="Y197" i="19" s="1"/>
  <c r="X196" i="19"/>
  <c r="Y196" i="19" s="1"/>
  <c r="X195" i="19"/>
  <c r="Y195" i="19" s="1"/>
  <c r="X194" i="19"/>
  <c r="Y194" i="19" s="1"/>
  <c r="X193" i="19"/>
  <c r="Y193" i="19" s="1"/>
  <c r="X200" i="19"/>
  <c r="Y200" i="19" s="1"/>
  <c r="T254" i="19"/>
  <c r="U254" i="19" s="1"/>
  <c r="T249" i="19"/>
  <c r="U249" i="19" s="1"/>
  <c r="T250" i="19"/>
  <c r="U250" i="19" s="1"/>
  <c r="T252" i="19"/>
  <c r="U252" i="19" s="1"/>
  <c r="T251" i="19"/>
  <c r="U251" i="19" s="1"/>
  <c r="T248" i="19"/>
  <c r="U248" i="19" s="1"/>
  <c r="T253" i="19"/>
  <c r="U253" i="19" s="1"/>
  <c r="T255" i="19"/>
  <c r="U255" i="19" s="1"/>
  <c r="AB579" i="19"/>
  <c r="AC579" i="19" s="1"/>
  <c r="AB581" i="19"/>
  <c r="AC581" i="19" s="1"/>
  <c r="AB583" i="19"/>
  <c r="AC583" i="19" s="1"/>
  <c r="AB582" i="19"/>
  <c r="AC582" i="19" s="1"/>
  <c r="AF330" i="19"/>
  <c r="AG330" i="19" s="1"/>
  <c r="AF332" i="19"/>
  <c r="AG332" i="19" s="1"/>
  <c r="AF325" i="19"/>
  <c r="AG325" i="19" s="1"/>
  <c r="AF329" i="19"/>
  <c r="AG329" i="19" s="1"/>
  <c r="AF328" i="19"/>
  <c r="AG328" i="19" s="1"/>
  <c r="AF327" i="19"/>
  <c r="AG327" i="19" s="1"/>
  <c r="AF326" i="19"/>
  <c r="AG326" i="19" s="1"/>
  <c r="AF331" i="19"/>
  <c r="AG331" i="19" s="1"/>
  <c r="T45" i="19"/>
  <c r="U45" i="19" s="1"/>
  <c r="T41" i="19"/>
  <c r="U41" i="19" s="1"/>
  <c r="T46" i="19"/>
  <c r="U46" i="19" s="1"/>
  <c r="T42" i="19"/>
  <c r="U42" i="19" s="1"/>
  <c r="T43" i="19"/>
  <c r="U43" i="19" s="1"/>
  <c r="T39" i="19"/>
  <c r="U39" i="19" s="1"/>
  <c r="T40" i="19"/>
  <c r="U40" i="19" s="1"/>
  <c r="T44" i="19"/>
  <c r="U44" i="19" s="1"/>
  <c r="P131" i="19"/>
  <c r="Q131" i="19" s="1"/>
  <c r="P128" i="19"/>
  <c r="Q128" i="19" s="1"/>
  <c r="P134" i="19"/>
  <c r="Q134" i="19" s="1"/>
  <c r="P132" i="19"/>
  <c r="Q132" i="19" s="1"/>
  <c r="P129" i="19"/>
  <c r="Q129" i="19" s="1"/>
  <c r="P127" i="19"/>
  <c r="Q127" i="19" s="1"/>
  <c r="P130" i="19"/>
  <c r="Q130" i="19" s="1"/>
  <c r="P133" i="19"/>
  <c r="Q133" i="19" s="1"/>
  <c r="X308" i="19"/>
  <c r="Y308" i="19" s="1"/>
  <c r="X310" i="19"/>
  <c r="Y310" i="19" s="1"/>
  <c r="X303" i="19"/>
  <c r="Y303" i="19" s="1"/>
  <c r="X307" i="19"/>
  <c r="Y307" i="19" s="1"/>
  <c r="X306" i="19"/>
  <c r="Y306" i="19" s="1"/>
  <c r="X305" i="19"/>
  <c r="Y305" i="19" s="1"/>
  <c r="X304" i="19"/>
  <c r="Y304" i="19" s="1"/>
  <c r="X309" i="19"/>
  <c r="Y309" i="19" s="1"/>
  <c r="AF375" i="19"/>
  <c r="AG375" i="19" s="1"/>
  <c r="AF372" i="19"/>
  <c r="AG372" i="19" s="1"/>
  <c r="AF369" i="19"/>
  <c r="AG369" i="19" s="1"/>
  <c r="AF370" i="19"/>
  <c r="AG370" i="19" s="1"/>
  <c r="AF374" i="19"/>
  <c r="AG374" i="19" s="1"/>
  <c r="AF376" i="19"/>
  <c r="AG376" i="19" s="1"/>
  <c r="AF373" i="19"/>
  <c r="AG373" i="19" s="1"/>
  <c r="AF371" i="19"/>
  <c r="AG371" i="19" s="1"/>
  <c r="T447" i="19"/>
  <c r="U447" i="19" s="1"/>
  <c r="AF275" i="19"/>
  <c r="AG275" i="19" s="1"/>
  <c r="AF272" i="19"/>
  <c r="AG272" i="19" s="1"/>
  <c r="AF271" i="19"/>
  <c r="AG271" i="19" s="1"/>
  <c r="AF274" i="19"/>
  <c r="AG274" i="19" s="1"/>
  <c r="AF273" i="19"/>
  <c r="AG273" i="19" s="1"/>
  <c r="AF277" i="19"/>
  <c r="AG277" i="19" s="1"/>
  <c r="AF276" i="19"/>
  <c r="AG276" i="19" s="1"/>
  <c r="AF270" i="19"/>
  <c r="AG270" i="19" s="1"/>
  <c r="AF349" i="19"/>
  <c r="AG349" i="19" s="1"/>
  <c r="AF347" i="19"/>
  <c r="AG347" i="19" s="1"/>
  <c r="AF354" i="19"/>
  <c r="AG354" i="19" s="1"/>
  <c r="AF352" i="19"/>
  <c r="AG352" i="19" s="1"/>
  <c r="AF350" i="19"/>
  <c r="AG350" i="19" s="1"/>
  <c r="AF348" i="19"/>
  <c r="AG348" i="19" s="1"/>
  <c r="AF351" i="19"/>
  <c r="AG351" i="19" s="1"/>
  <c r="AF353" i="19"/>
  <c r="AG353" i="19" s="1"/>
  <c r="T200" i="19"/>
  <c r="U200" i="19" s="1"/>
  <c r="T199" i="19"/>
  <c r="U199" i="19" s="1"/>
  <c r="T198" i="19"/>
  <c r="U198" i="19" s="1"/>
  <c r="T197" i="19"/>
  <c r="U197" i="19" s="1"/>
  <c r="T196" i="19"/>
  <c r="U196" i="19" s="1"/>
  <c r="T195" i="19"/>
  <c r="U195" i="19" s="1"/>
  <c r="T194" i="19"/>
  <c r="U194" i="19" s="1"/>
  <c r="T193" i="19"/>
  <c r="U193" i="19" s="1"/>
  <c r="P231" i="19"/>
  <c r="Q231" i="19" s="1"/>
  <c r="P230" i="19"/>
  <c r="Q230" i="19" s="1"/>
  <c r="P229" i="19"/>
  <c r="Q229" i="19" s="1"/>
  <c r="P232" i="19"/>
  <c r="Q232" i="19" s="1"/>
  <c r="P228" i="19"/>
  <c r="Q228" i="19" s="1"/>
  <c r="P233" i="19"/>
  <c r="Q233" i="19" s="1"/>
  <c r="P226" i="19"/>
  <c r="Q226" i="19" s="1"/>
  <c r="P227" i="19"/>
  <c r="Q227" i="19" s="1"/>
  <c r="AF194" i="19"/>
  <c r="AG194" i="19" s="1"/>
  <c r="AF193" i="19"/>
  <c r="AG193" i="19" s="1"/>
  <c r="AF200" i="19"/>
  <c r="AG200" i="19" s="1"/>
  <c r="AF199" i="19"/>
  <c r="AG199" i="19" s="1"/>
  <c r="AF198" i="19"/>
  <c r="AG198" i="19" s="1"/>
  <c r="AF197" i="19"/>
  <c r="AG197" i="19" s="1"/>
  <c r="AF196" i="19"/>
  <c r="AG196" i="19" s="1"/>
  <c r="AF195" i="19"/>
  <c r="AG195" i="19" s="1"/>
  <c r="M40" i="19"/>
  <c r="AF55" i="19"/>
  <c r="AG55" i="19" s="1"/>
  <c r="AF50" i="19"/>
  <c r="AG50" i="19" s="1"/>
  <c r="AF51" i="19"/>
  <c r="AG51" i="19" s="1"/>
  <c r="AF56" i="19"/>
  <c r="AG56" i="19" s="1"/>
  <c r="AF52" i="19"/>
  <c r="AG52" i="19" s="1"/>
  <c r="AF57" i="19"/>
  <c r="AG57" i="19" s="1"/>
  <c r="AF53" i="19"/>
  <c r="AG53" i="19" s="1"/>
  <c r="AF54" i="19"/>
  <c r="AG54" i="19" s="1"/>
  <c r="AF23" i="19"/>
  <c r="AG23" i="19" s="1"/>
  <c r="AF19" i="19"/>
  <c r="AG19" i="19" s="1"/>
  <c r="AF24" i="19"/>
  <c r="AG24" i="19" s="1"/>
  <c r="AF20" i="19"/>
  <c r="AG20" i="19" s="1"/>
  <c r="AF21" i="19"/>
  <c r="AG21" i="19" s="1"/>
  <c r="AF18" i="19"/>
  <c r="AG18" i="19" s="1"/>
  <c r="AF22" i="19"/>
  <c r="AG22" i="19" s="1"/>
  <c r="AF17" i="19"/>
  <c r="AG17" i="19" s="1"/>
  <c r="AB30" i="19"/>
  <c r="AC30" i="19" s="1"/>
  <c r="AB35" i="19"/>
  <c r="AC35" i="19" s="1"/>
  <c r="AB31" i="19"/>
  <c r="AC31" i="19" s="1"/>
  <c r="AB32" i="19"/>
  <c r="AC32" i="19" s="1"/>
  <c r="AB28" i="19"/>
  <c r="AC28" i="19" s="1"/>
  <c r="AB33" i="19"/>
  <c r="AC33" i="19" s="1"/>
  <c r="AB34" i="19"/>
  <c r="AC34" i="19" s="1"/>
  <c r="AB29" i="19"/>
  <c r="AC29" i="19" s="1"/>
  <c r="P551" i="19"/>
  <c r="Q551" i="19" s="1"/>
  <c r="P552" i="19"/>
  <c r="Q552" i="19" s="1"/>
  <c r="P238" i="19"/>
  <c r="Q238" i="19" s="1"/>
  <c r="P241" i="19"/>
  <c r="Q241" i="19" s="1"/>
  <c r="P239" i="19"/>
  <c r="Q239" i="19" s="1"/>
  <c r="P244" i="19"/>
  <c r="Q244" i="19" s="1"/>
  <c r="P237" i="19"/>
  <c r="Q237" i="19" s="1"/>
  <c r="P240" i="19"/>
  <c r="Q240" i="19" s="1"/>
  <c r="P243" i="19"/>
  <c r="Q243" i="19" s="1"/>
  <c r="P242" i="19"/>
  <c r="Q242" i="19" s="1"/>
  <c r="AB79" i="19"/>
  <c r="AC79" i="19" s="1"/>
  <c r="AB77" i="19"/>
  <c r="AC77" i="19" s="1"/>
  <c r="AB73" i="19"/>
  <c r="AC73" i="19" s="1"/>
  <c r="AB74" i="19"/>
  <c r="AC74" i="19" s="1"/>
  <c r="AB75" i="19"/>
  <c r="AC75" i="19" s="1"/>
  <c r="AB78" i="19"/>
  <c r="AC78" i="19" s="1"/>
  <c r="AB76" i="19"/>
  <c r="AC76" i="19" s="1"/>
  <c r="AB72" i="19"/>
  <c r="AC72" i="19" s="1"/>
  <c r="AB204" i="19"/>
  <c r="AC204" i="19" s="1"/>
  <c r="AB207" i="19"/>
  <c r="AC207" i="19" s="1"/>
  <c r="AB210" i="19"/>
  <c r="AC210" i="19" s="1"/>
  <c r="AB205" i="19"/>
  <c r="AC205" i="19" s="1"/>
  <c r="AB208" i="19"/>
  <c r="AC208" i="19" s="1"/>
  <c r="AB206" i="19"/>
  <c r="AC206" i="19" s="1"/>
  <c r="AB209" i="19"/>
  <c r="AC209" i="19" s="1"/>
  <c r="AB211" i="19"/>
  <c r="AC211" i="19" s="1"/>
  <c r="AB420" i="19"/>
  <c r="AC420" i="19" s="1"/>
  <c r="AB413" i="19"/>
  <c r="AC413" i="19" s="1"/>
  <c r="AB414" i="19"/>
  <c r="AC414" i="19" s="1"/>
  <c r="AB416" i="19"/>
  <c r="AC416" i="19" s="1"/>
  <c r="AB417" i="19"/>
  <c r="AC417" i="19" s="1"/>
  <c r="X129" i="19"/>
  <c r="Y129" i="19" s="1"/>
  <c r="X132" i="19"/>
  <c r="Y132" i="19" s="1"/>
  <c r="X133" i="19"/>
  <c r="Y133" i="19" s="1"/>
  <c r="X130" i="19"/>
  <c r="Y130" i="19" s="1"/>
  <c r="X127" i="19"/>
  <c r="Y127" i="19" s="1"/>
  <c r="X134" i="19"/>
  <c r="Y134" i="19" s="1"/>
  <c r="X128" i="19"/>
  <c r="Y128" i="19" s="1"/>
  <c r="X131" i="19"/>
  <c r="Y131" i="19" s="1"/>
  <c r="J484" i="19"/>
  <c r="T450" i="19"/>
  <c r="U450" i="19" s="1"/>
  <c r="X385" i="19"/>
  <c r="Y385" i="19" s="1"/>
  <c r="X387" i="19"/>
  <c r="Y387" i="19" s="1"/>
  <c r="X382" i="19"/>
  <c r="Y382" i="19" s="1"/>
  <c r="X380" i="19"/>
  <c r="Y380" i="19" s="1"/>
  <c r="X386" i="19"/>
  <c r="Y386" i="19" s="1"/>
  <c r="X384" i="19"/>
  <c r="Y384" i="19" s="1"/>
  <c r="X383" i="19"/>
  <c r="Y383" i="19" s="1"/>
  <c r="X381" i="19"/>
  <c r="Y381" i="19" s="1"/>
  <c r="T183" i="19"/>
  <c r="U183" i="19" s="1"/>
  <c r="T185" i="19"/>
  <c r="U185" i="19" s="1"/>
  <c r="T187" i="19"/>
  <c r="U187" i="19" s="1"/>
  <c r="T189" i="19"/>
  <c r="U189" i="19" s="1"/>
  <c r="T182" i="19"/>
  <c r="U182" i="19" s="1"/>
  <c r="T184" i="19"/>
  <c r="U184" i="19" s="1"/>
  <c r="T186" i="19"/>
  <c r="U186" i="19" s="1"/>
  <c r="T188" i="19"/>
  <c r="U188" i="19" s="1"/>
  <c r="AF239" i="19"/>
  <c r="AG239" i="19" s="1"/>
  <c r="AF244" i="19"/>
  <c r="AG244" i="19" s="1"/>
  <c r="AF242" i="19"/>
  <c r="AG242" i="19" s="1"/>
  <c r="AF240" i="19"/>
  <c r="AG240" i="19" s="1"/>
  <c r="AF243" i="19"/>
  <c r="AG243" i="19" s="1"/>
  <c r="AF238" i="19"/>
  <c r="AG238" i="19" s="1"/>
  <c r="AF241" i="19"/>
  <c r="AG241" i="19" s="1"/>
  <c r="AF237" i="19"/>
  <c r="AG237" i="19" s="1"/>
  <c r="T86" i="19"/>
  <c r="U86" i="19" s="1"/>
  <c r="T88" i="19"/>
  <c r="U88" i="19" s="1"/>
  <c r="T83" i="19"/>
  <c r="U83" i="19" s="1"/>
  <c r="T89" i="19"/>
  <c r="U89" i="19" s="1"/>
  <c r="T84" i="19"/>
  <c r="U84" i="19" s="1"/>
  <c r="T85" i="19"/>
  <c r="U85" i="19" s="1"/>
  <c r="T90" i="19"/>
  <c r="U90" i="19" s="1"/>
  <c r="T87" i="19"/>
  <c r="U87" i="19" s="1"/>
  <c r="P8" i="19"/>
  <c r="Q8" i="19" s="1"/>
  <c r="P13" i="19"/>
  <c r="Q13" i="19" s="1"/>
  <c r="P9" i="19"/>
  <c r="Q9" i="19" s="1"/>
  <c r="P10" i="19"/>
  <c r="Q10" i="19" s="1"/>
  <c r="P11" i="19"/>
  <c r="Q11" i="19" s="1"/>
  <c r="P6" i="19"/>
  <c r="Q6" i="19" s="1"/>
  <c r="P12" i="19"/>
  <c r="Q12" i="19" s="1"/>
  <c r="P7" i="19"/>
  <c r="Q7" i="19" s="1"/>
  <c r="X122" i="19"/>
  <c r="Y122" i="19" s="1"/>
  <c r="X117" i="19"/>
  <c r="Y117" i="19" s="1"/>
  <c r="X123" i="19"/>
  <c r="Y123" i="19" s="1"/>
  <c r="X118" i="19"/>
  <c r="Y118" i="19" s="1"/>
  <c r="X120" i="19"/>
  <c r="Y120" i="19" s="1"/>
  <c r="X116" i="19"/>
  <c r="Y116" i="19" s="1"/>
  <c r="X119" i="19"/>
  <c r="Y119" i="19" s="1"/>
  <c r="X121" i="19"/>
  <c r="Y121" i="19" s="1"/>
  <c r="T321" i="19"/>
  <c r="U321" i="19" s="1"/>
  <c r="T314" i="19"/>
  <c r="U314" i="19" s="1"/>
  <c r="T318" i="19"/>
  <c r="U318" i="19" s="1"/>
  <c r="T315" i="19"/>
  <c r="U315" i="19" s="1"/>
  <c r="T319" i="19"/>
  <c r="U319" i="19" s="1"/>
  <c r="T316" i="19"/>
  <c r="U316" i="19" s="1"/>
  <c r="T317" i="19"/>
  <c r="U317" i="19" s="1"/>
  <c r="T320" i="19"/>
  <c r="U320" i="19" s="1"/>
  <c r="AF67" i="19"/>
  <c r="AG67" i="19" s="1"/>
  <c r="AF63" i="19"/>
  <c r="AG63" i="19" s="1"/>
  <c r="AF68" i="19"/>
  <c r="AG68" i="19" s="1"/>
  <c r="AF64" i="19"/>
  <c r="AG64" i="19" s="1"/>
  <c r="AF65" i="19"/>
  <c r="AG65" i="19" s="1"/>
  <c r="AF62" i="19"/>
  <c r="AG62" i="19" s="1"/>
  <c r="AF66" i="19"/>
  <c r="AG66" i="19" s="1"/>
  <c r="AF61" i="19"/>
  <c r="AG61" i="19" s="1"/>
  <c r="T288" i="19"/>
  <c r="U288" i="19" s="1"/>
  <c r="T284" i="19"/>
  <c r="U284" i="19" s="1"/>
  <c r="T283" i="19"/>
  <c r="U283" i="19" s="1"/>
  <c r="T282" i="19"/>
  <c r="U282" i="19" s="1"/>
  <c r="T281" i="19"/>
  <c r="U281" i="19" s="1"/>
  <c r="T286" i="19"/>
  <c r="U286" i="19" s="1"/>
  <c r="T285" i="19"/>
  <c r="U285" i="19" s="1"/>
  <c r="T287" i="19"/>
  <c r="U287" i="19" s="1"/>
  <c r="T109" i="19"/>
  <c r="U109" i="19" s="1"/>
  <c r="T108" i="19"/>
  <c r="U108" i="19" s="1"/>
  <c r="T107" i="19"/>
  <c r="U107" i="19" s="1"/>
  <c r="T105" i="19"/>
  <c r="U105" i="19" s="1"/>
  <c r="T110" i="19"/>
  <c r="U110" i="19" s="1"/>
  <c r="T112" i="19"/>
  <c r="U112" i="19" s="1"/>
  <c r="T111" i="19"/>
  <c r="U111" i="19" s="1"/>
  <c r="T106" i="19"/>
  <c r="U106" i="19" s="1"/>
  <c r="P393" i="19"/>
  <c r="Q393" i="19" s="1"/>
  <c r="P397" i="19"/>
  <c r="Q397" i="19" s="1"/>
  <c r="P395" i="19"/>
  <c r="Q395" i="19" s="1"/>
  <c r="P394" i="19"/>
  <c r="Q394" i="19" s="1"/>
  <c r="P396" i="19"/>
  <c r="Q396" i="19" s="1"/>
  <c r="P392" i="19"/>
  <c r="Q392" i="19" s="1"/>
  <c r="P391" i="19"/>
  <c r="Q391" i="19" s="1"/>
  <c r="P398" i="19"/>
  <c r="Q398" i="19" s="1"/>
  <c r="U219" i="19"/>
  <c r="U220" i="19"/>
  <c r="U215" i="19"/>
  <c r="U221" i="19"/>
  <c r="U216" i="19"/>
  <c r="U222" i="19"/>
  <c r="U217" i="19"/>
  <c r="U218" i="19"/>
  <c r="AG208" i="19"/>
  <c r="AG204" i="19"/>
  <c r="AG209" i="19"/>
  <c r="AG205" i="19"/>
  <c r="AG210" i="19"/>
  <c r="AG206" i="19"/>
  <c r="AG211" i="19"/>
  <c r="AG207" i="19"/>
  <c r="H672" i="19"/>
  <c r="AB673" i="19"/>
  <c r="AC673" i="19" s="1"/>
  <c r="AB671" i="19"/>
  <c r="AC671" i="19" s="1"/>
  <c r="AB669" i="19"/>
  <c r="AC669" i="19" s="1"/>
  <c r="AB667" i="19"/>
  <c r="AC667" i="19" s="1"/>
  <c r="AB672" i="19"/>
  <c r="AC672" i="19" s="1"/>
  <c r="AB668" i="19"/>
  <c r="AC668" i="19" s="1"/>
  <c r="AB670" i="19"/>
  <c r="AC670" i="19" s="1"/>
  <c r="AB666" i="19"/>
  <c r="AC666" i="19" s="1"/>
  <c r="AB513" i="19"/>
  <c r="AC513" i="19" s="1"/>
  <c r="AB516" i="19"/>
  <c r="AC516" i="19" s="1"/>
  <c r="AB514" i="19"/>
  <c r="AC514" i="19" s="1"/>
  <c r="AB517" i="19"/>
  <c r="AC517" i="19" s="1"/>
  <c r="AB515" i="19"/>
  <c r="AC515" i="19" s="1"/>
  <c r="AB518" i="19"/>
  <c r="AC518" i="19" s="1"/>
  <c r="AB512" i="19"/>
  <c r="AC512" i="19" s="1"/>
  <c r="AB519" i="19"/>
  <c r="AC519" i="19" s="1"/>
  <c r="T538" i="19"/>
  <c r="U538" i="19" s="1"/>
  <c r="T537" i="19"/>
  <c r="U537" i="19" s="1"/>
  <c r="T535" i="19"/>
  <c r="U535" i="19" s="1"/>
  <c r="T534" i="19"/>
  <c r="U534" i="19" s="1"/>
  <c r="T539" i="19"/>
  <c r="U539" i="19" s="1"/>
  <c r="T541" i="19"/>
  <c r="U541" i="19" s="1"/>
  <c r="T540" i="19"/>
  <c r="U540" i="19" s="1"/>
  <c r="T536" i="19"/>
  <c r="U536" i="19" s="1"/>
  <c r="P495" i="19"/>
  <c r="Q495" i="19" s="1"/>
  <c r="P493" i="19"/>
  <c r="Q493" i="19" s="1"/>
  <c r="P491" i="19"/>
  <c r="Q491" i="19" s="1"/>
  <c r="P492" i="19"/>
  <c r="Q492" i="19" s="1"/>
  <c r="P497" i="19"/>
  <c r="Q497" i="19" s="1"/>
  <c r="P496" i="19"/>
  <c r="Q496" i="19" s="1"/>
  <c r="P494" i="19"/>
  <c r="Q494" i="19" s="1"/>
  <c r="P490" i="19"/>
  <c r="Q490" i="19" s="1"/>
  <c r="H179" i="19"/>
  <c r="L175" i="19"/>
  <c r="L177" i="19" s="1"/>
  <c r="L174" i="19"/>
  <c r="P536" i="19"/>
  <c r="Q536" i="19" s="1"/>
  <c r="P538" i="19"/>
  <c r="Q538" i="19" s="1"/>
  <c r="P537" i="19"/>
  <c r="Q537" i="19" s="1"/>
  <c r="P535" i="19"/>
  <c r="Q535" i="19" s="1"/>
  <c r="P534" i="19"/>
  <c r="Q534" i="19" s="1"/>
  <c r="P540" i="19"/>
  <c r="Q540" i="19" s="1"/>
  <c r="P541" i="19"/>
  <c r="Q541" i="19" s="1"/>
  <c r="P539" i="19"/>
  <c r="Q539" i="19" s="1"/>
  <c r="AB475" i="19"/>
  <c r="AC475" i="19" s="1"/>
  <c r="AB473" i="19"/>
  <c r="AC473" i="19" s="1"/>
  <c r="AB474" i="19"/>
  <c r="AC474" i="19" s="1"/>
  <c r="AB470" i="19"/>
  <c r="AC470" i="19" s="1"/>
  <c r="AB469" i="19"/>
  <c r="AC469" i="19" s="1"/>
  <c r="AB472" i="19"/>
  <c r="AC472" i="19" s="1"/>
  <c r="AB468" i="19"/>
  <c r="AC468" i="19" s="1"/>
  <c r="AB471" i="19"/>
  <c r="AC471" i="19" s="1"/>
  <c r="J649" i="19"/>
  <c r="T525" i="19"/>
  <c r="U525" i="19" s="1"/>
  <c r="T527" i="19"/>
  <c r="U527" i="19" s="1"/>
  <c r="T526" i="19"/>
  <c r="U526" i="19" s="1"/>
  <c r="T528" i="19"/>
  <c r="U528" i="19" s="1"/>
  <c r="T524" i="19"/>
  <c r="U524" i="19" s="1"/>
  <c r="T523" i="19"/>
  <c r="U523" i="19" s="1"/>
  <c r="T530" i="19"/>
  <c r="U530" i="19" s="1"/>
  <c r="T529" i="19"/>
  <c r="U529" i="19" s="1"/>
  <c r="T492" i="19"/>
  <c r="U492" i="19" s="1"/>
  <c r="T496" i="19"/>
  <c r="U496" i="19" s="1"/>
  <c r="T494" i="19"/>
  <c r="U494" i="19" s="1"/>
  <c r="T490" i="19"/>
  <c r="U490" i="19" s="1"/>
  <c r="T497" i="19"/>
  <c r="U497" i="19" s="1"/>
  <c r="T495" i="19"/>
  <c r="U495" i="19" s="1"/>
  <c r="T493" i="19"/>
  <c r="U493" i="19" s="1"/>
  <c r="T491" i="19"/>
  <c r="U491" i="19" s="1"/>
  <c r="P453" i="19"/>
  <c r="Q453" i="19" s="1"/>
  <c r="P450" i="19"/>
  <c r="Q450" i="19" s="1"/>
  <c r="P449" i="19"/>
  <c r="Q449" i="19" s="1"/>
  <c r="P447" i="19"/>
  <c r="Q447" i="19" s="1"/>
  <c r="P446" i="19"/>
  <c r="Q446" i="19" s="1"/>
  <c r="P452" i="19"/>
  <c r="Q452" i="19" s="1"/>
  <c r="P451" i="19"/>
  <c r="Q451" i="19" s="1"/>
  <c r="P448" i="19"/>
  <c r="Q448" i="19" s="1"/>
  <c r="K341" i="19"/>
  <c r="K340" i="19" s="1"/>
  <c r="K342" i="19" s="1"/>
  <c r="H298" i="19"/>
  <c r="M216" i="19"/>
  <c r="K440" i="19"/>
  <c r="H164" i="19"/>
  <c r="H163" i="19"/>
  <c r="L264" i="19"/>
  <c r="L263" i="19" s="1"/>
  <c r="L265" i="19" s="1"/>
  <c r="I157" i="19"/>
  <c r="I66" i="19"/>
  <c r="I65" i="19" s="1"/>
  <c r="I67" i="19" s="1"/>
  <c r="K142" i="19"/>
  <c r="K144" i="19" s="1"/>
  <c r="K141" i="19"/>
  <c r="J142" i="19"/>
  <c r="J144" i="19" s="1"/>
  <c r="J141" i="19"/>
  <c r="BK15" i="19"/>
  <c r="K22" i="19"/>
  <c r="K21" i="19" s="1"/>
  <c r="K23" i="19" s="1"/>
  <c r="J671" i="19"/>
  <c r="T606" i="19"/>
  <c r="U606" i="19" s="1"/>
  <c r="T601" i="19"/>
  <c r="U601" i="19" s="1"/>
  <c r="T604" i="19"/>
  <c r="U604" i="19" s="1"/>
  <c r="T600" i="19"/>
  <c r="U600" i="19" s="1"/>
  <c r="T602" i="19"/>
  <c r="U602" i="19" s="1"/>
  <c r="T607" i="19"/>
  <c r="U607" i="19" s="1"/>
  <c r="T603" i="19"/>
  <c r="U603" i="19" s="1"/>
  <c r="T605" i="19"/>
  <c r="U605" i="19" s="1"/>
  <c r="J583" i="19"/>
  <c r="X550" i="19"/>
  <c r="Y550" i="19" s="1"/>
  <c r="X549" i="19"/>
  <c r="Y549" i="19" s="1"/>
  <c r="X552" i="19"/>
  <c r="Y552" i="19" s="1"/>
  <c r="X547" i="19"/>
  <c r="Y547" i="19" s="1"/>
  <c r="X551" i="19"/>
  <c r="Y551" i="19" s="1"/>
  <c r="X545" i="19"/>
  <c r="Y545" i="19" s="1"/>
  <c r="X546" i="19"/>
  <c r="Y546" i="19" s="1"/>
  <c r="X548" i="19"/>
  <c r="Y548" i="19" s="1"/>
  <c r="AF650" i="19"/>
  <c r="AG650" i="19" s="1"/>
  <c r="AF649" i="19"/>
  <c r="AG649" i="19" s="1"/>
  <c r="AF651" i="19"/>
  <c r="AG651" i="19" s="1"/>
  <c r="AF645" i="19"/>
  <c r="AG645" i="19" s="1"/>
  <c r="AF647" i="19"/>
  <c r="AG647" i="19" s="1"/>
  <c r="AF644" i="19"/>
  <c r="AG644" i="19" s="1"/>
  <c r="AF648" i="19"/>
  <c r="AG648" i="19" s="1"/>
  <c r="AF646" i="19"/>
  <c r="AG646" i="19" s="1"/>
  <c r="J605" i="19"/>
  <c r="AF617" i="19"/>
  <c r="AG617" i="19" s="1"/>
  <c r="AF612" i="19"/>
  <c r="AG612" i="19" s="1"/>
  <c r="AF616" i="19"/>
  <c r="AG616" i="19" s="1"/>
  <c r="AF615" i="19"/>
  <c r="AG615" i="19" s="1"/>
  <c r="AF611" i="19"/>
  <c r="AG611" i="19" s="1"/>
  <c r="AF618" i="19"/>
  <c r="AG618" i="19" s="1"/>
  <c r="AF613" i="19"/>
  <c r="AG613" i="19" s="1"/>
  <c r="AF614" i="19"/>
  <c r="AG614" i="19" s="1"/>
  <c r="X519" i="19"/>
  <c r="Y519" i="19" s="1"/>
  <c r="X516" i="19"/>
  <c r="Y516" i="19" s="1"/>
  <c r="X514" i="19"/>
  <c r="Y514" i="19" s="1"/>
  <c r="X518" i="19"/>
  <c r="Y518" i="19" s="1"/>
  <c r="X517" i="19"/>
  <c r="Y517" i="19" s="1"/>
  <c r="X515" i="19"/>
  <c r="Y515" i="19" s="1"/>
  <c r="X513" i="19"/>
  <c r="Y513" i="19" s="1"/>
  <c r="X512" i="19"/>
  <c r="Y512" i="19" s="1"/>
  <c r="AF541" i="19"/>
  <c r="AG541" i="19" s="1"/>
  <c r="AF539" i="19"/>
  <c r="AG539" i="19" s="1"/>
  <c r="AF534" i="19"/>
  <c r="AG534" i="19" s="1"/>
  <c r="AF538" i="19"/>
  <c r="AG538" i="19" s="1"/>
  <c r="AF536" i="19"/>
  <c r="AG536" i="19" s="1"/>
  <c r="AF535" i="19"/>
  <c r="AG535" i="19" s="1"/>
  <c r="AF540" i="19"/>
  <c r="AG540" i="19" s="1"/>
  <c r="AF537" i="19"/>
  <c r="AG537" i="19" s="1"/>
  <c r="P508" i="19"/>
  <c r="Q508" i="19" s="1"/>
  <c r="P507" i="19"/>
  <c r="Q507" i="19" s="1"/>
  <c r="P506" i="19"/>
  <c r="Q506" i="19" s="1"/>
  <c r="P503" i="19"/>
  <c r="Q503" i="19" s="1"/>
  <c r="P501" i="19"/>
  <c r="Q501" i="19" s="1"/>
  <c r="P505" i="19"/>
  <c r="Q505" i="19" s="1"/>
  <c r="P504" i="19"/>
  <c r="Q504" i="19" s="1"/>
  <c r="P502" i="19"/>
  <c r="Q502" i="19" s="1"/>
  <c r="X430" i="19"/>
  <c r="Y430" i="19" s="1"/>
  <c r="X431" i="19"/>
  <c r="Y431" i="19" s="1"/>
  <c r="X425" i="19"/>
  <c r="Y425" i="19" s="1"/>
  <c r="X429" i="19"/>
  <c r="Y429" i="19" s="1"/>
  <c r="X427" i="19"/>
  <c r="Y427" i="19" s="1"/>
  <c r="X426" i="19"/>
  <c r="Y426" i="19" s="1"/>
  <c r="X424" i="19"/>
  <c r="Y424" i="19" s="1"/>
  <c r="X428" i="19"/>
  <c r="Y428" i="19" s="1"/>
  <c r="K253" i="19"/>
  <c r="K252" i="19" s="1"/>
  <c r="K254" i="19" s="1"/>
  <c r="H44" i="19"/>
  <c r="H43" i="19" s="1"/>
  <c r="BE17" i="19"/>
  <c r="BK16" i="19"/>
  <c r="AB695" i="19"/>
  <c r="AC695" i="19" s="1"/>
  <c r="AB689" i="19"/>
  <c r="AC689" i="19" s="1"/>
  <c r="AB694" i="19"/>
  <c r="AC694" i="19" s="1"/>
  <c r="AB688" i="19"/>
  <c r="AC688" i="19" s="1"/>
  <c r="AB693" i="19"/>
  <c r="AC693" i="19" s="1"/>
  <c r="AB692" i="19"/>
  <c r="AC692" i="19" s="1"/>
  <c r="AB690" i="19"/>
  <c r="AC690" i="19" s="1"/>
  <c r="AB691" i="19"/>
  <c r="AC691" i="19" s="1"/>
  <c r="T694" i="19"/>
  <c r="U694" i="19" s="1"/>
  <c r="T688" i="19"/>
  <c r="U688" i="19" s="1"/>
  <c r="T692" i="19"/>
  <c r="U692" i="19" s="1"/>
  <c r="T691" i="19"/>
  <c r="U691" i="19" s="1"/>
  <c r="T690" i="19"/>
  <c r="U690" i="19" s="1"/>
  <c r="T695" i="19"/>
  <c r="U695" i="19" s="1"/>
  <c r="T693" i="19"/>
  <c r="U693" i="19" s="1"/>
  <c r="T689" i="19"/>
  <c r="U689" i="19" s="1"/>
  <c r="AF635" i="19"/>
  <c r="AG635" i="19" s="1"/>
  <c r="AF638" i="19"/>
  <c r="AG638" i="19" s="1"/>
  <c r="AF637" i="19"/>
  <c r="AG637" i="19" s="1"/>
  <c r="AF634" i="19"/>
  <c r="AG634" i="19" s="1"/>
  <c r="AF639" i="19"/>
  <c r="AG639" i="19" s="1"/>
  <c r="AF633" i="19"/>
  <c r="AG633" i="19" s="1"/>
  <c r="AF636" i="19"/>
  <c r="AG636" i="19" s="1"/>
  <c r="AF640" i="19"/>
  <c r="AG640" i="19" s="1"/>
  <c r="H562" i="19"/>
  <c r="AF495" i="19"/>
  <c r="AG495" i="19" s="1"/>
  <c r="AF493" i="19"/>
  <c r="AG493" i="19" s="1"/>
  <c r="AF491" i="19"/>
  <c r="AG491" i="19" s="1"/>
  <c r="AF492" i="19"/>
  <c r="AG492" i="19" s="1"/>
  <c r="AF490" i="19"/>
  <c r="AG490" i="19" s="1"/>
  <c r="AF497" i="19"/>
  <c r="AG497" i="19" s="1"/>
  <c r="AF496" i="19"/>
  <c r="AG496" i="19" s="1"/>
  <c r="AF494" i="19"/>
  <c r="AG494" i="19" s="1"/>
  <c r="AB527" i="19"/>
  <c r="AC527" i="19" s="1"/>
  <c r="AB523" i="19"/>
  <c r="AC523" i="19" s="1"/>
  <c r="AB530" i="19"/>
  <c r="AC530" i="19" s="1"/>
  <c r="AB524" i="19"/>
  <c r="AC524" i="19" s="1"/>
  <c r="AB529" i="19"/>
  <c r="AC529" i="19" s="1"/>
  <c r="AB525" i="19"/>
  <c r="AC525" i="19" s="1"/>
  <c r="AB528" i="19"/>
  <c r="AC528" i="19" s="1"/>
  <c r="AB526" i="19"/>
  <c r="AC526" i="19" s="1"/>
  <c r="K495" i="19"/>
  <c r="L473" i="19"/>
  <c r="X436" i="19"/>
  <c r="Y436" i="19" s="1"/>
  <c r="X440" i="19"/>
  <c r="Y440" i="19" s="1"/>
  <c r="X442" i="19"/>
  <c r="Y442" i="19" s="1"/>
  <c r="X437" i="19"/>
  <c r="Y437" i="19" s="1"/>
  <c r="X435" i="19"/>
  <c r="Y435" i="19" s="1"/>
  <c r="X438" i="19"/>
  <c r="Y438" i="19" s="1"/>
  <c r="X441" i="19"/>
  <c r="Y441" i="19" s="1"/>
  <c r="X439" i="19"/>
  <c r="Y439" i="19" s="1"/>
  <c r="J352" i="19"/>
  <c r="J351" i="19" s="1"/>
  <c r="J353" i="19" s="1"/>
  <c r="T441" i="19"/>
  <c r="U441" i="19" s="1"/>
  <c r="T440" i="19"/>
  <c r="U440" i="19" s="1"/>
  <c r="T442" i="19"/>
  <c r="U442" i="19" s="1"/>
  <c r="T437" i="19"/>
  <c r="U437" i="19" s="1"/>
  <c r="T435" i="19"/>
  <c r="U435" i="19" s="1"/>
  <c r="T438" i="19"/>
  <c r="U438" i="19" s="1"/>
  <c r="T436" i="19"/>
  <c r="U436" i="19" s="1"/>
  <c r="T439" i="19"/>
  <c r="U439" i="19" s="1"/>
  <c r="H363" i="19"/>
  <c r="H362" i="19" s="1"/>
  <c r="T486" i="19"/>
  <c r="U486" i="19" s="1"/>
  <c r="T485" i="19"/>
  <c r="U485" i="19" s="1"/>
  <c r="T480" i="19"/>
  <c r="U480" i="19" s="1"/>
  <c r="T484" i="19"/>
  <c r="U484" i="19" s="1"/>
  <c r="T479" i="19"/>
  <c r="U479" i="19" s="1"/>
  <c r="T483" i="19"/>
  <c r="U483" i="19" s="1"/>
  <c r="T482" i="19"/>
  <c r="U482" i="19" s="1"/>
  <c r="T481" i="19"/>
  <c r="U481" i="19" s="1"/>
  <c r="I132" i="19"/>
  <c r="I131" i="19" s="1"/>
  <c r="I133" i="19" s="1"/>
  <c r="H210" i="19"/>
  <c r="L88" i="19"/>
  <c r="K44" i="19"/>
  <c r="K43" i="19" s="1"/>
  <c r="K45" i="19" s="1"/>
  <c r="L135" i="19"/>
  <c r="W1" i="19"/>
  <c r="P694" i="19"/>
  <c r="Q694" i="19" s="1"/>
  <c r="P688" i="19"/>
  <c r="Q688" i="19" s="1"/>
  <c r="P693" i="19"/>
  <c r="Q693" i="19" s="1"/>
  <c r="P692" i="19"/>
  <c r="Q692" i="19" s="1"/>
  <c r="P691" i="19"/>
  <c r="Q691" i="19" s="1"/>
  <c r="P690" i="19"/>
  <c r="Q690" i="19" s="1"/>
  <c r="P695" i="19"/>
  <c r="Q695" i="19" s="1"/>
  <c r="P689" i="19"/>
  <c r="Q689" i="19" s="1"/>
  <c r="AB552" i="19"/>
  <c r="AC552" i="19" s="1"/>
  <c r="AB546" i="19"/>
  <c r="AC546" i="19" s="1"/>
  <c r="AB545" i="19"/>
  <c r="AC545" i="19" s="1"/>
  <c r="AB550" i="19"/>
  <c r="AC550" i="19" s="1"/>
  <c r="AB547" i="19"/>
  <c r="AC547" i="19" s="1"/>
  <c r="AB551" i="19"/>
  <c r="AC551" i="19" s="1"/>
  <c r="AB549" i="19"/>
  <c r="AC549" i="19" s="1"/>
  <c r="AB548" i="19"/>
  <c r="AC548" i="19" s="1"/>
  <c r="P635" i="19"/>
  <c r="Q635" i="19" s="1"/>
  <c r="P637" i="19"/>
  <c r="Q637" i="19" s="1"/>
  <c r="P636" i="19"/>
  <c r="Q636" i="19" s="1"/>
  <c r="P640" i="19"/>
  <c r="Q640" i="19" s="1"/>
  <c r="P638" i="19"/>
  <c r="Q638" i="19" s="1"/>
  <c r="P639" i="19"/>
  <c r="Q639" i="19" s="1"/>
  <c r="P634" i="19"/>
  <c r="Q634" i="19" s="1"/>
  <c r="P633" i="19"/>
  <c r="Q633" i="19" s="1"/>
  <c r="H617" i="19"/>
  <c r="L627" i="19"/>
  <c r="P459" i="19"/>
  <c r="Q459" i="19" s="1"/>
  <c r="P462" i="19"/>
  <c r="Q462" i="19" s="1"/>
  <c r="P460" i="19"/>
  <c r="Q460" i="19" s="1"/>
  <c r="P458" i="19"/>
  <c r="Q458" i="19" s="1"/>
  <c r="P464" i="19"/>
  <c r="Q464" i="19" s="1"/>
  <c r="P463" i="19"/>
  <c r="Q463" i="19" s="1"/>
  <c r="P461" i="19"/>
  <c r="Q461" i="19" s="1"/>
  <c r="P457" i="19"/>
  <c r="Q457" i="19" s="1"/>
  <c r="H474" i="19"/>
  <c r="J231" i="19"/>
  <c r="J230" i="19" s="1"/>
  <c r="J232" i="19" s="1"/>
  <c r="I175" i="19"/>
  <c r="I174" i="19"/>
  <c r="I11" i="19"/>
  <c r="I10" i="19" s="1"/>
  <c r="I12" i="19" s="1"/>
  <c r="I141" i="19"/>
  <c r="I142" i="19"/>
  <c r="I144" i="19" s="1"/>
  <c r="K88" i="19"/>
  <c r="J33" i="19"/>
  <c r="J32" i="19" s="1"/>
  <c r="J34" i="19" s="1"/>
  <c r="P657" i="19"/>
  <c r="Q657" i="19" s="1"/>
  <c r="P662" i="19"/>
  <c r="Q662" i="19" s="1"/>
  <c r="P659" i="19"/>
  <c r="Q659" i="19" s="1"/>
  <c r="P658" i="19"/>
  <c r="Q658" i="19" s="1"/>
  <c r="P656" i="19"/>
  <c r="Q656" i="19" s="1"/>
  <c r="P655" i="19"/>
  <c r="Q655" i="19" s="1"/>
  <c r="P661" i="19"/>
  <c r="Q661" i="19" s="1"/>
  <c r="P660" i="19"/>
  <c r="Q660" i="19" s="1"/>
  <c r="I616" i="19"/>
  <c r="J660" i="19"/>
  <c r="H650" i="19"/>
  <c r="H529" i="19"/>
  <c r="AF459" i="19"/>
  <c r="AG459" i="19" s="1"/>
  <c r="AF462" i="19"/>
  <c r="AG462" i="19" s="1"/>
  <c r="AF460" i="19"/>
  <c r="AG460" i="19" s="1"/>
  <c r="AF458" i="19"/>
  <c r="AG458" i="19" s="1"/>
  <c r="AF457" i="19"/>
  <c r="AG457" i="19" s="1"/>
  <c r="AF464" i="19"/>
  <c r="AG464" i="19" s="1"/>
  <c r="AF463" i="19"/>
  <c r="AG463" i="19" s="1"/>
  <c r="AF461" i="19"/>
  <c r="AG461" i="19" s="1"/>
  <c r="H441" i="19"/>
  <c r="K429" i="19"/>
  <c r="K286" i="19"/>
  <c r="K285" i="19" s="1"/>
  <c r="K287" i="19" s="1"/>
  <c r="H319" i="19"/>
  <c r="H318" i="19" s="1"/>
  <c r="J175" i="19"/>
  <c r="J177" i="19" s="1"/>
  <c r="J174" i="19"/>
  <c r="K152" i="19"/>
  <c r="K153" i="19"/>
  <c r="K155" i="19" s="1"/>
  <c r="H33" i="19"/>
  <c r="H32" i="19" s="1"/>
  <c r="L153" i="19"/>
  <c r="L155" i="19" s="1"/>
  <c r="L152" i="19"/>
  <c r="K164" i="19"/>
  <c r="K166" i="19" s="1"/>
  <c r="K163" i="19"/>
  <c r="J22" i="19"/>
  <c r="J21" i="19" s="1"/>
  <c r="J23" i="19" s="1"/>
  <c r="M117" i="19"/>
  <c r="H142" i="19"/>
  <c r="H141" i="19"/>
  <c r="T668" i="19"/>
  <c r="U668" i="19" s="1"/>
  <c r="T672" i="19"/>
  <c r="U672" i="19" s="1"/>
  <c r="T670" i="19"/>
  <c r="U670" i="19" s="1"/>
  <c r="T666" i="19"/>
  <c r="U666" i="19" s="1"/>
  <c r="T671" i="19"/>
  <c r="U671" i="19" s="1"/>
  <c r="T669" i="19"/>
  <c r="U669" i="19" s="1"/>
  <c r="T673" i="19"/>
  <c r="U673" i="19" s="1"/>
  <c r="T667" i="19"/>
  <c r="U667" i="19" s="1"/>
  <c r="K638" i="19"/>
  <c r="T629" i="19"/>
  <c r="U629" i="19" s="1"/>
  <c r="T626" i="19"/>
  <c r="U626" i="19" s="1"/>
  <c r="T624" i="19"/>
  <c r="U624" i="19" s="1"/>
  <c r="T628" i="19"/>
  <c r="U628" i="19" s="1"/>
  <c r="T625" i="19"/>
  <c r="U625" i="19" s="1"/>
  <c r="T623" i="19"/>
  <c r="U623" i="19" s="1"/>
  <c r="T622" i="19"/>
  <c r="U622" i="19" s="1"/>
  <c r="T627" i="19"/>
  <c r="U627" i="19" s="1"/>
  <c r="T551" i="19"/>
  <c r="U551" i="19" s="1"/>
  <c r="T550" i="19"/>
  <c r="U550" i="19" s="1"/>
  <c r="T549" i="19"/>
  <c r="U549" i="19" s="1"/>
  <c r="T548" i="19"/>
  <c r="U548" i="19" s="1"/>
  <c r="T552" i="19"/>
  <c r="U552" i="19" s="1"/>
  <c r="T547" i="19"/>
  <c r="U547" i="19" s="1"/>
  <c r="T546" i="19"/>
  <c r="U546" i="19" s="1"/>
  <c r="T545" i="19"/>
  <c r="U545" i="19" s="1"/>
  <c r="L594" i="19"/>
  <c r="L583" i="19"/>
  <c r="L550" i="19"/>
  <c r="AF671" i="19"/>
  <c r="AG671" i="19" s="1"/>
  <c r="AF669" i="19"/>
  <c r="AG669" i="19" s="1"/>
  <c r="AF667" i="19"/>
  <c r="AG667" i="19" s="1"/>
  <c r="AF668" i="19"/>
  <c r="AG668" i="19" s="1"/>
  <c r="AF672" i="19"/>
  <c r="AG672" i="19" s="1"/>
  <c r="AF670" i="19"/>
  <c r="AG670" i="19" s="1"/>
  <c r="AF666" i="19"/>
  <c r="AG666" i="19" s="1"/>
  <c r="AF673" i="19"/>
  <c r="AG673" i="19" s="1"/>
  <c r="P483" i="19"/>
  <c r="Q483" i="19" s="1"/>
  <c r="P485" i="19"/>
  <c r="Q485" i="19" s="1"/>
  <c r="P481" i="19"/>
  <c r="Q481" i="19" s="1"/>
  <c r="P486" i="19"/>
  <c r="Q486" i="19" s="1"/>
  <c r="P484" i="19"/>
  <c r="Q484" i="19" s="1"/>
  <c r="P482" i="19"/>
  <c r="Q482" i="19" s="1"/>
  <c r="P479" i="19"/>
  <c r="Q479" i="19" s="1"/>
  <c r="P480" i="19"/>
  <c r="Q480" i="19" s="1"/>
  <c r="K462" i="19"/>
  <c r="M348" i="19"/>
  <c r="K352" i="19"/>
  <c r="K351" i="19" s="1"/>
  <c r="K353" i="19" s="1"/>
  <c r="I33" i="19"/>
  <c r="I32" i="19" s="1"/>
  <c r="I34" i="19" s="1"/>
  <c r="X692" i="19"/>
  <c r="Y692" i="19" s="1"/>
  <c r="X695" i="19"/>
  <c r="Y695" i="19" s="1"/>
  <c r="X689" i="19"/>
  <c r="Y689" i="19" s="1"/>
  <c r="X694" i="19"/>
  <c r="Y694" i="19" s="1"/>
  <c r="X688" i="19"/>
  <c r="Y688" i="19" s="1"/>
  <c r="X693" i="19"/>
  <c r="Y693" i="19" s="1"/>
  <c r="X691" i="19"/>
  <c r="Y691" i="19" s="1"/>
  <c r="X690" i="19"/>
  <c r="Y690" i="19" s="1"/>
  <c r="AB684" i="19"/>
  <c r="AC684" i="19" s="1"/>
  <c r="AB681" i="19"/>
  <c r="AC681" i="19" s="1"/>
  <c r="AB680" i="19"/>
  <c r="AC680" i="19" s="1"/>
  <c r="AB678" i="19"/>
  <c r="AC678" i="19" s="1"/>
  <c r="AB677" i="19"/>
  <c r="AC677" i="19" s="1"/>
  <c r="AB683" i="19"/>
  <c r="AC683" i="19" s="1"/>
  <c r="AB682" i="19"/>
  <c r="AC682" i="19" s="1"/>
  <c r="AB679" i="19"/>
  <c r="AC679" i="19" s="1"/>
  <c r="AB617" i="19"/>
  <c r="AC617" i="19" s="1"/>
  <c r="AB612" i="19"/>
  <c r="AC612" i="19" s="1"/>
  <c r="AB614" i="19"/>
  <c r="AC614" i="19" s="1"/>
  <c r="AB616" i="19"/>
  <c r="AC616" i="19" s="1"/>
  <c r="AB618" i="19"/>
  <c r="AC618" i="19" s="1"/>
  <c r="AB615" i="19"/>
  <c r="AC615" i="19" s="1"/>
  <c r="AB613" i="19"/>
  <c r="AC613" i="19" s="1"/>
  <c r="AB611" i="19"/>
  <c r="AC611" i="19" s="1"/>
  <c r="AF683" i="19"/>
  <c r="AG683" i="19" s="1"/>
  <c r="AF682" i="19"/>
  <c r="AG682" i="19" s="1"/>
  <c r="AF679" i="19"/>
  <c r="AG679" i="19" s="1"/>
  <c r="AF684" i="19"/>
  <c r="AG684" i="19" s="1"/>
  <c r="AF681" i="19"/>
  <c r="AG681" i="19" s="1"/>
  <c r="AF680" i="19"/>
  <c r="AG680" i="19" s="1"/>
  <c r="AF678" i="19"/>
  <c r="AG678" i="19" s="1"/>
  <c r="AF677" i="19"/>
  <c r="AG677" i="19" s="1"/>
  <c r="P627" i="19"/>
  <c r="Q627" i="19" s="1"/>
  <c r="P624" i="19"/>
  <c r="Q624" i="19" s="1"/>
  <c r="P626" i="19"/>
  <c r="Q626" i="19" s="1"/>
  <c r="P625" i="19"/>
  <c r="Q625" i="19" s="1"/>
  <c r="P623" i="19"/>
  <c r="Q623" i="19" s="1"/>
  <c r="P622" i="19"/>
  <c r="Q622" i="19" s="1"/>
  <c r="P628" i="19"/>
  <c r="Q628" i="19" s="1"/>
  <c r="P629" i="19"/>
  <c r="Q629" i="19" s="1"/>
  <c r="T639" i="19"/>
  <c r="U639" i="19" s="1"/>
  <c r="T637" i="19"/>
  <c r="U637" i="19" s="1"/>
  <c r="T633" i="19"/>
  <c r="U633" i="19" s="1"/>
  <c r="T636" i="19"/>
  <c r="U636" i="19" s="1"/>
  <c r="T635" i="19"/>
  <c r="U635" i="19" s="1"/>
  <c r="T638" i="19"/>
  <c r="U638" i="19" s="1"/>
  <c r="T640" i="19"/>
  <c r="U640" i="19" s="1"/>
  <c r="T634" i="19"/>
  <c r="U634" i="19" s="1"/>
  <c r="J561" i="19"/>
  <c r="P583" i="19"/>
  <c r="Q583" i="19" s="1"/>
  <c r="P581" i="19"/>
  <c r="Q581" i="19" s="1"/>
  <c r="P579" i="19"/>
  <c r="Q579" i="19" s="1"/>
  <c r="P580" i="19"/>
  <c r="Q580" i="19" s="1"/>
  <c r="P582" i="19"/>
  <c r="Q582" i="19" s="1"/>
  <c r="P585" i="19"/>
  <c r="Q585" i="19" s="1"/>
  <c r="P584" i="19"/>
  <c r="Q584" i="19" s="1"/>
  <c r="P578" i="19"/>
  <c r="Q578" i="19" s="1"/>
  <c r="L528" i="19"/>
  <c r="AB595" i="19"/>
  <c r="AC595" i="19" s="1"/>
  <c r="AB594" i="19"/>
  <c r="AC594" i="19" s="1"/>
  <c r="AB592" i="19"/>
  <c r="AC592" i="19" s="1"/>
  <c r="AB589" i="19"/>
  <c r="AC589" i="19" s="1"/>
  <c r="AB596" i="19"/>
  <c r="AC596" i="19" s="1"/>
  <c r="AB591" i="19"/>
  <c r="AC591" i="19" s="1"/>
  <c r="AB593" i="19"/>
  <c r="AC593" i="19" s="1"/>
  <c r="AB590" i="19"/>
  <c r="AC590" i="19" s="1"/>
  <c r="T515" i="19"/>
  <c r="U515" i="19" s="1"/>
  <c r="T514" i="19"/>
  <c r="U514" i="19" s="1"/>
  <c r="T519" i="19"/>
  <c r="U519" i="19" s="1"/>
  <c r="T516" i="19"/>
  <c r="U516" i="19" s="1"/>
  <c r="T513" i="19"/>
  <c r="U513" i="19" s="1"/>
  <c r="T518" i="19"/>
  <c r="U518" i="19" s="1"/>
  <c r="T517" i="19"/>
  <c r="U517" i="19" s="1"/>
  <c r="T512" i="19"/>
  <c r="U512" i="19" s="1"/>
  <c r="I374" i="19"/>
  <c r="I373" i="19" s="1"/>
  <c r="I375" i="19" s="1"/>
  <c r="I386" i="19"/>
  <c r="K264" i="19"/>
  <c r="K263" i="19" s="1"/>
  <c r="K265" i="19" s="1"/>
  <c r="H353" i="19"/>
  <c r="H265" i="19"/>
  <c r="H220" i="19"/>
  <c r="H219" i="19" s="1"/>
  <c r="X464" i="19"/>
  <c r="Y464" i="19" s="1"/>
  <c r="X463" i="19"/>
  <c r="Y463" i="19" s="1"/>
  <c r="X461" i="19"/>
  <c r="Y461" i="19" s="1"/>
  <c r="X457" i="19"/>
  <c r="Y457" i="19" s="1"/>
  <c r="X462" i="19"/>
  <c r="Y462" i="19" s="1"/>
  <c r="X459" i="19"/>
  <c r="Y459" i="19" s="1"/>
  <c r="X458" i="19"/>
  <c r="Y458" i="19" s="1"/>
  <c r="X460" i="19"/>
  <c r="Y460" i="19" s="1"/>
  <c r="K174" i="19"/>
  <c r="K175" i="19"/>
  <c r="K177" i="19" s="1"/>
  <c r="I77" i="19"/>
  <c r="I78" i="19" s="1"/>
  <c r="H152" i="19"/>
  <c r="H153" i="19"/>
  <c r="G462" i="19" l="1"/>
  <c r="J396" i="19"/>
  <c r="J395" i="19" s="1"/>
  <c r="J397" i="19" s="1"/>
  <c r="J582" i="19"/>
  <c r="J584" i="19" s="1"/>
  <c r="J648" i="19"/>
  <c r="J650" i="19" s="1"/>
  <c r="H428" i="19"/>
  <c r="H430" i="19" s="1"/>
  <c r="L527" i="19"/>
  <c r="L529" i="19" s="1"/>
  <c r="I615" i="19"/>
  <c r="I617" i="19" s="1"/>
  <c r="L472" i="19"/>
  <c r="L474" i="19" s="1"/>
  <c r="J494" i="19"/>
  <c r="J496" i="19" s="1"/>
  <c r="J483" i="19"/>
  <c r="J485" i="19" s="1"/>
  <c r="K494" i="19"/>
  <c r="K496" i="19" s="1"/>
  <c r="L626" i="19"/>
  <c r="L628" i="19" s="1"/>
  <c r="I659" i="19"/>
  <c r="I661" i="19" s="1"/>
  <c r="J604" i="19"/>
  <c r="J606" i="19" s="1"/>
  <c r="K428" i="19"/>
  <c r="K430" i="19" s="1"/>
  <c r="M579" i="19"/>
  <c r="K461" i="19"/>
  <c r="K463" i="19" s="1"/>
  <c r="J659" i="19"/>
  <c r="J661" i="19" s="1"/>
  <c r="L582" i="19"/>
  <c r="L584" i="19" s="1"/>
  <c r="J670" i="19"/>
  <c r="J672" i="19" s="1"/>
  <c r="K439" i="19"/>
  <c r="K441" i="19" s="1"/>
  <c r="L450" i="19"/>
  <c r="L452" i="19" s="1"/>
  <c r="J560" i="19"/>
  <c r="J562" i="19" s="1"/>
  <c r="K637" i="19"/>
  <c r="K639" i="19" s="1"/>
  <c r="L549" i="19"/>
  <c r="L551" i="19" s="1"/>
  <c r="L593" i="19"/>
  <c r="L595" i="19" s="1"/>
  <c r="H418" i="19"/>
  <c r="H417" i="19" s="1"/>
  <c r="M458" i="19"/>
  <c r="M678" i="19"/>
  <c r="M546" i="19"/>
  <c r="J163" i="19"/>
  <c r="M469" i="19"/>
  <c r="M568" i="19"/>
  <c r="M645" i="19"/>
  <c r="AA1" i="19"/>
  <c r="M447" i="19"/>
  <c r="K649" i="19"/>
  <c r="M634" i="19"/>
  <c r="M491" i="19"/>
  <c r="L689" i="19"/>
  <c r="L87" i="19"/>
  <c r="L89" i="19" s="1"/>
  <c r="K87" i="19"/>
  <c r="K89" i="19" s="1"/>
  <c r="H605" i="19"/>
  <c r="M667" i="19"/>
  <c r="M535" i="19"/>
  <c r="I407" i="19"/>
  <c r="I406" i="19" s="1"/>
  <c r="I408" i="19" s="1"/>
  <c r="J528" i="19"/>
  <c r="L418" i="19"/>
  <c r="K77" i="19"/>
  <c r="K76" i="19" s="1"/>
  <c r="K78" i="19" s="1"/>
  <c r="M480" i="19"/>
  <c r="X1" i="19"/>
  <c r="H517" i="19"/>
  <c r="H516" i="19" s="1"/>
  <c r="H518" i="19" s="1"/>
  <c r="M513" i="19"/>
  <c r="M557" i="19"/>
  <c r="M656" i="19"/>
  <c r="M612" i="19"/>
  <c r="H506" i="19"/>
  <c r="H505" i="19" s="1"/>
  <c r="H682" i="19"/>
  <c r="I429" i="19"/>
  <c r="K561" i="19"/>
  <c r="M502" i="19"/>
  <c r="D485" i="19"/>
  <c r="D484" i="19"/>
  <c r="D495" i="19"/>
  <c r="D496" i="19"/>
  <c r="F638" i="19"/>
  <c r="F639" i="19"/>
  <c r="E484" i="19"/>
  <c r="E485" i="19"/>
  <c r="E517" i="19"/>
  <c r="E518" i="19"/>
  <c r="E572" i="19"/>
  <c r="E573" i="19"/>
  <c r="D528" i="19"/>
  <c r="D529" i="19"/>
  <c r="G573" i="19"/>
  <c r="G572" i="19"/>
  <c r="E462" i="19"/>
  <c r="E463" i="19"/>
  <c r="G507" i="19"/>
  <c r="G506" i="19"/>
  <c r="D660" i="19"/>
  <c r="D661" i="19"/>
  <c r="F561" i="19"/>
  <c r="F562" i="19"/>
  <c r="F693" i="19"/>
  <c r="F694" i="19"/>
  <c r="G440" i="19"/>
  <c r="G441" i="19"/>
  <c r="F430" i="19"/>
  <c r="F429" i="19"/>
  <c r="G551" i="19"/>
  <c r="G550" i="19"/>
  <c r="M601" i="19"/>
  <c r="F507" i="19"/>
  <c r="F506" i="19"/>
  <c r="G638" i="19"/>
  <c r="G639" i="19"/>
  <c r="E650" i="19"/>
  <c r="E649" i="19"/>
  <c r="D606" i="19"/>
  <c r="D605" i="19"/>
  <c r="F583" i="19"/>
  <c r="F584" i="19"/>
  <c r="G495" i="19"/>
  <c r="G496" i="19"/>
  <c r="G595" i="19"/>
  <c r="G594" i="19"/>
  <c r="D539" i="19"/>
  <c r="D540" i="19"/>
  <c r="D583" i="19"/>
  <c r="D584" i="19"/>
  <c r="E528" i="19"/>
  <c r="E529" i="19"/>
  <c r="G683" i="19"/>
  <c r="G682" i="19"/>
  <c r="E441" i="19"/>
  <c r="E440" i="19"/>
  <c r="F518" i="19"/>
  <c r="F517" i="19"/>
  <c r="E594" i="19"/>
  <c r="E595" i="19"/>
  <c r="G628" i="19"/>
  <c r="G627" i="19"/>
  <c r="F451" i="19"/>
  <c r="F452" i="19"/>
  <c r="D462" i="19"/>
  <c r="D463" i="19"/>
  <c r="M524" i="19"/>
  <c r="M436" i="19"/>
  <c r="M623" i="19"/>
  <c r="M425" i="19"/>
  <c r="M590" i="19"/>
  <c r="E506" i="19"/>
  <c r="E507" i="19"/>
  <c r="D595" i="19"/>
  <c r="D594" i="19"/>
  <c r="F671" i="19"/>
  <c r="F672" i="19"/>
  <c r="D694" i="19"/>
  <c r="D693" i="19"/>
  <c r="G606" i="19"/>
  <c r="G605" i="19"/>
  <c r="F495" i="19"/>
  <c r="F496" i="19"/>
  <c r="E606" i="19"/>
  <c r="E605" i="19"/>
  <c r="F441" i="19"/>
  <c r="F440" i="19"/>
  <c r="F485" i="19"/>
  <c r="F484" i="19"/>
  <c r="D650" i="19"/>
  <c r="D649" i="19"/>
  <c r="G671" i="19"/>
  <c r="G672" i="19"/>
  <c r="E540" i="19"/>
  <c r="E539" i="19"/>
  <c r="E672" i="19"/>
  <c r="E671" i="19"/>
  <c r="G430" i="19"/>
  <c r="G429" i="19"/>
  <c r="D517" i="19"/>
  <c r="D518" i="19"/>
  <c r="F539" i="19"/>
  <c r="F540" i="19"/>
  <c r="E473" i="19"/>
  <c r="E474" i="19"/>
  <c r="G617" i="19"/>
  <c r="G616" i="19"/>
  <c r="F594" i="19"/>
  <c r="F595" i="19"/>
  <c r="F572" i="19"/>
  <c r="F573" i="19"/>
  <c r="G517" i="19"/>
  <c r="G518" i="19"/>
  <c r="E583" i="19"/>
  <c r="E584" i="19"/>
  <c r="G452" i="19"/>
  <c r="G451" i="19"/>
  <c r="E682" i="19"/>
  <c r="E683" i="19"/>
  <c r="E639" i="19"/>
  <c r="E638" i="19"/>
  <c r="F616" i="19"/>
  <c r="F617" i="19"/>
  <c r="E694" i="19"/>
  <c r="E693" i="19"/>
  <c r="D474" i="19"/>
  <c r="D473" i="19"/>
  <c r="E561" i="19"/>
  <c r="E562" i="19"/>
  <c r="G539" i="19"/>
  <c r="G540" i="19"/>
  <c r="D682" i="19"/>
  <c r="D683" i="19"/>
  <c r="G661" i="19"/>
  <c r="G660" i="19"/>
  <c r="F528" i="19"/>
  <c r="F529" i="19"/>
  <c r="D440" i="19"/>
  <c r="D441" i="19"/>
  <c r="E551" i="19"/>
  <c r="E550" i="19"/>
  <c r="F682" i="19"/>
  <c r="F683" i="19"/>
  <c r="D506" i="19"/>
  <c r="D507" i="19"/>
  <c r="D638" i="19"/>
  <c r="D639" i="19"/>
  <c r="F462" i="19"/>
  <c r="F463" i="19"/>
  <c r="E628" i="19"/>
  <c r="E627" i="19"/>
  <c r="G649" i="19"/>
  <c r="G650" i="19"/>
  <c r="G561" i="19"/>
  <c r="G562" i="19"/>
  <c r="D551" i="19"/>
  <c r="D550" i="19"/>
  <c r="G694" i="19"/>
  <c r="G693" i="19"/>
  <c r="G529" i="19"/>
  <c r="G528" i="19"/>
  <c r="D572" i="19"/>
  <c r="D573" i="19"/>
  <c r="G473" i="19"/>
  <c r="G474" i="19"/>
  <c r="F551" i="19"/>
  <c r="F550" i="19"/>
  <c r="F628" i="19"/>
  <c r="F627" i="19"/>
  <c r="E496" i="19"/>
  <c r="E495" i="19"/>
  <c r="E430" i="19"/>
  <c r="E429" i="19"/>
  <c r="G485" i="19"/>
  <c r="G484" i="19"/>
  <c r="D430" i="19"/>
  <c r="D429" i="19"/>
  <c r="D616" i="19"/>
  <c r="D617" i="19"/>
  <c r="E451" i="19"/>
  <c r="E452" i="19"/>
  <c r="D452" i="19"/>
  <c r="D451" i="19"/>
  <c r="F660" i="19"/>
  <c r="F661" i="19"/>
  <c r="D562" i="19"/>
  <c r="D561" i="19"/>
  <c r="J616" i="19"/>
  <c r="H594" i="19"/>
  <c r="H593" i="19" s="1"/>
  <c r="I572" i="19"/>
  <c r="H572" i="19"/>
  <c r="K506" i="19"/>
  <c r="K605" i="19"/>
  <c r="L561" i="19"/>
  <c r="J473" i="19"/>
  <c r="L506" i="19"/>
  <c r="H55" i="19"/>
  <c r="H54" i="19" s="1"/>
  <c r="H56" i="19" s="1"/>
  <c r="I583" i="19"/>
  <c r="I275" i="19"/>
  <c r="I274" i="19" s="1"/>
  <c r="I276" i="19" s="1"/>
  <c r="L374" i="19"/>
  <c r="L373" i="19" s="1"/>
  <c r="L375" i="19" s="1"/>
  <c r="I110" i="19"/>
  <c r="I109" i="19" s="1"/>
  <c r="I111" i="19" s="1"/>
  <c r="L66" i="19"/>
  <c r="L65" i="19" s="1"/>
  <c r="L67" i="19" s="1"/>
  <c r="K209" i="19"/>
  <c r="K208" i="19" s="1"/>
  <c r="K210" i="19" s="1"/>
  <c r="H242" i="19"/>
  <c r="H241" i="19" s="1"/>
  <c r="H243" i="19" s="1"/>
  <c r="L352" i="19"/>
  <c r="L351" i="19" s="1"/>
  <c r="L353" i="19" s="1"/>
  <c r="J308" i="19"/>
  <c r="J307" i="19" s="1"/>
  <c r="J309" i="19" s="1"/>
  <c r="K583" i="19"/>
  <c r="L110" i="19"/>
  <c r="L109" i="19" s="1"/>
  <c r="L111" i="19" s="1"/>
  <c r="H110" i="19"/>
  <c r="H109" i="19" s="1"/>
  <c r="J572" i="19"/>
  <c r="H66" i="19"/>
  <c r="H65" i="19" s="1"/>
  <c r="H67" i="19" s="1"/>
  <c r="H77" i="19"/>
  <c r="H78" i="19" s="1"/>
  <c r="J44" i="19"/>
  <c r="J43" i="19" s="1"/>
  <c r="J45" i="19" s="1"/>
  <c r="K198" i="19"/>
  <c r="K197" i="19" s="1"/>
  <c r="K199" i="19" s="1"/>
  <c r="L121" i="19"/>
  <c r="L120" i="19" s="1"/>
  <c r="L122" i="19" s="1"/>
  <c r="I462" i="19"/>
  <c r="L44" i="19"/>
  <c r="L43" i="19" s="1"/>
  <c r="L45" i="19" s="1"/>
  <c r="J253" i="19"/>
  <c r="J252" i="19" s="1"/>
  <c r="J254" i="19" s="1"/>
  <c r="K55" i="19"/>
  <c r="K54" i="19" s="1"/>
  <c r="K56" i="19" s="1"/>
  <c r="K99" i="19"/>
  <c r="H396" i="19"/>
  <c r="H395" i="19" s="1"/>
  <c r="H397" i="19" s="1"/>
  <c r="H11" i="19"/>
  <c r="H10" i="19" s="1"/>
  <c r="H12" i="19" s="1"/>
  <c r="H550" i="19"/>
  <c r="L55" i="19"/>
  <c r="L54" i="19" s="1"/>
  <c r="L56" i="19" s="1"/>
  <c r="H132" i="19"/>
  <c r="H131" i="19" s="1"/>
  <c r="H133" i="19" s="1"/>
  <c r="H451" i="19"/>
  <c r="K418" i="19"/>
  <c r="I253" i="19"/>
  <c r="I252" i="19" s="1"/>
  <c r="I254" i="19" s="1"/>
  <c r="H286" i="19"/>
  <c r="H285" i="19" s="1"/>
  <c r="H287" i="19" s="1"/>
  <c r="J407" i="19"/>
  <c r="J406" i="19" s="1"/>
  <c r="J408" i="19" s="1"/>
  <c r="J209" i="19"/>
  <c r="J208" i="19" s="1"/>
  <c r="J210" i="19" s="1"/>
  <c r="H253" i="19"/>
  <c r="H252" i="19" s="1"/>
  <c r="H254" i="19" s="1"/>
  <c r="L319" i="19"/>
  <c r="L318" i="19" s="1"/>
  <c r="L320" i="19" s="1"/>
  <c r="J319" i="19"/>
  <c r="J318" i="19" s="1"/>
  <c r="J320" i="19" s="1"/>
  <c r="I308" i="19"/>
  <c r="I307" i="19" s="1"/>
  <c r="I309" i="19" s="1"/>
  <c r="J638" i="19"/>
  <c r="H22" i="19"/>
  <c r="H21" i="19" s="1"/>
  <c r="H23" i="19" s="1"/>
  <c r="I396" i="19"/>
  <c r="I395" i="19" s="1"/>
  <c r="I397" i="19" s="1"/>
  <c r="L440" i="19"/>
  <c r="K594" i="19"/>
  <c r="H627" i="19"/>
  <c r="L33" i="19"/>
  <c r="L32" i="19" s="1"/>
  <c r="L34" i="19" s="1"/>
  <c r="J517" i="19"/>
  <c r="I605" i="19"/>
  <c r="J440" i="19"/>
  <c r="I451" i="19"/>
  <c r="H341" i="19"/>
  <c r="H340" i="19" s="1"/>
  <c r="H342" i="19" s="1"/>
  <c r="I286" i="19"/>
  <c r="I285" i="19" s="1"/>
  <c r="I287" i="19" s="1"/>
  <c r="I99" i="19"/>
  <c r="L385" i="19"/>
  <c r="L384" i="19" s="1"/>
  <c r="L386" i="19" s="1"/>
  <c r="I22" i="19"/>
  <c r="I21" i="19" s="1"/>
  <c r="I23" i="19" s="1"/>
  <c r="L671" i="19"/>
  <c r="H34" i="19"/>
  <c r="H308" i="19"/>
  <c r="H307" i="19" s="1"/>
  <c r="I363" i="19"/>
  <c r="I362" i="19" s="1"/>
  <c r="I364" i="19" s="1"/>
  <c r="L462" i="19"/>
  <c r="K374" i="19"/>
  <c r="K373" i="19" s="1"/>
  <c r="K375" i="19" s="1"/>
  <c r="H198" i="19"/>
  <c r="H197" i="19" s="1"/>
  <c r="J11" i="19"/>
  <c r="J10" i="19" s="1"/>
  <c r="J12" i="19" s="1"/>
  <c r="J99" i="19"/>
  <c r="J429" i="19"/>
  <c r="H539" i="19"/>
  <c r="H538" i="19" s="1"/>
  <c r="K110" i="19"/>
  <c r="K109" i="19" s="1"/>
  <c r="K111" i="19" s="1"/>
  <c r="H155" i="19"/>
  <c r="M155" i="19" s="1"/>
  <c r="M154" i="19" s="1"/>
  <c r="M153" i="19" s="1"/>
  <c r="AO7" i="19"/>
  <c r="AP7" i="19" s="1"/>
  <c r="L286" i="19"/>
  <c r="L285" i="19" s="1"/>
  <c r="L287" i="19" s="1"/>
  <c r="K682" i="19"/>
  <c r="K681" i="19" s="1"/>
  <c r="J693" i="19"/>
  <c r="I55" i="19"/>
  <c r="I54" i="19" s="1"/>
  <c r="J341" i="19"/>
  <c r="J340" i="19" s="1"/>
  <c r="H144" i="19"/>
  <c r="K407" i="19"/>
  <c r="K406" i="19" s="1"/>
  <c r="K408" i="19" s="1"/>
  <c r="I319" i="19"/>
  <c r="I318" i="19" s="1"/>
  <c r="I320" i="19" s="1"/>
  <c r="K121" i="19"/>
  <c r="K120" i="19" s="1"/>
  <c r="L407" i="19"/>
  <c r="L406" i="19" s="1"/>
  <c r="L408" i="19" s="1"/>
  <c r="K550" i="19"/>
  <c r="K11" i="19"/>
  <c r="K10" i="19" s="1"/>
  <c r="K12" i="19" s="1"/>
  <c r="L495" i="19"/>
  <c r="K693" i="19"/>
  <c r="I164" i="19"/>
  <c r="I166" i="19" s="1"/>
  <c r="I163" i="19"/>
  <c r="J264" i="19"/>
  <c r="J263" i="19" s="1"/>
  <c r="I187" i="19"/>
  <c r="I186" i="19" s="1"/>
  <c r="I188" i="19" s="1"/>
  <c r="I231" i="19"/>
  <c r="I230" i="19" s="1"/>
  <c r="I232" i="19" s="1"/>
  <c r="I539" i="19"/>
  <c r="L198" i="19"/>
  <c r="L197" i="19" s="1"/>
  <c r="L199" i="19" s="1"/>
  <c r="H221" i="19"/>
  <c r="I517" i="19"/>
  <c r="I638" i="19"/>
  <c r="I671" i="19"/>
  <c r="I670" i="19" s="1"/>
  <c r="J121" i="19"/>
  <c r="J120" i="19" s="1"/>
  <c r="I177" i="19"/>
  <c r="M177" i="19" s="1"/>
  <c r="M176" i="19" s="1"/>
  <c r="M175" i="19" s="1"/>
  <c r="AO9" i="19"/>
  <c r="AP9" i="19" s="1"/>
  <c r="J66" i="19"/>
  <c r="J65" i="19" s="1"/>
  <c r="J67" i="19" s="1"/>
  <c r="H364" i="19"/>
  <c r="H595" i="19"/>
  <c r="I693" i="19"/>
  <c r="I88" i="19"/>
  <c r="H45" i="19"/>
  <c r="L616" i="19"/>
  <c r="L649" i="19"/>
  <c r="L648" i="19" s="1"/>
  <c r="J550" i="19"/>
  <c r="J220" i="19"/>
  <c r="J219" i="19" s="1"/>
  <c r="J221" i="19" s="1"/>
  <c r="K242" i="19"/>
  <c r="K241" i="19" s="1"/>
  <c r="K243" i="19" s="1"/>
  <c r="K319" i="19"/>
  <c r="K318" i="19" s="1"/>
  <c r="K320" i="19" s="1"/>
  <c r="L330" i="19"/>
  <c r="L329" i="19" s="1"/>
  <c r="L331" i="19" s="1"/>
  <c r="H583" i="19"/>
  <c r="H582" i="19" s="1"/>
  <c r="K33" i="19"/>
  <c r="K32" i="19" s="1"/>
  <c r="K34" i="19" s="1"/>
  <c r="L297" i="19"/>
  <c r="L296" i="19" s="1"/>
  <c r="L298" i="19" s="1"/>
  <c r="I550" i="19"/>
  <c r="L11" i="19"/>
  <c r="L10" i="19" s="1"/>
  <c r="L12" i="19" s="1"/>
  <c r="L187" i="19"/>
  <c r="L186" i="19" s="1"/>
  <c r="L188" i="19" s="1"/>
  <c r="H275" i="19"/>
  <c r="H274" i="19" s="1"/>
  <c r="L363" i="19"/>
  <c r="L362" i="19" s="1"/>
  <c r="L364" i="19" s="1"/>
  <c r="J385" i="19"/>
  <c r="J384" i="19" s="1"/>
  <c r="H462" i="19"/>
  <c r="H461" i="19" s="1"/>
  <c r="H638" i="19"/>
  <c r="H637" i="19" s="1"/>
  <c r="H693" i="19"/>
  <c r="H692" i="19" s="1"/>
  <c r="L22" i="19"/>
  <c r="L21" i="19" s="1"/>
  <c r="L23" i="19" s="1"/>
  <c r="H111" i="19"/>
  <c r="I484" i="19"/>
  <c r="K528" i="19"/>
  <c r="J132" i="19"/>
  <c r="J131" i="19" s="1"/>
  <c r="J133" i="19" s="1"/>
  <c r="J55" i="19"/>
  <c r="J54" i="19" s="1"/>
  <c r="J56" i="19" s="1"/>
  <c r="I198" i="19"/>
  <c r="I197" i="19" s="1"/>
  <c r="I199" i="19" s="1"/>
  <c r="L539" i="19"/>
  <c r="I44" i="19"/>
  <c r="I43" i="19" s="1"/>
  <c r="I45" i="19" s="1"/>
  <c r="L242" i="19"/>
  <c r="L241" i="19" s="1"/>
  <c r="L243" i="19" s="1"/>
  <c r="L209" i="19"/>
  <c r="L208" i="19" s="1"/>
  <c r="L210" i="19" s="1"/>
  <c r="J198" i="19"/>
  <c r="J197" i="19" s="1"/>
  <c r="J199" i="19" s="1"/>
  <c r="I352" i="19"/>
  <c r="I351" i="19" s="1"/>
  <c r="H99" i="19"/>
  <c r="H407" i="19"/>
  <c r="H406" i="19" s="1"/>
  <c r="H419" i="19"/>
  <c r="K297" i="19"/>
  <c r="K296" i="19" s="1"/>
  <c r="H330" i="19"/>
  <c r="H329" i="19" s="1"/>
  <c r="I528" i="19"/>
  <c r="I527" i="19" s="1"/>
  <c r="L231" i="19"/>
  <c r="L230" i="19" s="1"/>
  <c r="L232" i="19" s="1"/>
  <c r="J374" i="19"/>
  <c r="J373" i="19" s="1"/>
  <c r="J375" i="19" s="1"/>
  <c r="H495" i="19"/>
  <c r="H494" i="19" s="1"/>
  <c r="K671" i="19"/>
  <c r="J110" i="19"/>
  <c r="J109" i="19" s="1"/>
  <c r="J111" i="19" s="1"/>
  <c r="J462" i="19"/>
  <c r="L682" i="19"/>
  <c r="K616" i="19"/>
  <c r="H88" i="19"/>
  <c r="L275" i="19"/>
  <c r="L274" i="19" s="1"/>
  <c r="L276" i="19" s="1"/>
  <c r="H484" i="19"/>
  <c r="H483" i="19" s="1"/>
  <c r="I627" i="19"/>
  <c r="H231" i="19"/>
  <c r="H230" i="19" s="1"/>
  <c r="H320" i="19"/>
  <c r="H660" i="19"/>
  <c r="H659" i="19" s="1"/>
  <c r="J88" i="19"/>
  <c r="K231" i="19"/>
  <c r="K230" i="19" s="1"/>
  <c r="K232" i="19" s="1"/>
  <c r="I440" i="19"/>
  <c r="I439" i="19" s="1"/>
  <c r="L638" i="19"/>
  <c r="BK17" i="19"/>
  <c r="BE18" i="19"/>
  <c r="K473" i="19"/>
  <c r="K472" i="19" s="1"/>
  <c r="H185" i="19"/>
  <c r="H186" i="19"/>
  <c r="K517" i="19"/>
  <c r="L141" i="19"/>
  <c r="L142" i="19"/>
  <c r="L144" i="19" s="1"/>
  <c r="H166" i="19"/>
  <c r="I495" i="19"/>
  <c r="I483" i="19" l="1"/>
  <c r="I485" i="19" s="1"/>
  <c r="I692" i="19"/>
  <c r="I694" i="19" s="1"/>
  <c r="I538" i="19"/>
  <c r="I540" i="19" s="1"/>
  <c r="J428" i="19"/>
  <c r="J430" i="19" s="1"/>
  <c r="H450" i="19"/>
  <c r="H452" i="19" s="1"/>
  <c r="K505" i="19"/>
  <c r="K507" i="19" s="1"/>
  <c r="L637" i="19"/>
  <c r="L639" i="19" s="1"/>
  <c r="L681" i="19"/>
  <c r="L683" i="19" s="1"/>
  <c r="H571" i="19"/>
  <c r="H573" i="19" s="1"/>
  <c r="K648" i="19"/>
  <c r="AO52" i="19" s="1"/>
  <c r="AP52" i="19" s="1"/>
  <c r="K615" i="19"/>
  <c r="K617" i="19" s="1"/>
  <c r="J461" i="19"/>
  <c r="J463" i="19" s="1"/>
  <c r="K560" i="19"/>
  <c r="K562" i="19" s="1"/>
  <c r="L417" i="19"/>
  <c r="L419" i="19" s="1"/>
  <c r="H549" i="19"/>
  <c r="H551" i="19" s="1"/>
  <c r="I428" i="19"/>
  <c r="I430" i="19" s="1"/>
  <c r="M430" i="19" s="1"/>
  <c r="M429" i="19" s="1"/>
  <c r="M428" i="19" s="1"/>
  <c r="J527" i="19"/>
  <c r="K670" i="19"/>
  <c r="K672" i="19" s="1"/>
  <c r="J615" i="19"/>
  <c r="J617" i="19" s="1"/>
  <c r="J692" i="19"/>
  <c r="J694" i="19" s="1"/>
  <c r="L461" i="19"/>
  <c r="L463" i="19" s="1"/>
  <c r="J439" i="19"/>
  <c r="K692" i="19"/>
  <c r="K694" i="19" s="1"/>
  <c r="I604" i="19"/>
  <c r="I606" i="19" s="1"/>
  <c r="I582" i="19"/>
  <c r="I584" i="19" s="1"/>
  <c r="I571" i="19"/>
  <c r="I573" i="19" s="1"/>
  <c r="I450" i="19"/>
  <c r="I452" i="19" s="1"/>
  <c r="J571" i="19"/>
  <c r="H681" i="19"/>
  <c r="H683" i="19" s="1"/>
  <c r="L538" i="19"/>
  <c r="AO42" i="19" s="1"/>
  <c r="AP42" i="19" s="1"/>
  <c r="J549" i="19"/>
  <c r="J551" i="19" s="1"/>
  <c r="L494" i="19"/>
  <c r="L496" i="19" s="1"/>
  <c r="J516" i="19"/>
  <c r="J518" i="19" s="1"/>
  <c r="K582" i="19"/>
  <c r="K584" i="19" s="1"/>
  <c r="H604" i="19"/>
  <c r="I494" i="19"/>
  <c r="I496" i="19" s="1"/>
  <c r="K516" i="19"/>
  <c r="K518" i="19" s="1"/>
  <c r="I626" i="19"/>
  <c r="I628" i="19" s="1"/>
  <c r="I637" i="19"/>
  <c r="I639" i="19" s="1"/>
  <c r="L505" i="19"/>
  <c r="L615" i="19"/>
  <c r="L617" i="19" s="1"/>
  <c r="I516" i="19"/>
  <c r="I518" i="19" s="1"/>
  <c r="K549" i="19"/>
  <c r="K551" i="19" s="1"/>
  <c r="L670" i="19"/>
  <c r="L672" i="19" s="1"/>
  <c r="H626" i="19"/>
  <c r="H628" i="19" s="1"/>
  <c r="J472" i="19"/>
  <c r="J474" i="19" s="1"/>
  <c r="K593" i="19"/>
  <c r="K595" i="19" s="1"/>
  <c r="M595" i="19" s="1"/>
  <c r="M594" i="19" s="1"/>
  <c r="I461" i="19"/>
  <c r="I463" i="19" s="1"/>
  <c r="L560" i="19"/>
  <c r="L562" i="19" s="1"/>
  <c r="J637" i="19"/>
  <c r="J639" i="19" s="1"/>
  <c r="K527" i="19"/>
  <c r="K529" i="19" s="1"/>
  <c r="I549" i="19"/>
  <c r="L439" i="19"/>
  <c r="L441" i="19" s="1"/>
  <c r="K417" i="19"/>
  <c r="K419" i="19" s="1"/>
  <c r="K604" i="19"/>
  <c r="K606" i="19" s="1"/>
  <c r="K98" i="19"/>
  <c r="K100" i="19" s="1"/>
  <c r="H87" i="19"/>
  <c r="I87" i="19"/>
  <c r="I89" i="19" s="1"/>
  <c r="I98" i="19"/>
  <c r="I100" i="19" s="1"/>
  <c r="H98" i="19"/>
  <c r="H100" i="19" s="1"/>
  <c r="J98" i="19"/>
  <c r="J100" i="19" s="1"/>
  <c r="J87" i="19"/>
  <c r="J89" i="19" s="1"/>
  <c r="B14" i="19"/>
  <c r="AO44" i="19"/>
  <c r="AP44" i="19" s="1"/>
  <c r="L1" i="19"/>
  <c r="M210" i="19"/>
  <c r="M209" i="19" s="1"/>
  <c r="M208" i="19" s="1"/>
  <c r="M243" i="19"/>
  <c r="M242" i="19" s="1"/>
  <c r="M241" i="19" s="1"/>
  <c r="M254" i="19"/>
  <c r="M253" i="19" s="1"/>
  <c r="M252" i="19" s="1"/>
  <c r="AO29" i="19"/>
  <c r="AP29" i="19" s="1"/>
  <c r="M397" i="19"/>
  <c r="M396" i="19" s="1"/>
  <c r="M395" i="19" s="1"/>
  <c r="AO16" i="19"/>
  <c r="AP16" i="19" s="1"/>
  <c r="M375" i="19"/>
  <c r="M374" i="19" s="1"/>
  <c r="M373" i="19" s="1"/>
  <c r="AO12" i="19"/>
  <c r="AP12" i="19" s="1"/>
  <c r="AO15" i="19"/>
  <c r="AP15" i="19" s="1"/>
  <c r="M34" i="19"/>
  <c r="M33" i="19" s="1"/>
  <c r="M32" i="19" s="1"/>
  <c r="B6" i="19" s="1"/>
  <c r="AO5" i="19"/>
  <c r="AP5" i="19" s="1"/>
  <c r="AO22" i="19"/>
  <c r="AP22" i="19" s="1"/>
  <c r="M320" i="19"/>
  <c r="M319" i="19" s="1"/>
  <c r="M318" i="19" s="1"/>
  <c r="M133" i="19"/>
  <c r="M132" i="19" s="1"/>
  <c r="M131" i="19" s="1"/>
  <c r="M45" i="19"/>
  <c r="M44" i="19" s="1"/>
  <c r="M43" i="19" s="1"/>
  <c r="B7" i="19" s="1"/>
  <c r="AO8" i="19"/>
  <c r="AP8" i="19" s="1"/>
  <c r="M67" i="19"/>
  <c r="M66" i="19" s="1"/>
  <c r="M65" i="19" s="1"/>
  <c r="M166" i="19"/>
  <c r="M165" i="19" s="1"/>
  <c r="M164" i="19" s="1"/>
  <c r="B20" i="19" s="1"/>
  <c r="M287" i="19"/>
  <c r="M286" i="19" s="1"/>
  <c r="M285" i="19" s="1"/>
  <c r="H584" i="19"/>
  <c r="AO46" i="19"/>
  <c r="AP46" i="19" s="1"/>
  <c r="J342" i="19"/>
  <c r="M342" i="19" s="1"/>
  <c r="M341" i="19" s="1"/>
  <c r="M340" i="19" s="1"/>
  <c r="AO24" i="19"/>
  <c r="AP24" i="19" s="1"/>
  <c r="H661" i="19"/>
  <c r="M661" i="19" s="1"/>
  <c r="M660" i="19" s="1"/>
  <c r="M659" i="19" s="1"/>
  <c r="AO53" i="19"/>
  <c r="AP53" i="19" s="1"/>
  <c r="K298" i="19"/>
  <c r="M298" i="19" s="1"/>
  <c r="M297" i="19" s="1"/>
  <c r="M296" i="19" s="1"/>
  <c r="AO20" i="19"/>
  <c r="AP20" i="19" s="1"/>
  <c r="M364" i="19"/>
  <c r="M363" i="19" s="1"/>
  <c r="M362" i="19" s="1"/>
  <c r="K683" i="19"/>
  <c r="H199" i="19"/>
  <c r="M199" i="19" s="1"/>
  <c r="M198" i="19" s="1"/>
  <c r="M197" i="19" s="1"/>
  <c r="B23" i="19" s="1"/>
  <c r="AO11" i="19"/>
  <c r="AP11" i="19" s="1"/>
  <c r="H540" i="19"/>
  <c r="I353" i="19"/>
  <c r="M353" i="19" s="1"/>
  <c r="M352" i="19" s="1"/>
  <c r="M351" i="19" s="1"/>
  <c r="AO25" i="19"/>
  <c r="AP25" i="19" s="1"/>
  <c r="M12" i="19"/>
  <c r="M11" i="19" s="1"/>
  <c r="M10" i="19" s="1"/>
  <c r="B4" i="19" s="1"/>
  <c r="K474" i="19"/>
  <c r="AO36" i="19"/>
  <c r="AP36" i="19" s="1"/>
  <c r="H496" i="19"/>
  <c r="I441" i="19"/>
  <c r="L650" i="19"/>
  <c r="M144" i="19"/>
  <c r="M143" i="19" s="1"/>
  <c r="M142" i="19" s="1"/>
  <c r="H232" i="19"/>
  <c r="M232" i="19" s="1"/>
  <c r="M231" i="19" s="1"/>
  <c r="M230" i="19" s="1"/>
  <c r="AO14" i="19"/>
  <c r="AP14" i="19" s="1"/>
  <c r="M111" i="19"/>
  <c r="M110" i="19" s="1"/>
  <c r="M109" i="19" s="1"/>
  <c r="H463" i="19"/>
  <c r="M23" i="19"/>
  <c r="M22" i="19" s="1"/>
  <c r="AO6" i="19"/>
  <c r="AP6" i="19" s="1"/>
  <c r="J386" i="19"/>
  <c r="M386" i="19" s="1"/>
  <c r="M385" i="19" s="1"/>
  <c r="M384" i="19" s="1"/>
  <c r="AO28" i="19"/>
  <c r="AP28" i="19" s="1"/>
  <c r="H507" i="19"/>
  <c r="H485" i="19"/>
  <c r="AO37" i="19"/>
  <c r="AP37" i="19" s="1"/>
  <c r="H694" i="19"/>
  <c r="AO26" i="19"/>
  <c r="AP26" i="19" s="1"/>
  <c r="J122" i="19"/>
  <c r="J1" i="19"/>
  <c r="AO4" i="19"/>
  <c r="AP4" i="19" s="1"/>
  <c r="I56" i="19"/>
  <c r="M56" i="19" s="1"/>
  <c r="M55" i="19" s="1"/>
  <c r="M54" i="19" s="1"/>
  <c r="B8" i="19" s="1"/>
  <c r="AO27" i="19"/>
  <c r="AP27" i="19" s="1"/>
  <c r="I529" i="19"/>
  <c r="J265" i="19"/>
  <c r="M265" i="19" s="1"/>
  <c r="M264" i="19" s="1"/>
  <c r="M263" i="19" s="1"/>
  <c r="AO17" i="19"/>
  <c r="AP17" i="19" s="1"/>
  <c r="AO19" i="19"/>
  <c r="AP19" i="19" s="1"/>
  <c r="H188" i="19"/>
  <c r="M188" i="19" s="1"/>
  <c r="M187" i="19" s="1"/>
  <c r="M186" i="19" s="1"/>
  <c r="AO10" i="19"/>
  <c r="AP10" i="19" s="1"/>
  <c r="BK18" i="19"/>
  <c r="BE19" i="19"/>
  <c r="H331" i="19"/>
  <c r="M331" i="19" s="1"/>
  <c r="M330" i="19" s="1"/>
  <c r="M329" i="19" s="1"/>
  <c r="AO23" i="19"/>
  <c r="AP23" i="19" s="1"/>
  <c r="H408" i="19"/>
  <c r="M408" i="19" s="1"/>
  <c r="M407" i="19" s="1"/>
  <c r="M406" i="19" s="1"/>
  <c r="AO30" i="19"/>
  <c r="AP30" i="19" s="1"/>
  <c r="H639" i="19"/>
  <c r="H276" i="19"/>
  <c r="M276" i="19" s="1"/>
  <c r="M275" i="19" s="1"/>
  <c r="M274" i="19" s="1"/>
  <c r="AO18" i="19"/>
  <c r="AP18" i="19" s="1"/>
  <c r="I220" i="19"/>
  <c r="I219" i="19" s="1"/>
  <c r="I672" i="19"/>
  <c r="K122" i="19"/>
  <c r="K1" i="19"/>
  <c r="H309" i="19"/>
  <c r="M309" i="19" s="1"/>
  <c r="M308" i="19" s="1"/>
  <c r="M307" i="19" s="1"/>
  <c r="B33" i="19" s="1"/>
  <c r="AO21" i="19"/>
  <c r="AP21" i="19" s="1"/>
  <c r="AO54" i="19" l="1"/>
  <c r="AP54" i="19" s="1"/>
  <c r="AO33" i="19"/>
  <c r="AP33" i="19" s="1"/>
  <c r="AO43" i="19"/>
  <c r="AP43" i="19" s="1"/>
  <c r="AO39" i="19"/>
  <c r="AP39" i="19" s="1"/>
  <c r="AO48" i="19"/>
  <c r="AP48" i="19" s="1"/>
  <c r="AO35" i="19"/>
  <c r="AP35" i="19" s="1"/>
  <c r="AO41" i="19"/>
  <c r="AP41" i="19" s="1"/>
  <c r="AO45" i="19"/>
  <c r="AP45" i="19" s="1"/>
  <c r="AO40" i="19"/>
  <c r="AP40" i="19" s="1"/>
  <c r="B31" i="19"/>
  <c r="M562" i="19"/>
  <c r="M561" i="19" s="1"/>
  <c r="M560" i="19" s="1"/>
  <c r="M628" i="19"/>
  <c r="M627" i="19" s="1"/>
  <c r="M626" i="19" s="1"/>
  <c r="B64" i="19" s="1"/>
  <c r="M617" i="19"/>
  <c r="M616" i="19" s="1"/>
  <c r="M615" i="19" s="1"/>
  <c r="M518" i="19"/>
  <c r="M517" i="19" s="1"/>
  <c r="M516" i="19" s="1"/>
  <c r="M452" i="19"/>
  <c r="M451" i="19" s="1"/>
  <c r="AO55" i="19"/>
  <c r="AP55" i="19" s="1"/>
  <c r="M496" i="19"/>
  <c r="M495" i="19" s="1"/>
  <c r="M494" i="19" s="1"/>
  <c r="M672" i="19"/>
  <c r="M671" i="19" s="1"/>
  <c r="M670" i="19" s="1"/>
  <c r="H606" i="19"/>
  <c r="M606" i="19" s="1"/>
  <c r="M605" i="19" s="1"/>
  <c r="AO34" i="19"/>
  <c r="AP34" i="19" s="1"/>
  <c r="AO38" i="19"/>
  <c r="AP38" i="19" s="1"/>
  <c r="L540" i="19"/>
  <c r="B22" i="19"/>
  <c r="B38" i="19"/>
  <c r="I551" i="19"/>
  <c r="M551" i="19" s="1"/>
  <c r="M550" i="19" s="1"/>
  <c r="M549" i="19" s="1"/>
  <c r="B57" i="19" s="1"/>
  <c r="L507" i="19"/>
  <c r="M507" i="19" s="1"/>
  <c r="M506" i="19" s="1"/>
  <c r="M505" i="19" s="1"/>
  <c r="J573" i="19"/>
  <c r="M573" i="19" s="1"/>
  <c r="M572" i="19" s="1"/>
  <c r="M571" i="19" s="1"/>
  <c r="J441" i="19"/>
  <c r="M441" i="19" s="1"/>
  <c r="M440" i="19" s="1"/>
  <c r="M439" i="19" s="1"/>
  <c r="BN21" i="19" s="1"/>
  <c r="K650" i="19"/>
  <c r="M650" i="19" s="1"/>
  <c r="M649" i="19" s="1"/>
  <c r="M648" i="19" s="1"/>
  <c r="L694" i="19"/>
  <c r="L693" i="19" s="1"/>
  <c r="M463" i="19"/>
  <c r="M462" i="19" s="1"/>
  <c r="M461" i="19" s="1"/>
  <c r="BN20" i="19" s="1"/>
  <c r="J529" i="19"/>
  <c r="M683" i="19"/>
  <c r="M682" i="19" s="1"/>
  <c r="M681" i="19" s="1"/>
  <c r="AO49" i="19"/>
  <c r="AP49" i="19" s="1"/>
  <c r="AO51" i="19"/>
  <c r="AP51" i="19" s="1"/>
  <c r="M485" i="19"/>
  <c r="M484" i="19" s="1"/>
  <c r="M483" i="19" s="1"/>
  <c r="B51" i="19" s="1"/>
  <c r="AO50" i="19"/>
  <c r="AP50" i="19" s="1"/>
  <c r="AO47" i="19"/>
  <c r="AP47" i="19" s="1"/>
  <c r="M474" i="19"/>
  <c r="M473" i="19" s="1"/>
  <c r="M472" i="19" s="1"/>
  <c r="B26" i="19"/>
  <c r="M584" i="19"/>
  <c r="M583" i="19" s="1"/>
  <c r="M582" i="19" s="1"/>
  <c r="B60" i="19" s="1"/>
  <c r="B43" i="19"/>
  <c r="M639" i="19"/>
  <c r="M638" i="19" s="1"/>
  <c r="M637" i="19" s="1"/>
  <c r="M529" i="19"/>
  <c r="M528" i="19" s="1"/>
  <c r="M527" i="19" s="1"/>
  <c r="BN26" i="19" s="1"/>
  <c r="AO32" i="19"/>
  <c r="AP32" i="19" s="1"/>
  <c r="M540" i="19"/>
  <c r="M539" i="19" s="1"/>
  <c r="B17" i="19"/>
  <c r="B21" i="19"/>
  <c r="B30" i="19"/>
  <c r="B29" i="19"/>
  <c r="B39" i="19"/>
  <c r="BN15" i="19"/>
  <c r="B19" i="19"/>
  <c r="L100" i="19"/>
  <c r="L99" i="19" s="1"/>
  <c r="L98" i="19" s="1"/>
  <c r="B12" i="19" s="1"/>
  <c r="M21" i="19"/>
  <c r="B5" i="19" s="1"/>
  <c r="B36" i="19"/>
  <c r="B28" i="19"/>
  <c r="B11" i="19"/>
  <c r="H89" i="19"/>
  <c r="M89" i="19" s="1"/>
  <c r="M88" i="19" s="1"/>
  <c r="M87" i="19" s="1"/>
  <c r="B32" i="19"/>
  <c r="B35" i="19"/>
  <c r="L692" i="19"/>
  <c r="AO56" i="19" s="1"/>
  <c r="AP56" i="19" s="1"/>
  <c r="M593" i="19"/>
  <c r="B61" i="19" s="1"/>
  <c r="M538" i="19"/>
  <c r="B56" i="19" s="1"/>
  <c r="M604" i="19"/>
  <c r="BN36" i="19" s="1"/>
  <c r="M450" i="19"/>
  <c r="B48" i="19" s="1"/>
  <c r="B52" i="19"/>
  <c r="B41" i="19"/>
  <c r="B37" i="19"/>
  <c r="BN31" i="19"/>
  <c r="BN14" i="19"/>
  <c r="B65" i="19"/>
  <c r="B58" i="19"/>
  <c r="BN34" i="19"/>
  <c r="B34" i="19"/>
  <c r="BN39" i="19"/>
  <c r="B40" i="19"/>
  <c r="I221" i="19"/>
  <c r="M221" i="19" s="1"/>
  <c r="M220" i="19" s="1"/>
  <c r="M219" i="19" s="1"/>
  <c r="AO13" i="19"/>
  <c r="AP13" i="19" s="1"/>
  <c r="B68" i="19"/>
  <c r="BN29" i="19"/>
  <c r="BE20" i="19"/>
  <c r="BK19" i="19"/>
  <c r="BN42" i="19"/>
  <c r="BN25" i="19" l="1"/>
  <c r="BN38" i="19"/>
  <c r="BN24" i="19"/>
  <c r="BN27" i="19"/>
  <c r="B53" i="19"/>
  <c r="B47" i="19"/>
  <c r="B55" i="19"/>
  <c r="B49" i="19"/>
  <c r="BN43" i="19"/>
  <c r="B66" i="19"/>
  <c r="BN40" i="19"/>
  <c r="BN37" i="19"/>
  <c r="B63" i="19"/>
  <c r="B54" i="19"/>
  <c r="BN28" i="19"/>
  <c r="B44" i="19"/>
  <c r="BN18" i="19"/>
  <c r="B67" i="19"/>
  <c r="BN32" i="19"/>
  <c r="BN23" i="19"/>
  <c r="B59" i="19"/>
  <c r="B50" i="19"/>
  <c r="BN41" i="19"/>
  <c r="BN33" i="19"/>
  <c r="B46" i="19"/>
  <c r="B25" i="19"/>
  <c r="B24" i="19"/>
  <c r="BN22" i="19"/>
  <c r="B62" i="19"/>
  <c r="B27" i="19"/>
  <c r="BN35" i="19"/>
  <c r="BN30" i="19"/>
  <c r="BE21" i="19"/>
  <c r="BK20" i="19"/>
  <c r="BK21" i="19" l="1"/>
  <c r="BE22" i="19"/>
  <c r="BK22" i="19" l="1"/>
  <c r="BE23" i="19"/>
  <c r="BK23" i="19" l="1"/>
  <c r="BE24" i="19"/>
  <c r="BK24" i="19" l="1"/>
  <c r="BE25" i="19"/>
  <c r="BK25" i="19" l="1"/>
  <c r="BE26" i="19"/>
  <c r="BK26" i="19" l="1"/>
  <c r="BE27" i="19"/>
  <c r="BE28" i="19" l="1"/>
  <c r="BK27" i="19"/>
  <c r="L16" i="15"/>
  <c r="BE29" i="19" l="1"/>
  <c r="BK28" i="19"/>
  <c r="H5" i="12"/>
  <c r="J16" i="4"/>
  <c r="G19" i="10"/>
  <c r="G24" i="10"/>
  <c r="F19" i="10"/>
  <c r="F24" i="10"/>
  <c r="G8" i="10"/>
  <c r="G13" i="10" s="1"/>
  <c r="F8" i="10"/>
  <c r="F13" i="10"/>
  <c r="E19" i="10"/>
  <c r="E24" i="10"/>
  <c r="D19" i="10"/>
  <c r="D24" i="10"/>
  <c r="D13" i="10"/>
  <c r="E8" i="10"/>
  <c r="E13" i="10"/>
  <c r="D8" i="10"/>
  <c r="G63" i="15"/>
  <c r="G68" i="15" s="1"/>
  <c r="F63" i="15"/>
  <c r="F68" i="15" s="1"/>
  <c r="G52" i="15"/>
  <c r="G57" i="15" s="1"/>
  <c r="F52" i="15"/>
  <c r="F57" i="15"/>
  <c r="G41" i="15"/>
  <c r="G46" i="15" s="1"/>
  <c r="F41" i="15"/>
  <c r="F46" i="15" s="1"/>
  <c r="G30" i="15"/>
  <c r="G35" i="15" s="1"/>
  <c r="F30" i="15"/>
  <c r="F35" i="15" s="1"/>
  <c r="G19" i="15"/>
  <c r="G24" i="15" s="1"/>
  <c r="F19" i="15"/>
  <c r="F24" i="15"/>
  <c r="G8" i="15"/>
  <c r="G13" i="15" s="1"/>
  <c r="F8" i="15"/>
  <c r="F13" i="15" s="1"/>
  <c r="E63" i="15"/>
  <c r="E68" i="15"/>
  <c r="D63" i="15"/>
  <c r="D68" i="15"/>
  <c r="E52" i="15"/>
  <c r="E57" i="15"/>
  <c r="D52" i="15"/>
  <c r="D57" i="15"/>
  <c r="E41" i="15"/>
  <c r="E46" i="15"/>
  <c r="D41" i="15"/>
  <c r="D46" i="15"/>
  <c r="E30" i="15"/>
  <c r="E35" i="15"/>
  <c r="D30" i="15"/>
  <c r="E19" i="15"/>
  <c r="E24" i="15"/>
  <c r="D19" i="15"/>
  <c r="D24" i="15"/>
  <c r="E8" i="15"/>
  <c r="E13" i="15"/>
  <c r="D8" i="15"/>
  <c r="D13" i="15"/>
  <c r="D35" i="15"/>
  <c r="G52" i="7"/>
  <c r="G57" i="7" s="1"/>
  <c r="F52" i="7"/>
  <c r="F57" i="7" s="1"/>
  <c r="G41" i="7"/>
  <c r="G46" i="7" s="1"/>
  <c r="F41" i="7"/>
  <c r="F46" i="7" s="1"/>
  <c r="G30" i="7"/>
  <c r="G35" i="7" s="1"/>
  <c r="F30" i="7"/>
  <c r="F35" i="7" s="1"/>
  <c r="G19" i="7"/>
  <c r="G24" i="7" s="1"/>
  <c r="F19" i="7"/>
  <c r="F24" i="7" s="1"/>
  <c r="E52" i="7"/>
  <c r="E57" i="7"/>
  <c r="D52" i="7"/>
  <c r="D57" i="7"/>
  <c r="E41" i="7"/>
  <c r="D41" i="7"/>
  <c r="D46" i="7"/>
  <c r="E30" i="7"/>
  <c r="E35" i="7"/>
  <c r="D30" i="7"/>
  <c r="D35" i="7"/>
  <c r="E19" i="7"/>
  <c r="E24" i="7"/>
  <c r="D19" i="7"/>
  <c r="D24" i="7"/>
  <c r="G8" i="7"/>
  <c r="G13" i="7"/>
  <c r="F8" i="7"/>
  <c r="F13" i="7"/>
  <c r="H5" i="7"/>
  <c r="E8" i="7"/>
  <c r="E13" i="7"/>
  <c r="D8" i="7"/>
  <c r="D13" i="7"/>
  <c r="E46" i="7"/>
  <c r="E46" i="4"/>
  <c r="D46" i="4"/>
  <c r="G41" i="4"/>
  <c r="G46" i="4"/>
  <c r="F41" i="4"/>
  <c r="F46" i="4" s="1"/>
  <c r="E41" i="4"/>
  <c r="D41" i="4"/>
  <c r="D35" i="4"/>
  <c r="G30" i="4"/>
  <c r="G35" i="4" s="1"/>
  <c r="F30" i="4"/>
  <c r="F35" i="4" s="1"/>
  <c r="E30" i="4"/>
  <c r="E35" i="4"/>
  <c r="D30" i="4"/>
  <c r="E24" i="4"/>
  <c r="G19" i="4"/>
  <c r="G24" i="4"/>
  <c r="F19" i="4"/>
  <c r="F24" i="4" s="1"/>
  <c r="E19" i="4"/>
  <c r="D19" i="4"/>
  <c r="D24" i="4"/>
  <c r="E13" i="4"/>
  <c r="G8" i="4"/>
  <c r="G13" i="4"/>
  <c r="F8" i="4"/>
  <c r="F13" i="4" s="1"/>
  <c r="H5" i="4"/>
  <c r="E8" i="4"/>
  <c r="D8" i="4"/>
  <c r="D13" i="4"/>
  <c r="E79" i="12"/>
  <c r="G74" i="12"/>
  <c r="G79" i="12" s="1"/>
  <c r="F74" i="12"/>
  <c r="F79" i="12" s="1"/>
  <c r="E74" i="12"/>
  <c r="D74" i="12"/>
  <c r="D79" i="12"/>
  <c r="E68" i="12"/>
  <c r="G63" i="12"/>
  <c r="G68" i="12" s="1"/>
  <c r="F63" i="12"/>
  <c r="F68" i="12" s="1"/>
  <c r="E63" i="12"/>
  <c r="D63" i="12"/>
  <c r="D68" i="12"/>
  <c r="D57" i="12"/>
  <c r="G52" i="12"/>
  <c r="G57" i="12"/>
  <c r="F52" i="12"/>
  <c r="F57" i="12" s="1"/>
  <c r="E52" i="12"/>
  <c r="E57" i="12"/>
  <c r="D52" i="12"/>
  <c r="E46" i="12"/>
  <c r="G41" i="12"/>
  <c r="G46" i="12" s="1"/>
  <c r="F41" i="12"/>
  <c r="F46" i="12" s="1"/>
  <c r="E41" i="12"/>
  <c r="D41" i="12"/>
  <c r="D46" i="12"/>
  <c r="E35" i="12"/>
  <c r="G30" i="12"/>
  <c r="G35" i="12" s="1"/>
  <c r="F30" i="12"/>
  <c r="F35" i="12" s="1"/>
  <c r="E30" i="12"/>
  <c r="D30" i="12"/>
  <c r="D35" i="12"/>
  <c r="G19" i="12"/>
  <c r="G24" i="12"/>
  <c r="F19" i="12"/>
  <c r="F24" i="12"/>
  <c r="H16" i="12"/>
  <c r="E19" i="12"/>
  <c r="E24" i="12"/>
  <c r="D19" i="12"/>
  <c r="D24" i="12"/>
  <c r="G8" i="12"/>
  <c r="G13" i="12" s="1"/>
  <c r="F8" i="12"/>
  <c r="F13" i="12"/>
  <c r="E8" i="12"/>
  <c r="E13" i="12"/>
  <c r="D8" i="12"/>
  <c r="D13" i="12"/>
  <c r="G41" i="2"/>
  <c r="G46" i="2"/>
  <c r="F41" i="2"/>
  <c r="F46" i="2" s="1"/>
  <c r="E41" i="2"/>
  <c r="E46" i="2"/>
  <c r="D41" i="2"/>
  <c r="D46" i="2"/>
  <c r="E35" i="2"/>
  <c r="E30" i="2"/>
  <c r="F30" i="2"/>
  <c r="F35" i="2"/>
  <c r="G30" i="2"/>
  <c r="G35" i="2" s="1"/>
  <c r="H27" i="2"/>
  <c r="H29" i="2" s="1"/>
  <c r="L29" i="2" s="1"/>
  <c r="D30" i="2"/>
  <c r="D35" i="2"/>
  <c r="D24" i="2"/>
  <c r="G19" i="2"/>
  <c r="G24" i="2" s="1"/>
  <c r="F19" i="2"/>
  <c r="F24" i="2" s="1"/>
  <c r="E19" i="2"/>
  <c r="E24" i="2"/>
  <c r="D19" i="2"/>
  <c r="G8" i="2"/>
  <c r="G13" i="2" s="1"/>
  <c r="F8" i="2"/>
  <c r="F13" i="2" s="1"/>
  <c r="E8" i="2"/>
  <c r="E13" i="2"/>
  <c r="D8" i="2"/>
  <c r="D13" i="2"/>
  <c r="G30" i="13"/>
  <c r="G35" i="13" s="1"/>
  <c r="F30" i="13"/>
  <c r="F35" i="13"/>
  <c r="E30" i="13"/>
  <c r="E35" i="13"/>
  <c r="D30" i="13"/>
  <c r="D35" i="13"/>
  <c r="G19" i="13"/>
  <c r="G24" i="13"/>
  <c r="F19" i="13"/>
  <c r="F24" i="13" s="1"/>
  <c r="E24" i="13"/>
  <c r="E19" i="13"/>
  <c r="D19" i="13"/>
  <c r="D24" i="13"/>
  <c r="G8" i="13"/>
  <c r="G13" i="13" s="1"/>
  <c r="F8" i="13"/>
  <c r="F13" i="13" s="1"/>
  <c r="H5" i="13"/>
  <c r="E8" i="13"/>
  <c r="E13" i="13"/>
  <c r="D8" i="13"/>
  <c r="D13" i="13"/>
  <c r="J5" i="2"/>
  <c r="I60" i="15"/>
  <c r="H60" i="15"/>
  <c r="H61" i="15"/>
  <c r="P64" i="15" s="1"/>
  <c r="Q64" i="15" s="1"/>
  <c r="F67" i="15"/>
  <c r="G65" i="15"/>
  <c r="G66" i="15"/>
  <c r="F65" i="15"/>
  <c r="F66" i="15"/>
  <c r="E65" i="15"/>
  <c r="E66" i="15"/>
  <c r="D65" i="15"/>
  <c r="D66" i="15"/>
  <c r="G62" i="15"/>
  <c r="F62" i="15"/>
  <c r="E62" i="15"/>
  <c r="D62" i="15"/>
  <c r="G61" i="15"/>
  <c r="F61" i="15"/>
  <c r="E61" i="15"/>
  <c r="D61" i="15"/>
  <c r="E67" i="15"/>
  <c r="G67" i="15"/>
  <c r="P63" i="15"/>
  <c r="Q63" i="15" s="1"/>
  <c r="H62" i="15"/>
  <c r="I62" i="15" s="1"/>
  <c r="D67" i="15"/>
  <c r="K5" i="7"/>
  <c r="I5" i="7"/>
  <c r="I6" i="7" s="1"/>
  <c r="H16" i="7"/>
  <c r="I16" i="7"/>
  <c r="I18" i="7" s="1"/>
  <c r="J16" i="10"/>
  <c r="I16" i="10"/>
  <c r="H16" i="10"/>
  <c r="L5" i="10"/>
  <c r="K5" i="10"/>
  <c r="J5" i="10"/>
  <c r="I5" i="10"/>
  <c r="I7" i="10" s="1"/>
  <c r="H5" i="10"/>
  <c r="H7" i="10" s="1"/>
  <c r="L7" i="10" s="1"/>
  <c r="M49" i="15"/>
  <c r="L49" i="15"/>
  <c r="K49" i="15"/>
  <c r="K50" i="15" s="1"/>
  <c r="J49" i="15"/>
  <c r="I49" i="15"/>
  <c r="I50" i="15" s="1"/>
  <c r="H49" i="15"/>
  <c r="J38" i="15"/>
  <c r="I38" i="15"/>
  <c r="H38" i="15"/>
  <c r="M27" i="15"/>
  <c r="L27" i="15"/>
  <c r="K27" i="15"/>
  <c r="J27" i="15"/>
  <c r="J28" i="15" s="1"/>
  <c r="I27" i="15"/>
  <c r="H27" i="15"/>
  <c r="H29" i="15" s="1"/>
  <c r="M16" i="15"/>
  <c r="K16" i="15"/>
  <c r="K17" i="15" s="1"/>
  <c r="J16" i="15"/>
  <c r="I16" i="15"/>
  <c r="H16" i="15"/>
  <c r="M5" i="15"/>
  <c r="L5" i="15"/>
  <c r="K5" i="15"/>
  <c r="J5" i="15"/>
  <c r="I5" i="15"/>
  <c r="I7" i="15" s="1"/>
  <c r="M7" i="15" s="1"/>
  <c r="H5" i="15"/>
  <c r="B10" i="7"/>
  <c r="B11" i="7"/>
  <c r="M49" i="7"/>
  <c r="L49" i="7"/>
  <c r="K49" i="7"/>
  <c r="J49" i="7"/>
  <c r="I49" i="7"/>
  <c r="H49" i="7"/>
  <c r="H51" i="7" s="1"/>
  <c r="M51" i="7" s="1"/>
  <c r="J38" i="7"/>
  <c r="I38" i="7"/>
  <c r="H38" i="7"/>
  <c r="M27" i="7"/>
  <c r="L27" i="7"/>
  <c r="K27" i="7"/>
  <c r="K28" i="7" s="1"/>
  <c r="J27" i="7"/>
  <c r="I27" i="7"/>
  <c r="H27" i="7"/>
  <c r="M16" i="7"/>
  <c r="L16" i="7"/>
  <c r="K16" i="7"/>
  <c r="K18" i="7" s="1"/>
  <c r="J16" i="7"/>
  <c r="M5" i="7"/>
  <c r="L5" i="7"/>
  <c r="J5" i="7"/>
  <c r="J7" i="7" s="1"/>
  <c r="K38" i="4"/>
  <c r="J38" i="4"/>
  <c r="I38" i="4"/>
  <c r="H38" i="4"/>
  <c r="K27" i="4"/>
  <c r="J27" i="4"/>
  <c r="J29" i="4" s="1"/>
  <c r="I27" i="4"/>
  <c r="I29" i="4" s="1"/>
  <c r="H27" i="4"/>
  <c r="H28" i="4" s="1"/>
  <c r="M16" i="4"/>
  <c r="L16" i="4"/>
  <c r="K16" i="4"/>
  <c r="I16" i="4"/>
  <c r="H16" i="4"/>
  <c r="M5" i="4"/>
  <c r="L5" i="4"/>
  <c r="K5" i="4"/>
  <c r="J5" i="4"/>
  <c r="I5" i="4"/>
  <c r="I7" i="4" s="1"/>
  <c r="M7" i="4" s="1"/>
  <c r="I71" i="12"/>
  <c r="H71" i="12"/>
  <c r="I60" i="12"/>
  <c r="H60" i="12"/>
  <c r="I49" i="12"/>
  <c r="H49" i="12"/>
  <c r="I38" i="12"/>
  <c r="H38" i="12"/>
  <c r="H40" i="12" s="1"/>
  <c r="I40" i="12" s="1"/>
  <c r="L27" i="12"/>
  <c r="K27" i="12"/>
  <c r="K29" i="12" s="1"/>
  <c r="L29" i="12" s="1"/>
  <c r="J27" i="12"/>
  <c r="I27" i="12"/>
  <c r="H27" i="12"/>
  <c r="M16" i="12"/>
  <c r="L16" i="12"/>
  <c r="L17" i="12" s="1"/>
  <c r="K16" i="12"/>
  <c r="J16" i="12"/>
  <c r="J17" i="12" s="1"/>
  <c r="I16" i="12"/>
  <c r="M5" i="12"/>
  <c r="L5" i="12"/>
  <c r="K5" i="12"/>
  <c r="J5" i="12"/>
  <c r="J7" i="12" s="1"/>
  <c r="M7" i="12" s="1"/>
  <c r="I5" i="12"/>
  <c r="K27" i="13"/>
  <c r="J27" i="13"/>
  <c r="J28" i="13" s="1"/>
  <c r="I27" i="13"/>
  <c r="H27" i="13"/>
  <c r="K16" i="13"/>
  <c r="J16" i="13"/>
  <c r="J18" i="13" s="1"/>
  <c r="K18" i="13" s="1"/>
  <c r="I16" i="13"/>
  <c r="H16" i="13"/>
  <c r="M5" i="13"/>
  <c r="L5" i="13"/>
  <c r="K5" i="13"/>
  <c r="J5" i="13"/>
  <c r="J6" i="13" s="1"/>
  <c r="I5" i="13"/>
  <c r="I7" i="13" s="1"/>
  <c r="B10" i="13"/>
  <c r="B11" i="13"/>
  <c r="B12" i="13"/>
  <c r="B13" i="13"/>
  <c r="B9" i="13"/>
  <c r="M38" i="2"/>
  <c r="L38" i="2"/>
  <c r="L39" i="2" s="1"/>
  <c r="K38" i="2"/>
  <c r="J38" i="2"/>
  <c r="I38" i="2"/>
  <c r="H38" i="2"/>
  <c r="L27" i="2"/>
  <c r="K27" i="2"/>
  <c r="J27" i="2"/>
  <c r="I27" i="2"/>
  <c r="M16" i="2"/>
  <c r="L16" i="2"/>
  <c r="L17" i="2" s="1"/>
  <c r="K16" i="2"/>
  <c r="K17" i="2" s="1"/>
  <c r="J16" i="2"/>
  <c r="J17" i="2" s="1"/>
  <c r="I16" i="2"/>
  <c r="H16" i="2"/>
  <c r="B10" i="2"/>
  <c r="M5" i="2"/>
  <c r="L5" i="2"/>
  <c r="L7" i="2" s="1"/>
  <c r="M7" i="2" s="1"/>
  <c r="K5" i="2"/>
  <c r="I5" i="2"/>
  <c r="H5" i="2"/>
  <c r="L3" i="11"/>
  <c r="L4" i="11"/>
  <c r="L32" i="11"/>
  <c r="L31" i="11"/>
  <c r="L30" i="11"/>
  <c r="L29" i="11"/>
  <c r="L28" i="11"/>
  <c r="L27" i="11"/>
  <c r="L26" i="11"/>
  <c r="L25" i="11"/>
  <c r="L24" i="11"/>
  <c r="L23" i="11"/>
  <c r="L22" i="11"/>
  <c r="L21" i="11"/>
  <c r="L20" i="11"/>
  <c r="L19" i="11"/>
  <c r="L18" i="11"/>
  <c r="L17" i="11"/>
  <c r="L16" i="11"/>
  <c r="L15" i="11"/>
  <c r="L14" i="11"/>
  <c r="L13" i="11"/>
  <c r="L12" i="11"/>
  <c r="L11" i="11"/>
  <c r="L10" i="11"/>
  <c r="L9" i="11"/>
  <c r="L8" i="11"/>
  <c r="L7" i="11"/>
  <c r="L6" i="11"/>
  <c r="L5" i="11"/>
  <c r="D3" i="11"/>
  <c r="L50" i="15"/>
  <c r="AF53" i="15" s="1"/>
  <c r="AG53" i="15" s="1"/>
  <c r="G54" i="15"/>
  <c r="G55" i="15"/>
  <c r="F54" i="15"/>
  <c r="E54" i="15"/>
  <c r="E55" i="15"/>
  <c r="D54" i="15"/>
  <c r="D56" i="15"/>
  <c r="L51" i="15"/>
  <c r="J51" i="15"/>
  <c r="H51" i="15"/>
  <c r="G51" i="15"/>
  <c r="F51" i="15"/>
  <c r="E51" i="15"/>
  <c r="D51" i="15"/>
  <c r="J50" i="15"/>
  <c r="X55" i="15" s="1"/>
  <c r="Y55" i="15" s="1"/>
  <c r="H50" i="15"/>
  <c r="P56" i="15" s="1"/>
  <c r="Q56" i="15" s="1"/>
  <c r="G50" i="15"/>
  <c r="F50" i="15"/>
  <c r="E50" i="15"/>
  <c r="D50" i="15"/>
  <c r="H39" i="15"/>
  <c r="P39" i="15" s="1"/>
  <c r="Q39" i="15" s="1"/>
  <c r="G43" i="15"/>
  <c r="G45" i="15"/>
  <c r="I39" i="15"/>
  <c r="T41" i="15" s="1"/>
  <c r="U41" i="15" s="1"/>
  <c r="F43" i="15"/>
  <c r="F45" i="15"/>
  <c r="E43" i="15"/>
  <c r="E45" i="15"/>
  <c r="D43" i="15"/>
  <c r="D45" i="15"/>
  <c r="I40" i="15"/>
  <c r="H40" i="15"/>
  <c r="D40" i="15"/>
  <c r="E40" i="15"/>
  <c r="F40" i="15"/>
  <c r="G40" i="15"/>
  <c r="G39" i="15"/>
  <c r="F39" i="15"/>
  <c r="E39" i="15"/>
  <c r="D39" i="15"/>
  <c r="L28" i="15"/>
  <c r="AF35" i="15" s="1"/>
  <c r="AG35" i="15" s="1"/>
  <c r="I28" i="15"/>
  <c r="T35" i="15"/>
  <c r="U35" i="15"/>
  <c r="F32" i="15"/>
  <c r="F34" i="15"/>
  <c r="E32" i="15"/>
  <c r="E33" i="15"/>
  <c r="D32" i="15"/>
  <c r="D33" i="15"/>
  <c r="G32" i="15"/>
  <c r="G33" i="15"/>
  <c r="L29" i="15"/>
  <c r="K29" i="15"/>
  <c r="I29" i="15"/>
  <c r="G29" i="15"/>
  <c r="F29" i="15"/>
  <c r="E29" i="15"/>
  <c r="D29" i="15"/>
  <c r="K28" i="15"/>
  <c r="AB29" i="15" s="1"/>
  <c r="AC29" i="15" s="1"/>
  <c r="G28" i="15"/>
  <c r="F28" i="15"/>
  <c r="E28" i="15"/>
  <c r="D28" i="15"/>
  <c r="I17" i="15"/>
  <c r="T24" i="15" s="1"/>
  <c r="U24" i="15" s="1"/>
  <c r="H17" i="15"/>
  <c r="P24" i="15"/>
  <c r="Q24" i="15"/>
  <c r="J17" i="15"/>
  <c r="X21" i="15"/>
  <c r="Y21" i="15" s="1"/>
  <c r="G21" i="15"/>
  <c r="G23" i="15"/>
  <c r="F21" i="15"/>
  <c r="F23" i="15"/>
  <c r="E21" i="15"/>
  <c r="E23" i="15"/>
  <c r="D21" i="15"/>
  <c r="D23" i="15"/>
  <c r="L18" i="15"/>
  <c r="J18" i="15"/>
  <c r="I18" i="15"/>
  <c r="H18" i="15"/>
  <c r="G18" i="15"/>
  <c r="F18" i="15"/>
  <c r="E18" i="15"/>
  <c r="D18" i="15"/>
  <c r="L17" i="15"/>
  <c r="AF17" i="15" s="1"/>
  <c r="AG17" i="15" s="1"/>
  <c r="G17" i="15"/>
  <c r="F17" i="15"/>
  <c r="E17" i="15"/>
  <c r="D17" i="15"/>
  <c r="J6" i="15"/>
  <c r="X12" i="15"/>
  <c r="Y12" i="15" s="1"/>
  <c r="K6" i="15"/>
  <c r="AB13" i="15"/>
  <c r="AC13" i="15" s="1"/>
  <c r="L6" i="15"/>
  <c r="AF8" i="15" s="1"/>
  <c r="AG8" i="15" s="1"/>
  <c r="H6" i="15"/>
  <c r="P10" i="15"/>
  <c r="Q10" i="15" s="1"/>
  <c r="G10" i="15"/>
  <c r="G11" i="15"/>
  <c r="F10" i="15"/>
  <c r="F11" i="15"/>
  <c r="E10" i="15"/>
  <c r="E12" i="15"/>
  <c r="D10" i="15"/>
  <c r="D12" i="15"/>
  <c r="L7" i="15"/>
  <c r="K7" i="15"/>
  <c r="J7" i="15"/>
  <c r="H7" i="15"/>
  <c r="G7" i="15"/>
  <c r="F7" i="15"/>
  <c r="E7" i="15"/>
  <c r="D7" i="15"/>
  <c r="G6" i="15"/>
  <c r="F6" i="15"/>
  <c r="E6" i="15"/>
  <c r="D6" i="15"/>
  <c r="E56" i="15"/>
  <c r="G56" i="15"/>
  <c r="X19" i="15"/>
  <c r="Y19" i="15" s="1"/>
  <c r="X6" i="15"/>
  <c r="Y6" i="15"/>
  <c r="F44" i="15"/>
  <c r="X20" i="15"/>
  <c r="Y20" i="15" s="1"/>
  <c r="P50" i="15"/>
  <c r="Q50" i="15" s="1"/>
  <c r="P53" i="15"/>
  <c r="Q53" i="15" s="1"/>
  <c r="P51" i="15"/>
  <c r="Q51" i="15" s="1"/>
  <c r="F76" i="12"/>
  <c r="H72" i="12"/>
  <c r="P74" i="12"/>
  <c r="Q74" i="12" s="1"/>
  <c r="G76" i="12"/>
  <c r="G78" i="12"/>
  <c r="E76" i="12"/>
  <c r="E78" i="12"/>
  <c r="D76" i="12"/>
  <c r="D77" i="12"/>
  <c r="H73" i="12"/>
  <c r="G73" i="12"/>
  <c r="F73" i="12"/>
  <c r="D73" i="12"/>
  <c r="E73" i="12"/>
  <c r="G72" i="12"/>
  <c r="F72" i="12"/>
  <c r="E72" i="12"/>
  <c r="D72" i="12"/>
  <c r="G65" i="12"/>
  <c r="G66" i="12"/>
  <c r="F65" i="12"/>
  <c r="F66" i="12"/>
  <c r="E65" i="12"/>
  <c r="E66" i="12"/>
  <c r="D65" i="12"/>
  <c r="D67" i="12"/>
  <c r="H62" i="12"/>
  <c r="G62" i="12"/>
  <c r="F62" i="12"/>
  <c r="E62" i="12"/>
  <c r="D62" i="12"/>
  <c r="H61" i="12"/>
  <c r="P67" i="12"/>
  <c r="Q67" i="12" s="1"/>
  <c r="G61" i="12"/>
  <c r="F61" i="12"/>
  <c r="E61" i="12"/>
  <c r="D61" i="12"/>
  <c r="H50" i="12"/>
  <c r="P53" i="12" s="1"/>
  <c r="Q53" i="12" s="1"/>
  <c r="D54" i="12"/>
  <c r="D55" i="12"/>
  <c r="G54" i="12"/>
  <c r="G56" i="12"/>
  <c r="F54" i="12"/>
  <c r="E54" i="12"/>
  <c r="E55" i="12"/>
  <c r="E56" i="12"/>
  <c r="H51" i="12"/>
  <c r="G51" i="12"/>
  <c r="F51" i="12"/>
  <c r="E51" i="12"/>
  <c r="D51" i="12"/>
  <c r="G50" i="12"/>
  <c r="F50" i="12"/>
  <c r="E50" i="12"/>
  <c r="D50" i="12"/>
  <c r="G43" i="12"/>
  <c r="F43" i="12"/>
  <c r="F45" i="12"/>
  <c r="E43" i="12"/>
  <c r="E44" i="12"/>
  <c r="D43" i="12"/>
  <c r="D45" i="12"/>
  <c r="G40" i="12"/>
  <c r="F40" i="12"/>
  <c r="E40" i="12"/>
  <c r="D40" i="12"/>
  <c r="H39" i="12"/>
  <c r="P42" i="12" s="1"/>
  <c r="Q42" i="12" s="1"/>
  <c r="G39" i="12"/>
  <c r="F39" i="12"/>
  <c r="E39" i="12"/>
  <c r="D39" i="12"/>
  <c r="E32" i="12"/>
  <c r="E34" i="12"/>
  <c r="F32" i="12"/>
  <c r="K28" i="12"/>
  <c r="AB32" i="12" s="1"/>
  <c r="AC32" i="12" s="1"/>
  <c r="G32" i="12"/>
  <c r="D32" i="12"/>
  <c r="D33" i="12"/>
  <c r="J29" i="12"/>
  <c r="I29" i="12"/>
  <c r="H29" i="12"/>
  <c r="G29" i="12"/>
  <c r="F29" i="12"/>
  <c r="E29" i="12"/>
  <c r="D29" i="12"/>
  <c r="AB28" i="12"/>
  <c r="AC28" i="12" s="1"/>
  <c r="J28" i="12"/>
  <c r="X30" i="12"/>
  <c r="Y30" i="12" s="1"/>
  <c r="I28" i="12"/>
  <c r="T31" i="12" s="1"/>
  <c r="U31" i="12" s="1"/>
  <c r="H28" i="12"/>
  <c r="P31" i="12" s="1"/>
  <c r="Q31" i="12" s="1"/>
  <c r="G28" i="12"/>
  <c r="F28" i="12"/>
  <c r="E28" i="12"/>
  <c r="D28" i="12"/>
  <c r="K17" i="12"/>
  <c r="AB19" i="12" s="1"/>
  <c r="AC19" i="12" s="1"/>
  <c r="G21" i="12"/>
  <c r="F21" i="12"/>
  <c r="E21" i="12"/>
  <c r="E22" i="12"/>
  <c r="D21" i="12"/>
  <c r="D23" i="12"/>
  <c r="K18" i="12"/>
  <c r="J18" i="12"/>
  <c r="I18" i="12"/>
  <c r="H18" i="12"/>
  <c r="G18" i="12"/>
  <c r="F18" i="12"/>
  <c r="E18" i="12"/>
  <c r="D18" i="12"/>
  <c r="I17" i="12"/>
  <c r="T22" i="12" s="1"/>
  <c r="U22" i="12" s="1"/>
  <c r="H17" i="12"/>
  <c r="P22" i="12" s="1"/>
  <c r="Q22" i="12" s="1"/>
  <c r="G17" i="12"/>
  <c r="F17" i="12"/>
  <c r="E17" i="12"/>
  <c r="D17" i="12"/>
  <c r="K6" i="12"/>
  <c r="AB10" i="12" s="1"/>
  <c r="AC10" i="12" s="1"/>
  <c r="H6" i="12"/>
  <c r="P12" i="12" s="1"/>
  <c r="Q12" i="12" s="1"/>
  <c r="G10" i="12"/>
  <c r="G11" i="12"/>
  <c r="F10" i="12"/>
  <c r="E10" i="12"/>
  <c r="E11" i="12"/>
  <c r="D10" i="12"/>
  <c r="D11" i="12"/>
  <c r="L7" i="12"/>
  <c r="K7" i="12"/>
  <c r="I7" i="12"/>
  <c r="H7" i="12"/>
  <c r="G7" i="12"/>
  <c r="F7" i="12"/>
  <c r="E7" i="12"/>
  <c r="D7" i="12"/>
  <c r="L6" i="12"/>
  <c r="AF11" i="12"/>
  <c r="AG11" i="12" s="1"/>
  <c r="J6" i="12"/>
  <c r="X12" i="12" s="1"/>
  <c r="Y12" i="12" s="1"/>
  <c r="I6" i="12"/>
  <c r="T10" i="12" s="1"/>
  <c r="U10" i="12" s="1"/>
  <c r="G6" i="12"/>
  <c r="F6" i="12"/>
  <c r="E6" i="12"/>
  <c r="D6" i="12"/>
  <c r="I28" i="13"/>
  <c r="T34" i="13"/>
  <c r="U34" i="13" s="1"/>
  <c r="F32" i="13"/>
  <c r="G32" i="13"/>
  <c r="E32" i="13"/>
  <c r="E34" i="13"/>
  <c r="E33" i="13"/>
  <c r="D32" i="13"/>
  <c r="D33" i="13"/>
  <c r="J29" i="13"/>
  <c r="K29" i="13" s="1"/>
  <c r="I29" i="13"/>
  <c r="H29" i="13"/>
  <c r="G29" i="13"/>
  <c r="F29" i="13"/>
  <c r="D29" i="13"/>
  <c r="E29" i="13"/>
  <c r="H28" i="13"/>
  <c r="P35" i="13" s="1"/>
  <c r="Q35" i="13" s="1"/>
  <c r="G28" i="13"/>
  <c r="F28" i="13"/>
  <c r="E28" i="13"/>
  <c r="D28" i="13"/>
  <c r="E21" i="13"/>
  <c r="G21" i="13"/>
  <c r="G23" i="13"/>
  <c r="F21" i="13"/>
  <c r="D21" i="13"/>
  <c r="D22" i="13"/>
  <c r="D23" i="13"/>
  <c r="I18" i="13"/>
  <c r="H18" i="13"/>
  <c r="G18" i="13"/>
  <c r="F18" i="13"/>
  <c r="D18" i="13"/>
  <c r="E18" i="13"/>
  <c r="I17" i="13"/>
  <c r="T23" i="13" s="1"/>
  <c r="U23" i="13" s="1"/>
  <c r="H17" i="13"/>
  <c r="P23" i="13"/>
  <c r="Q23" i="13"/>
  <c r="G17" i="13"/>
  <c r="F17" i="13"/>
  <c r="E17" i="13"/>
  <c r="D17" i="13"/>
  <c r="G10" i="13"/>
  <c r="G11" i="13"/>
  <c r="F10" i="13"/>
  <c r="F11" i="13"/>
  <c r="E10" i="13"/>
  <c r="D10" i="13"/>
  <c r="D11" i="13"/>
  <c r="L7" i="13"/>
  <c r="K7" i="13"/>
  <c r="H7" i="13"/>
  <c r="G7" i="13"/>
  <c r="F7" i="13"/>
  <c r="E7" i="13"/>
  <c r="D7" i="13"/>
  <c r="L6" i="13"/>
  <c r="AF9" i="13" s="1"/>
  <c r="AG9" i="13" s="1"/>
  <c r="K6" i="13"/>
  <c r="AB7" i="13" s="1"/>
  <c r="AC7" i="13" s="1"/>
  <c r="H6" i="13"/>
  <c r="P12" i="13"/>
  <c r="Q12" i="13"/>
  <c r="G6" i="13"/>
  <c r="F6" i="13"/>
  <c r="E6" i="13"/>
  <c r="D6" i="13"/>
  <c r="G67" i="12"/>
  <c r="G34" i="12"/>
  <c r="G33" i="12"/>
  <c r="D22" i="12"/>
  <c r="D55" i="11"/>
  <c r="F55" i="11" s="1"/>
  <c r="D54" i="11"/>
  <c r="F54" i="11" s="1"/>
  <c r="D53" i="11"/>
  <c r="F53" i="11" s="1"/>
  <c r="D52" i="11"/>
  <c r="F52" i="11" s="1"/>
  <c r="D51" i="11"/>
  <c r="F51" i="11" s="1"/>
  <c r="D50" i="11"/>
  <c r="F50" i="11" s="1"/>
  <c r="D49" i="11"/>
  <c r="F49" i="11" s="1"/>
  <c r="D48" i="11"/>
  <c r="F48" i="11" s="1"/>
  <c r="D47" i="11"/>
  <c r="F47" i="11" s="1"/>
  <c r="D46" i="11"/>
  <c r="F46" i="11" s="1"/>
  <c r="D45" i="11"/>
  <c r="F45" i="11" s="1"/>
  <c r="D44" i="11"/>
  <c r="F44" i="11" s="1"/>
  <c r="D43" i="11"/>
  <c r="F43" i="11" s="1"/>
  <c r="D42" i="11"/>
  <c r="F42" i="11" s="1"/>
  <c r="D41" i="11"/>
  <c r="F41" i="11" s="1"/>
  <c r="D40" i="11"/>
  <c r="F40" i="11" s="1"/>
  <c r="D39" i="11"/>
  <c r="F39" i="11" s="1"/>
  <c r="D38" i="11"/>
  <c r="F38" i="11" s="1"/>
  <c r="D37" i="11"/>
  <c r="F37" i="11" s="1"/>
  <c r="D36" i="11"/>
  <c r="F36" i="11" s="1"/>
  <c r="D35" i="11"/>
  <c r="F35" i="11"/>
  <c r="D34" i="11"/>
  <c r="F34" i="11" s="1"/>
  <c r="D33" i="11"/>
  <c r="F33" i="11" s="1"/>
  <c r="D32" i="11"/>
  <c r="F32" i="11" s="1"/>
  <c r="D31" i="11"/>
  <c r="F31" i="11" s="1"/>
  <c r="D30" i="11"/>
  <c r="D29" i="11"/>
  <c r="D28" i="11"/>
  <c r="D27" i="11"/>
  <c r="D26" i="11"/>
  <c r="D25" i="11"/>
  <c r="D24" i="11"/>
  <c r="D23" i="11"/>
  <c r="D22" i="11"/>
  <c r="D21" i="11"/>
  <c r="D20" i="11"/>
  <c r="F20" i="11" s="1"/>
  <c r="D19" i="11"/>
  <c r="D18" i="11"/>
  <c r="D17" i="11"/>
  <c r="D16" i="11"/>
  <c r="D15" i="11"/>
  <c r="D14" i="11"/>
  <c r="F14" i="11" s="1"/>
  <c r="D13" i="11"/>
  <c r="D12" i="11"/>
  <c r="F12" i="11" s="1"/>
  <c r="D11" i="11"/>
  <c r="D10" i="11"/>
  <c r="D9" i="11"/>
  <c r="D8" i="11"/>
  <c r="D7" i="11"/>
  <c r="D6" i="11"/>
  <c r="D5" i="11"/>
  <c r="D4" i="11"/>
  <c r="B33" i="11"/>
  <c r="B34" i="11"/>
  <c r="B37" i="11"/>
  <c r="B38" i="11"/>
  <c r="B41" i="11"/>
  <c r="B42" i="11"/>
  <c r="B45" i="11"/>
  <c r="B46" i="11"/>
  <c r="B49" i="11"/>
  <c r="B50" i="11"/>
  <c r="B53" i="11"/>
  <c r="B54" i="11"/>
  <c r="B29" i="11"/>
  <c r="F29" i="11" s="1"/>
  <c r="B27" i="11"/>
  <c r="B25" i="11"/>
  <c r="F25" i="11" s="1"/>
  <c r="B23" i="11"/>
  <c r="F23" i="11" s="1"/>
  <c r="B21" i="11"/>
  <c r="B19" i="11"/>
  <c r="B17" i="11"/>
  <c r="B15" i="11"/>
  <c r="B13" i="11"/>
  <c r="F13" i="11" s="1"/>
  <c r="B11" i="11"/>
  <c r="F11" i="11" s="1"/>
  <c r="B9" i="11"/>
  <c r="B7" i="11"/>
  <c r="B5" i="11"/>
  <c r="F3" i="11"/>
  <c r="B6" i="11"/>
  <c r="B8" i="11"/>
  <c r="B10" i="11"/>
  <c r="B12" i="11"/>
  <c r="B14" i="11"/>
  <c r="B16" i="11"/>
  <c r="B18" i="11"/>
  <c r="B20" i="11"/>
  <c r="B22" i="11"/>
  <c r="B24" i="11"/>
  <c r="B26" i="11"/>
  <c r="B28" i="11"/>
  <c r="B30" i="11"/>
  <c r="B31" i="11"/>
  <c r="B32" i="11"/>
  <c r="B35" i="11"/>
  <c r="B36" i="11"/>
  <c r="B39" i="11"/>
  <c r="B40" i="11"/>
  <c r="B43" i="11"/>
  <c r="B44" i="11"/>
  <c r="B47" i="11"/>
  <c r="B48" i="11"/>
  <c r="B51" i="11"/>
  <c r="B52" i="11"/>
  <c r="B55" i="11"/>
  <c r="B4" i="11"/>
  <c r="I39" i="4"/>
  <c r="T45" i="4" s="1"/>
  <c r="U45" i="4" s="1"/>
  <c r="G43" i="4"/>
  <c r="G45" i="4"/>
  <c r="F43" i="4"/>
  <c r="E43" i="4"/>
  <c r="E44" i="4"/>
  <c r="D43" i="4"/>
  <c r="D45" i="4"/>
  <c r="J40" i="4"/>
  <c r="I40" i="4"/>
  <c r="H40" i="4"/>
  <c r="K40" i="4" s="1"/>
  <c r="G40" i="4"/>
  <c r="F40" i="4"/>
  <c r="E40" i="4"/>
  <c r="D40" i="4"/>
  <c r="J39" i="4"/>
  <c r="X44" i="4" s="1"/>
  <c r="Y44" i="4" s="1"/>
  <c r="H39" i="4"/>
  <c r="P45" i="4"/>
  <c r="Q45" i="4"/>
  <c r="G39" i="4"/>
  <c r="F39" i="4"/>
  <c r="E39" i="4"/>
  <c r="D39" i="4"/>
  <c r="G21" i="10"/>
  <c r="G22" i="10"/>
  <c r="G23" i="10"/>
  <c r="F21" i="10"/>
  <c r="F22" i="10"/>
  <c r="F23" i="10"/>
  <c r="E21" i="10"/>
  <c r="D21" i="10"/>
  <c r="I18" i="10"/>
  <c r="H18" i="10"/>
  <c r="G18" i="10"/>
  <c r="F18" i="10"/>
  <c r="E18" i="10"/>
  <c r="D18" i="10"/>
  <c r="I17" i="10"/>
  <c r="T17" i="10"/>
  <c r="U17" i="10"/>
  <c r="H17" i="10"/>
  <c r="P19" i="10"/>
  <c r="Q19" i="10"/>
  <c r="G17" i="10"/>
  <c r="F17" i="10"/>
  <c r="E17" i="10"/>
  <c r="D17" i="10"/>
  <c r="G10" i="10"/>
  <c r="G11" i="10"/>
  <c r="F10" i="10"/>
  <c r="F11" i="10"/>
  <c r="E10" i="10"/>
  <c r="D10" i="10"/>
  <c r="K7" i="10"/>
  <c r="J7" i="10"/>
  <c r="G7" i="10"/>
  <c r="F7" i="10"/>
  <c r="E7" i="10"/>
  <c r="D7" i="10"/>
  <c r="K6" i="10"/>
  <c r="AB6" i="10" s="1"/>
  <c r="AC6" i="10" s="1"/>
  <c r="J6" i="10"/>
  <c r="X9" i="10" s="1"/>
  <c r="Y9" i="10" s="1"/>
  <c r="G6" i="10"/>
  <c r="F6" i="10"/>
  <c r="E6" i="10"/>
  <c r="D6" i="10"/>
  <c r="F12" i="10"/>
  <c r="T19" i="10"/>
  <c r="U19" i="10"/>
  <c r="I50" i="7"/>
  <c r="T52" i="7" s="1"/>
  <c r="U52" i="7" s="1"/>
  <c r="I28" i="7"/>
  <c r="T32" i="7" s="1"/>
  <c r="U32" i="7" s="1"/>
  <c r="J28" i="7"/>
  <c r="X34" i="7" s="1"/>
  <c r="Y34" i="7" s="1"/>
  <c r="G54" i="7"/>
  <c r="G56" i="7"/>
  <c r="F54" i="7"/>
  <c r="F55" i="7"/>
  <c r="E54" i="7"/>
  <c r="E55" i="7"/>
  <c r="D54" i="7"/>
  <c r="D56" i="7"/>
  <c r="D55" i="7"/>
  <c r="L51" i="7"/>
  <c r="K51" i="7"/>
  <c r="J51" i="7"/>
  <c r="I51" i="7"/>
  <c r="G51" i="7"/>
  <c r="F51" i="7"/>
  <c r="E51" i="7"/>
  <c r="D51" i="7"/>
  <c r="L50" i="7"/>
  <c r="AF50" i="7" s="1"/>
  <c r="AG50" i="7" s="1"/>
  <c r="K50" i="7"/>
  <c r="AB54" i="7" s="1"/>
  <c r="AC54" i="7" s="1"/>
  <c r="J50" i="7"/>
  <c r="X51" i="7" s="1"/>
  <c r="Y51" i="7" s="1"/>
  <c r="G50" i="7"/>
  <c r="F50" i="7"/>
  <c r="E50" i="7"/>
  <c r="D50" i="7"/>
  <c r="D40" i="7"/>
  <c r="E40" i="7"/>
  <c r="F40" i="7"/>
  <c r="G40" i="7"/>
  <c r="H40" i="7"/>
  <c r="I40" i="7"/>
  <c r="L28" i="7"/>
  <c r="AF35" i="7"/>
  <c r="AG35" i="7"/>
  <c r="F32" i="7"/>
  <c r="F33" i="7"/>
  <c r="G32" i="7"/>
  <c r="E32" i="7"/>
  <c r="E33" i="7"/>
  <c r="D32" i="7"/>
  <c r="D34" i="7"/>
  <c r="L29" i="7"/>
  <c r="J29" i="7"/>
  <c r="I29" i="7"/>
  <c r="H29" i="7"/>
  <c r="G29" i="7"/>
  <c r="F29" i="7"/>
  <c r="E29" i="7"/>
  <c r="D29" i="7"/>
  <c r="H28" i="7"/>
  <c r="P29" i="7" s="1"/>
  <c r="Q29" i="7" s="1"/>
  <c r="G28" i="7"/>
  <c r="F28" i="7"/>
  <c r="E28" i="7"/>
  <c r="D28" i="7"/>
  <c r="D43" i="7"/>
  <c r="D44" i="7"/>
  <c r="G43" i="7"/>
  <c r="G45" i="7"/>
  <c r="F43" i="7"/>
  <c r="F44" i="7"/>
  <c r="E43" i="7"/>
  <c r="E44" i="7"/>
  <c r="I39" i="7"/>
  <c r="T45" i="7" s="1"/>
  <c r="U45" i="7" s="1"/>
  <c r="T39" i="7"/>
  <c r="U39" i="7" s="1"/>
  <c r="H39" i="7"/>
  <c r="P45" i="7" s="1"/>
  <c r="Q45" i="7" s="1"/>
  <c r="G39" i="7"/>
  <c r="F39" i="7"/>
  <c r="E39" i="7"/>
  <c r="D39" i="7"/>
  <c r="L17" i="7"/>
  <c r="AF18" i="7" s="1"/>
  <c r="AG18" i="7" s="1"/>
  <c r="F21" i="7"/>
  <c r="F22" i="7"/>
  <c r="F23" i="7"/>
  <c r="G21" i="7"/>
  <c r="G23" i="7"/>
  <c r="E21" i="7"/>
  <c r="E23" i="7"/>
  <c r="D21" i="7"/>
  <c r="D22" i="7"/>
  <c r="L18" i="7"/>
  <c r="J18" i="7"/>
  <c r="H18" i="7"/>
  <c r="G18" i="7"/>
  <c r="F18" i="7"/>
  <c r="E18" i="7"/>
  <c r="D18" i="7"/>
  <c r="J17" i="7"/>
  <c r="X19" i="7" s="1"/>
  <c r="Y19" i="7" s="1"/>
  <c r="I17" i="7"/>
  <c r="T18" i="7" s="1"/>
  <c r="U18" i="7" s="1"/>
  <c r="H17" i="7"/>
  <c r="P22" i="7" s="1"/>
  <c r="Q22" i="7" s="1"/>
  <c r="G17" i="7"/>
  <c r="F17" i="7"/>
  <c r="E17" i="7"/>
  <c r="D17" i="7"/>
  <c r="G10" i="7"/>
  <c r="G11" i="7"/>
  <c r="G12" i="7"/>
  <c r="F10" i="7"/>
  <c r="F12" i="7"/>
  <c r="E10" i="7"/>
  <c r="E12" i="7"/>
  <c r="D10" i="7"/>
  <c r="D12" i="7"/>
  <c r="L7" i="7"/>
  <c r="K7" i="7"/>
  <c r="H7" i="7"/>
  <c r="G7" i="7"/>
  <c r="F7" i="7"/>
  <c r="E7" i="7"/>
  <c r="D7" i="7"/>
  <c r="L6" i="7"/>
  <c r="AF10" i="7" s="1"/>
  <c r="AG10" i="7" s="1"/>
  <c r="K6" i="7"/>
  <c r="AB10" i="7"/>
  <c r="AC10" i="7" s="1"/>
  <c r="H6" i="7"/>
  <c r="P6" i="7" s="1"/>
  <c r="Q6" i="7" s="1"/>
  <c r="G6" i="7"/>
  <c r="F6" i="7"/>
  <c r="E6" i="7"/>
  <c r="D6" i="7"/>
  <c r="E34" i="7"/>
  <c r="F11" i="7"/>
  <c r="I6" i="2"/>
  <c r="T10" i="2"/>
  <c r="U10" i="2" s="1"/>
  <c r="J17" i="4"/>
  <c r="X19" i="4" s="1"/>
  <c r="Y19" i="4" s="1"/>
  <c r="K39" i="2"/>
  <c r="AB45" i="2" s="1"/>
  <c r="AC45" i="2" s="1"/>
  <c r="I28" i="2"/>
  <c r="T32" i="2" s="1"/>
  <c r="U32" i="2" s="1"/>
  <c r="H6" i="2"/>
  <c r="P11" i="2" s="1"/>
  <c r="Q11" i="2" s="1"/>
  <c r="G32" i="4"/>
  <c r="G34" i="4"/>
  <c r="F32" i="4"/>
  <c r="E32" i="4"/>
  <c r="E34" i="4"/>
  <c r="D32" i="4"/>
  <c r="D34" i="4"/>
  <c r="G29" i="4"/>
  <c r="F29" i="4"/>
  <c r="E29" i="4"/>
  <c r="D29" i="4"/>
  <c r="I28" i="4"/>
  <c r="T29" i="4" s="1"/>
  <c r="U29" i="4" s="1"/>
  <c r="G28" i="4"/>
  <c r="F28" i="4"/>
  <c r="E28" i="4"/>
  <c r="D28" i="4"/>
  <c r="G21" i="4"/>
  <c r="G22" i="4"/>
  <c r="F21" i="4"/>
  <c r="F23" i="4"/>
  <c r="F22" i="4"/>
  <c r="E21" i="4"/>
  <c r="E23" i="4"/>
  <c r="D21" i="4"/>
  <c r="L18" i="4"/>
  <c r="K18" i="4"/>
  <c r="J18" i="4"/>
  <c r="I18" i="4"/>
  <c r="H18" i="4"/>
  <c r="G18" i="4"/>
  <c r="F18" i="4"/>
  <c r="E18" i="4"/>
  <c r="D18" i="4"/>
  <c r="L17" i="4"/>
  <c r="AF23" i="4" s="1"/>
  <c r="AG23" i="4" s="1"/>
  <c r="K17" i="4"/>
  <c r="AB19" i="4" s="1"/>
  <c r="AC19" i="4" s="1"/>
  <c r="I17" i="4"/>
  <c r="T23" i="4" s="1"/>
  <c r="U23" i="4" s="1"/>
  <c r="T24" i="4"/>
  <c r="U24" i="4"/>
  <c r="H17" i="4"/>
  <c r="P21" i="4" s="1"/>
  <c r="Q21" i="4" s="1"/>
  <c r="G17" i="4"/>
  <c r="F17" i="4"/>
  <c r="E17" i="4"/>
  <c r="D17" i="4"/>
  <c r="E10" i="4"/>
  <c r="E11" i="4"/>
  <c r="G10" i="4"/>
  <c r="G11" i="4"/>
  <c r="F10" i="4"/>
  <c r="F11" i="4"/>
  <c r="F12" i="4"/>
  <c r="D10" i="4"/>
  <c r="D12" i="4"/>
  <c r="L7" i="4"/>
  <c r="K7" i="4"/>
  <c r="J7" i="4"/>
  <c r="H7" i="4"/>
  <c r="G7" i="4"/>
  <c r="F7" i="4"/>
  <c r="E7" i="4"/>
  <c r="D7" i="4"/>
  <c r="L6" i="4"/>
  <c r="AF7" i="4" s="1"/>
  <c r="AG7" i="4" s="1"/>
  <c r="AF12" i="4"/>
  <c r="AG12" i="4" s="1"/>
  <c r="K6" i="4"/>
  <c r="AB12" i="4"/>
  <c r="AC12" i="4" s="1"/>
  <c r="J6" i="4"/>
  <c r="X13" i="4"/>
  <c r="Y13" i="4" s="1"/>
  <c r="H6" i="4"/>
  <c r="P13" i="4" s="1"/>
  <c r="Q13" i="4" s="1"/>
  <c r="P12" i="4"/>
  <c r="Q12" i="4" s="1"/>
  <c r="G6" i="4"/>
  <c r="F6" i="4"/>
  <c r="E6" i="4"/>
  <c r="D6" i="4"/>
  <c r="AB17" i="4"/>
  <c r="AC17" i="4" s="1"/>
  <c r="E22" i="4"/>
  <c r="AB18" i="4"/>
  <c r="AC18" i="4"/>
  <c r="G43" i="2"/>
  <c r="G44" i="2"/>
  <c r="F43" i="2"/>
  <c r="F44" i="2"/>
  <c r="E43" i="2"/>
  <c r="E45" i="2"/>
  <c r="D43" i="2"/>
  <c r="D45" i="2"/>
  <c r="L40" i="2"/>
  <c r="K40" i="2"/>
  <c r="J40" i="2"/>
  <c r="M40" i="2" s="1"/>
  <c r="I40" i="2"/>
  <c r="H40" i="2"/>
  <c r="G40" i="2"/>
  <c r="F40" i="2"/>
  <c r="D40" i="2"/>
  <c r="E40" i="2"/>
  <c r="J39" i="2"/>
  <c r="X40" i="2" s="1"/>
  <c r="Y40" i="2" s="1"/>
  <c r="I39" i="2"/>
  <c r="T44" i="2" s="1"/>
  <c r="U44" i="2" s="1"/>
  <c r="T39" i="2"/>
  <c r="U39" i="2"/>
  <c r="H39" i="2"/>
  <c r="P45" i="2" s="1"/>
  <c r="Q45" i="2" s="1"/>
  <c r="G39" i="2"/>
  <c r="F39" i="2"/>
  <c r="E39" i="2"/>
  <c r="D39" i="2"/>
  <c r="D32" i="2"/>
  <c r="D34" i="2"/>
  <c r="E32" i="2"/>
  <c r="E33" i="2"/>
  <c r="F32" i="2"/>
  <c r="F34" i="2"/>
  <c r="G32" i="2"/>
  <c r="G33" i="2"/>
  <c r="I29" i="2"/>
  <c r="D29" i="2"/>
  <c r="E29" i="2"/>
  <c r="F29" i="2"/>
  <c r="G29" i="2"/>
  <c r="J29" i="2"/>
  <c r="K29" i="2"/>
  <c r="D21" i="2"/>
  <c r="D22" i="2"/>
  <c r="E21" i="2"/>
  <c r="E23" i="2"/>
  <c r="F21" i="2"/>
  <c r="F22" i="2"/>
  <c r="G21" i="2"/>
  <c r="G22" i="2"/>
  <c r="D18" i="2"/>
  <c r="E18" i="2"/>
  <c r="F18" i="2"/>
  <c r="G18" i="2"/>
  <c r="H18" i="2"/>
  <c r="I18" i="2"/>
  <c r="J18" i="2"/>
  <c r="D10" i="2"/>
  <c r="D12" i="2"/>
  <c r="E10" i="2"/>
  <c r="E11" i="2"/>
  <c r="F10" i="2"/>
  <c r="F12" i="2"/>
  <c r="G10" i="2"/>
  <c r="G12" i="2"/>
  <c r="I7" i="2"/>
  <c r="D7" i="2"/>
  <c r="E7" i="2"/>
  <c r="F7" i="2"/>
  <c r="G7" i="2"/>
  <c r="H7" i="2"/>
  <c r="J7" i="2"/>
  <c r="K7" i="2"/>
  <c r="E28" i="2"/>
  <c r="F28" i="2"/>
  <c r="G28" i="2"/>
  <c r="H28" i="2"/>
  <c r="P34" i="2" s="1"/>
  <c r="Q34" i="2" s="1"/>
  <c r="J28" i="2"/>
  <c r="X31" i="2" s="1"/>
  <c r="Y31" i="2" s="1"/>
  <c r="K28" i="2"/>
  <c r="AB30" i="2" s="1"/>
  <c r="AC30" i="2" s="1"/>
  <c r="D28" i="2"/>
  <c r="E17" i="2"/>
  <c r="F17" i="2"/>
  <c r="G17" i="2"/>
  <c r="H17" i="2"/>
  <c r="P21" i="2"/>
  <c r="Q21" i="2" s="1"/>
  <c r="I17" i="2"/>
  <c r="T21" i="2"/>
  <c r="U21" i="2" s="1"/>
  <c r="D17" i="2"/>
  <c r="G6" i="2"/>
  <c r="J6" i="2"/>
  <c r="X10" i="2" s="1"/>
  <c r="Y10" i="2" s="1"/>
  <c r="K6" i="2"/>
  <c r="AB12" i="2" s="1"/>
  <c r="AC12" i="2" s="1"/>
  <c r="L6" i="2"/>
  <c r="AF12" i="2" s="1"/>
  <c r="AG12" i="2" s="1"/>
  <c r="AF7" i="2"/>
  <c r="AG7" i="2"/>
  <c r="D6" i="2"/>
  <c r="E6" i="2"/>
  <c r="F6" i="2"/>
  <c r="D33" i="2"/>
  <c r="D44" i="2"/>
  <c r="AB24" i="4"/>
  <c r="AC24" i="4" s="1"/>
  <c r="AB22" i="4"/>
  <c r="AC22" i="4"/>
  <c r="G33" i="4"/>
  <c r="F33" i="4"/>
  <c r="F34" i="4"/>
  <c r="X28" i="7"/>
  <c r="Y28" i="7"/>
  <c r="J33" i="7" s="1"/>
  <c r="J32" i="7" s="1"/>
  <c r="J34" i="7" s="1"/>
  <c r="E34" i="2"/>
  <c r="F56" i="7"/>
  <c r="E22" i="7"/>
  <c r="X32" i="7"/>
  <c r="Y32" i="7" s="1"/>
  <c r="D45" i="7"/>
  <c r="D23" i="7"/>
  <c r="E44" i="2"/>
  <c r="T57" i="7"/>
  <c r="U57" i="7" s="1"/>
  <c r="AB21" i="4"/>
  <c r="AC21" i="4"/>
  <c r="X21" i="4"/>
  <c r="Y21" i="4" s="1"/>
  <c r="AB22" i="12"/>
  <c r="AC22" i="12" s="1"/>
  <c r="AB23" i="12"/>
  <c r="AC23" i="12" s="1"/>
  <c r="T9" i="12"/>
  <c r="U9" i="12"/>
  <c r="T7" i="12"/>
  <c r="U7" i="12" s="1"/>
  <c r="T13" i="12"/>
  <c r="U13" i="12" s="1"/>
  <c r="E12" i="2"/>
  <c r="G11" i="2"/>
  <c r="D11" i="10"/>
  <c r="D12" i="10"/>
  <c r="F45" i="4"/>
  <c r="F44" i="4"/>
  <c r="E23" i="13"/>
  <c r="E22" i="13"/>
  <c r="G34" i="13"/>
  <c r="G33" i="13"/>
  <c r="D44" i="4"/>
  <c r="F23" i="13"/>
  <c r="F22" i="13"/>
  <c r="E45" i="12"/>
  <c r="F56" i="12"/>
  <c r="F55" i="12"/>
  <c r="F11" i="12"/>
  <c r="F12" i="12"/>
  <c r="G23" i="12"/>
  <c r="G22" i="12"/>
  <c r="E12" i="13"/>
  <c r="E11" i="13"/>
  <c r="P35" i="12"/>
  <c r="Q35" i="12"/>
  <c r="P33" i="12"/>
  <c r="Q33" i="12" s="1"/>
  <c r="F34" i="12"/>
  <c r="F33" i="12"/>
  <c r="P56" i="12"/>
  <c r="Q56" i="12"/>
  <c r="P52" i="12"/>
  <c r="Q52" i="12" s="1"/>
  <c r="P51" i="12"/>
  <c r="Q51" i="12" s="1"/>
  <c r="AF12" i="13"/>
  <c r="AG12" i="13"/>
  <c r="G45" i="12"/>
  <c r="G44" i="12"/>
  <c r="X44" i="2"/>
  <c r="Y44" i="2"/>
  <c r="T42" i="2"/>
  <c r="U42" i="2" s="1"/>
  <c r="T17" i="2"/>
  <c r="U17" i="2" s="1"/>
  <c r="D22" i="4"/>
  <c r="D23" i="4"/>
  <c r="E11" i="10"/>
  <c r="E12" i="10"/>
  <c r="G34" i="7"/>
  <c r="G33" i="7"/>
  <c r="D34" i="13"/>
  <c r="X23" i="4"/>
  <c r="Y23" i="4" s="1"/>
  <c r="T19" i="2"/>
  <c r="U19" i="2" s="1"/>
  <c r="P24" i="2"/>
  <c r="Q24" i="2" s="1"/>
  <c r="T41" i="2"/>
  <c r="U41" i="2" s="1"/>
  <c r="G34" i="2"/>
  <c r="E22" i="2"/>
  <c r="AB23" i="4"/>
  <c r="AC23" i="4"/>
  <c r="AB20" i="4"/>
  <c r="AC20" i="4"/>
  <c r="D23" i="10"/>
  <c r="D22" i="10"/>
  <c r="AF19" i="15"/>
  <c r="AG19" i="15" s="1"/>
  <c r="D33" i="4"/>
  <c r="T46" i="2"/>
  <c r="U46" i="2" s="1"/>
  <c r="E22" i="10"/>
  <c r="E23" i="10"/>
  <c r="F78" i="12"/>
  <c r="F77" i="12"/>
  <c r="F55" i="15"/>
  <c r="F56" i="15"/>
  <c r="T22" i="7"/>
  <c r="U22" i="7" s="1"/>
  <c r="F22" i="12"/>
  <c r="F23" i="12"/>
  <c r="E45" i="4"/>
  <c r="AB31" i="12"/>
  <c r="AC31" i="12" s="1"/>
  <c r="AB29" i="12"/>
  <c r="AC29" i="12" s="1"/>
  <c r="P44" i="15"/>
  <c r="Q44" i="15"/>
  <c r="P43" i="15"/>
  <c r="Q43" i="15"/>
  <c r="P40" i="15"/>
  <c r="Q40" i="15" s="1"/>
  <c r="P20" i="15"/>
  <c r="Q20" i="15" s="1"/>
  <c r="P23" i="15"/>
  <c r="Q23" i="15"/>
  <c r="P21" i="15"/>
  <c r="Q21" i="15"/>
  <c r="P19" i="15"/>
  <c r="Q19" i="15"/>
  <c r="P17" i="15"/>
  <c r="Q17" i="15" s="1"/>
  <c r="T18" i="10"/>
  <c r="U18" i="10"/>
  <c r="G12" i="10"/>
  <c r="X42" i="4"/>
  <c r="Y42" i="4" s="1"/>
  <c r="AB34" i="12"/>
  <c r="AC34" i="12"/>
  <c r="P28" i="13"/>
  <c r="Q28" i="13" s="1"/>
  <c r="F34" i="13"/>
  <c r="F33" i="13"/>
  <c r="AF54" i="15"/>
  <c r="AG54" i="15"/>
  <c r="AF57" i="15"/>
  <c r="AG57" i="15" s="1"/>
  <c r="AF56" i="15"/>
  <c r="AG56" i="15" s="1"/>
  <c r="P22" i="15"/>
  <c r="Q22" i="15" s="1"/>
  <c r="P57" i="15"/>
  <c r="Q57" i="15" s="1"/>
  <c r="P54" i="15"/>
  <c r="Q54" i="15" s="1"/>
  <c r="P52" i="15"/>
  <c r="Q52" i="15"/>
  <c r="P55" i="15"/>
  <c r="Q55" i="15" s="1"/>
  <c r="X31" i="12"/>
  <c r="Y31" i="12" s="1"/>
  <c r="P45" i="15"/>
  <c r="Q45" i="15" s="1"/>
  <c r="X10" i="15"/>
  <c r="Y10" i="15" s="1"/>
  <c r="X11" i="15"/>
  <c r="Y11" i="15" s="1"/>
  <c r="X7" i="15"/>
  <c r="Y7" i="15"/>
  <c r="P46" i="15"/>
  <c r="Q46" i="15"/>
  <c r="P61" i="12"/>
  <c r="Q61" i="12"/>
  <c r="P68" i="12"/>
  <c r="Q68" i="12"/>
  <c r="X17" i="15"/>
  <c r="Y17" i="15" s="1"/>
  <c r="E44" i="15"/>
  <c r="X22" i="15"/>
  <c r="Y22" i="15"/>
  <c r="T23" i="15"/>
  <c r="U23" i="15"/>
  <c r="D55" i="15"/>
  <c r="G12" i="15"/>
  <c r="X23" i="15"/>
  <c r="Y23" i="15"/>
  <c r="X24" i="15"/>
  <c r="Y24" i="15" s="1"/>
  <c r="AB20" i="12"/>
  <c r="AC20" i="12"/>
  <c r="T29" i="15"/>
  <c r="U29" i="15" s="1"/>
  <c r="T30" i="15"/>
  <c r="U30" i="15" s="1"/>
  <c r="T31" i="15"/>
  <c r="U31" i="15" s="1"/>
  <c r="T33" i="15"/>
  <c r="U33" i="15"/>
  <c r="T28" i="15"/>
  <c r="U28" i="15"/>
  <c r="I33" i="15" s="1"/>
  <c r="I32" i="15" s="1"/>
  <c r="I34" i="15" s="1"/>
  <c r="T34" i="15"/>
  <c r="U34" i="15"/>
  <c r="T32" i="15"/>
  <c r="U32" i="15" s="1"/>
  <c r="AF24" i="4"/>
  <c r="AG24" i="4"/>
  <c r="F45" i="2"/>
  <c r="P54" i="12"/>
  <c r="Q54" i="12" s="1"/>
  <c r="G22" i="7"/>
  <c r="F45" i="7"/>
  <c r="X9" i="4"/>
  <c r="Y9" i="4"/>
  <c r="X10" i="4"/>
  <c r="Y10" i="4"/>
  <c r="AB8" i="12"/>
  <c r="AC8" i="12" s="1"/>
  <c r="X7" i="4"/>
  <c r="Y7" i="4" s="1"/>
  <c r="AF17" i="4"/>
  <c r="AG17" i="4"/>
  <c r="T53" i="7"/>
  <c r="U53" i="7" s="1"/>
  <c r="AF20" i="4"/>
  <c r="AG20" i="4"/>
  <c r="AB9" i="12"/>
  <c r="AC9" i="12" s="1"/>
  <c r="AB12" i="12"/>
  <c r="AC12" i="12" s="1"/>
  <c r="AF21" i="4"/>
  <c r="AG21" i="4"/>
  <c r="AF9" i="4"/>
  <c r="AG9" i="4" s="1"/>
  <c r="E56" i="7"/>
  <c r="G22" i="13"/>
  <c r="D34" i="12"/>
  <c r="I73" i="12"/>
  <c r="AF18" i="4"/>
  <c r="AG18" i="4"/>
  <c r="F11" i="2"/>
  <c r="X6" i="4"/>
  <c r="Y6" i="4"/>
  <c r="J11" i="4" s="1"/>
  <c r="J10" i="4" s="1"/>
  <c r="J12" i="4" s="1"/>
  <c r="G44" i="4"/>
  <c r="X8" i="4"/>
  <c r="Y8" i="4"/>
  <c r="P24" i="10"/>
  <c r="Q24" i="10"/>
  <c r="P23" i="10"/>
  <c r="Q23" i="10"/>
  <c r="E11" i="15"/>
  <c r="X12" i="4"/>
  <c r="Y12" i="4"/>
  <c r="D56" i="12"/>
  <c r="AF19" i="4"/>
  <c r="AG19" i="4" s="1"/>
  <c r="P20" i="10"/>
  <c r="Q20" i="10"/>
  <c r="E11" i="7"/>
  <c r="T33" i="13"/>
  <c r="U33" i="13" s="1"/>
  <c r="AF22" i="4"/>
  <c r="AG22" i="4"/>
  <c r="D11" i="4"/>
  <c r="E33" i="4"/>
  <c r="E12" i="12"/>
  <c r="G55" i="12"/>
  <c r="T28" i="13"/>
  <c r="U28" i="13" s="1"/>
  <c r="P18" i="10"/>
  <c r="Q18" i="10"/>
  <c r="T31" i="13"/>
  <c r="U31" i="13"/>
  <c r="P57" i="12"/>
  <c r="Q57" i="12" s="1"/>
  <c r="AF55" i="7"/>
  <c r="AG55" i="7" s="1"/>
  <c r="T29" i="13"/>
  <c r="U29" i="13"/>
  <c r="P50" i="12"/>
  <c r="Q50" i="12"/>
  <c r="T35" i="13"/>
  <c r="U35" i="13" s="1"/>
  <c r="P22" i="10"/>
  <c r="Q22" i="10"/>
  <c r="P55" i="12"/>
  <c r="Q55" i="12" s="1"/>
  <c r="AF13" i="7"/>
  <c r="AG13" i="7" s="1"/>
  <c r="D11" i="2"/>
  <c r="AB10" i="4"/>
  <c r="AC10" i="4" s="1"/>
  <c r="G12" i="12"/>
  <c r="AF6" i="2"/>
  <c r="AG6" i="2"/>
  <c r="X9" i="15"/>
  <c r="Y9" i="15"/>
  <c r="D34" i="15"/>
  <c r="X18" i="15"/>
  <c r="Y18" i="15" s="1"/>
  <c r="E34" i="15"/>
  <c r="T21" i="15"/>
  <c r="U21" i="15"/>
  <c r="G34" i="15"/>
  <c r="F22" i="11"/>
  <c r="J18" i="10"/>
  <c r="T20" i="10"/>
  <c r="U20" i="10"/>
  <c r="P21" i="10"/>
  <c r="Q21" i="10"/>
  <c r="T21" i="10"/>
  <c r="U21" i="10"/>
  <c r="P17" i="10"/>
  <c r="Q17" i="10"/>
  <c r="T22" i="10"/>
  <c r="U22" i="10"/>
  <c r="T24" i="10"/>
  <c r="U24" i="10"/>
  <c r="T23" i="10"/>
  <c r="U23" i="10"/>
  <c r="X6" i="10"/>
  <c r="Y6" i="10" s="1"/>
  <c r="AB7" i="10"/>
  <c r="AC7" i="10" s="1"/>
  <c r="AB9" i="10"/>
  <c r="AC9" i="10" s="1"/>
  <c r="AB8" i="10"/>
  <c r="AC8" i="10" s="1"/>
  <c r="AB10" i="10"/>
  <c r="AC10" i="10" s="1"/>
  <c r="AB13" i="10"/>
  <c r="AC13" i="10" s="1"/>
  <c r="AB12" i="10"/>
  <c r="AC12" i="10"/>
  <c r="AB11" i="10"/>
  <c r="AC11" i="10"/>
  <c r="P12" i="2"/>
  <c r="Q12" i="2" s="1"/>
  <c r="X42" i="2"/>
  <c r="Y42" i="2"/>
  <c r="T22" i="2"/>
  <c r="U22" i="2"/>
  <c r="X39" i="2"/>
  <c r="Y39" i="2" s="1"/>
  <c r="T18" i="2"/>
  <c r="U18" i="2" s="1"/>
  <c r="T23" i="2"/>
  <c r="U23" i="2"/>
  <c r="X45" i="2"/>
  <c r="Y45" i="2" s="1"/>
  <c r="T24" i="2"/>
  <c r="U24" i="2"/>
  <c r="AB28" i="2"/>
  <c r="AC28" i="2"/>
  <c r="T33" i="2"/>
  <c r="U33" i="2" s="1"/>
  <c r="P42" i="2"/>
  <c r="Q42" i="2" s="1"/>
  <c r="AB29" i="2"/>
  <c r="AC29" i="2" s="1"/>
  <c r="P41" i="2"/>
  <c r="Q41" i="2" s="1"/>
  <c r="F10" i="11"/>
  <c r="F21" i="11"/>
  <c r="X13" i="2"/>
  <c r="Y13" i="2"/>
  <c r="X46" i="2"/>
  <c r="Y46" i="2" s="1"/>
  <c r="X43" i="2"/>
  <c r="Y43" i="2" s="1"/>
  <c r="X41" i="2"/>
  <c r="Y41" i="2"/>
  <c r="P43" i="7"/>
  <c r="Q43" i="7" s="1"/>
  <c r="P46" i="7"/>
  <c r="Q46" i="7" s="1"/>
  <c r="AF52" i="15"/>
  <c r="AG52" i="15"/>
  <c r="T42" i="15"/>
  <c r="U42" i="15" s="1"/>
  <c r="T40" i="15"/>
  <c r="U40" i="15" s="1"/>
  <c r="T44" i="15"/>
  <c r="U44" i="15" s="1"/>
  <c r="P42" i="15"/>
  <c r="Q42" i="15"/>
  <c r="J40" i="15"/>
  <c r="T45" i="15"/>
  <c r="U45" i="15" s="1"/>
  <c r="T46" i="15"/>
  <c r="U46" i="15" s="1"/>
  <c r="P41" i="15"/>
  <c r="Q41" i="15"/>
  <c r="T39" i="15"/>
  <c r="U39" i="15"/>
  <c r="AB33" i="15"/>
  <c r="AC33" i="15"/>
  <c r="T18" i="15"/>
  <c r="U18" i="15" s="1"/>
  <c r="AF22" i="15"/>
  <c r="AG22" i="15" s="1"/>
  <c r="T20" i="15"/>
  <c r="U20" i="15"/>
  <c r="T17" i="15"/>
  <c r="U17" i="15" s="1"/>
  <c r="T22" i="15"/>
  <c r="U22" i="15" s="1"/>
  <c r="X13" i="15"/>
  <c r="Y13" i="15" s="1"/>
  <c r="AB31" i="15"/>
  <c r="AC31" i="15" s="1"/>
  <c r="D11" i="15"/>
  <c r="E22" i="15"/>
  <c r="AB35" i="15"/>
  <c r="AC35" i="15" s="1"/>
  <c r="AF50" i="15"/>
  <c r="AG50" i="15" s="1"/>
  <c r="L55" i="15" s="1"/>
  <c r="L54" i="15" s="1"/>
  <c r="L56" i="15" s="1"/>
  <c r="G22" i="15"/>
  <c r="AF51" i="15"/>
  <c r="AG51" i="15"/>
  <c r="AB34" i="15"/>
  <c r="AC34" i="15"/>
  <c r="AF7" i="15"/>
  <c r="AG7" i="15" s="1"/>
  <c r="AB30" i="15"/>
  <c r="AC30" i="15" s="1"/>
  <c r="G44" i="15"/>
  <c r="AB32" i="15"/>
  <c r="AC32" i="15"/>
  <c r="D44" i="15"/>
  <c r="AF55" i="15"/>
  <c r="AG55" i="15" s="1"/>
  <c r="T19" i="15"/>
  <c r="U19" i="15" s="1"/>
  <c r="F33" i="15"/>
  <c r="AB8" i="15"/>
  <c r="AC8" i="15"/>
  <c r="AF28" i="15"/>
  <c r="AG28" i="15"/>
  <c r="F12" i="15"/>
  <c r="AB28" i="15"/>
  <c r="AC28" i="15"/>
  <c r="AB12" i="15"/>
  <c r="AC12" i="15"/>
  <c r="D22" i="15"/>
  <c r="AF33" i="15"/>
  <c r="AG33" i="15"/>
  <c r="AF32" i="15"/>
  <c r="AG32" i="15"/>
  <c r="AF31" i="15"/>
  <c r="AG31" i="15"/>
  <c r="AF30" i="15"/>
  <c r="AG30" i="15" s="1"/>
  <c r="T43" i="15"/>
  <c r="U43" i="15" s="1"/>
  <c r="AF34" i="15"/>
  <c r="AG34" i="15"/>
  <c r="F22" i="15"/>
  <c r="AB9" i="15"/>
  <c r="AC9" i="15"/>
  <c r="AB7" i="15"/>
  <c r="AC7" i="15"/>
  <c r="AF29" i="15"/>
  <c r="AG29" i="15" s="1"/>
  <c r="AB6" i="15"/>
  <c r="AC6" i="15" s="1"/>
  <c r="K11" i="15" s="1"/>
  <c r="K10" i="15" s="1"/>
  <c r="K12" i="15" s="1"/>
  <c r="AB11" i="15"/>
  <c r="AC11" i="15"/>
  <c r="AB10" i="15"/>
  <c r="AC10" i="15"/>
  <c r="X8" i="15"/>
  <c r="Y8" i="15"/>
  <c r="AB56" i="7"/>
  <c r="AC56" i="7" s="1"/>
  <c r="AB53" i="7"/>
  <c r="AC53" i="7"/>
  <c r="AB52" i="7"/>
  <c r="AC52" i="7" s="1"/>
  <c r="AB50" i="7"/>
  <c r="AC50" i="7"/>
  <c r="AB51" i="7"/>
  <c r="AC51" i="7"/>
  <c r="AB55" i="7"/>
  <c r="AC55" i="7" s="1"/>
  <c r="X33" i="7"/>
  <c r="Y33" i="7" s="1"/>
  <c r="X35" i="7"/>
  <c r="Y35" i="7"/>
  <c r="X31" i="7"/>
  <c r="Y31" i="7" s="1"/>
  <c r="X30" i="7"/>
  <c r="Y30" i="7"/>
  <c r="X29" i="7"/>
  <c r="Y29" i="7"/>
  <c r="X20" i="7"/>
  <c r="Y20" i="7" s="1"/>
  <c r="X18" i="7"/>
  <c r="Y18" i="7" s="1"/>
  <c r="AF8" i="7"/>
  <c r="AG8" i="7"/>
  <c r="AF12" i="7"/>
  <c r="AG12" i="7" s="1"/>
  <c r="AF7" i="7"/>
  <c r="AG7" i="7" s="1"/>
  <c r="AF11" i="7"/>
  <c r="AG11" i="7"/>
  <c r="AF6" i="7"/>
  <c r="AG6" i="7" s="1"/>
  <c r="T56" i="7"/>
  <c r="U56" i="7" s="1"/>
  <c r="T54" i="7"/>
  <c r="U54" i="7"/>
  <c r="T55" i="7"/>
  <c r="U55" i="7" s="1"/>
  <c r="T51" i="7"/>
  <c r="U51" i="7" s="1"/>
  <c r="T50" i="7"/>
  <c r="U50" i="7"/>
  <c r="AB57" i="7"/>
  <c r="AC57" i="7" s="1"/>
  <c r="X55" i="7"/>
  <c r="Y55" i="7" s="1"/>
  <c r="X56" i="7"/>
  <c r="Y56" i="7"/>
  <c r="T43" i="7"/>
  <c r="U43" i="7" s="1"/>
  <c r="P41" i="7"/>
  <c r="Q41" i="7" s="1"/>
  <c r="T42" i="7"/>
  <c r="U42" i="7" s="1"/>
  <c r="T46" i="7"/>
  <c r="U46" i="7" s="1"/>
  <c r="T40" i="7"/>
  <c r="U40" i="7" s="1"/>
  <c r="P19" i="7"/>
  <c r="Q19" i="7"/>
  <c r="P20" i="7"/>
  <c r="Q20" i="7" s="1"/>
  <c r="X24" i="7"/>
  <c r="Y24" i="7"/>
  <c r="X22" i="7"/>
  <c r="Y22" i="7"/>
  <c r="AF21" i="7"/>
  <c r="AG21" i="7"/>
  <c r="P17" i="7"/>
  <c r="Q17" i="7"/>
  <c r="H22" i="7" s="1"/>
  <c r="H21" i="7" s="1"/>
  <c r="H23" i="7" s="1"/>
  <c r="P21" i="7"/>
  <c r="Q21" i="7" s="1"/>
  <c r="P18" i="7"/>
  <c r="Q18" i="7"/>
  <c r="T17" i="7"/>
  <c r="U17" i="7" s="1"/>
  <c r="P23" i="7"/>
  <c r="Q23" i="7" s="1"/>
  <c r="X23" i="7"/>
  <c r="Y23" i="7"/>
  <c r="P24" i="7"/>
  <c r="Q24" i="7" s="1"/>
  <c r="X17" i="7"/>
  <c r="Y17" i="7"/>
  <c r="P9" i="7"/>
  <c r="Q9" i="7" s="1"/>
  <c r="AF23" i="7"/>
  <c r="AG23" i="7" s="1"/>
  <c r="AB12" i="7"/>
  <c r="AC12" i="7" s="1"/>
  <c r="AF19" i="7"/>
  <c r="AG19" i="7"/>
  <c r="AB8" i="7"/>
  <c r="AC8" i="7" s="1"/>
  <c r="G44" i="7"/>
  <c r="AB13" i="7"/>
  <c r="AC13" i="7"/>
  <c r="D11" i="7"/>
  <c r="AF24" i="7"/>
  <c r="AG24" i="7" s="1"/>
  <c r="G55" i="7"/>
  <c r="AF22" i="7"/>
  <c r="AG22" i="7" s="1"/>
  <c r="AF31" i="7"/>
  <c r="AG31" i="7"/>
  <c r="AF17" i="7"/>
  <c r="AG17" i="7"/>
  <c r="AF33" i="7"/>
  <c r="AG33" i="7"/>
  <c r="AB11" i="7"/>
  <c r="AC11" i="7"/>
  <c r="AF28" i="7"/>
  <c r="AG28" i="7" s="1"/>
  <c r="AF20" i="7"/>
  <c r="AG20" i="7"/>
  <c r="AB6" i="7"/>
  <c r="AC6" i="7"/>
  <c r="K11" i="7" s="1"/>
  <c r="K10" i="7" s="1"/>
  <c r="K12" i="7" s="1"/>
  <c r="P13" i="7"/>
  <c r="Q13" i="7"/>
  <c r="J40" i="7"/>
  <c r="AF30" i="7"/>
  <c r="AG30" i="7" s="1"/>
  <c r="AB9" i="7"/>
  <c r="AC9" i="7"/>
  <c r="AF32" i="7"/>
  <c r="AG32" i="7"/>
  <c r="AB7" i="7"/>
  <c r="AC7" i="7" s="1"/>
  <c r="E45" i="7"/>
  <c r="D33" i="7"/>
  <c r="P8" i="7"/>
  <c r="Q8" i="7"/>
  <c r="P7" i="7"/>
  <c r="Q7" i="7"/>
  <c r="X53" i="7"/>
  <c r="Y53" i="7"/>
  <c r="P11" i="7"/>
  <c r="Q11" i="7"/>
  <c r="X52" i="7"/>
  <c r="Y52" i="7" s="1"/>
  <c r="F34" i="7"/>
  <c r="P10" i="7"/>
  <c r="Q10" i="7" s="1"/>
  <c r="AF34" i="7"/>
  <c r="AG34" i="7" s="1"/>
  <c r="X50" i="7"/>
  <c r="Y50" i="7" s="1"/>
  <c r="J55" i="7" s="1"/>
  <c r="J54" i="7" s="1"/>
  <c r="J56" i="7" s="1"/>
  <c r="P12" i="7"/>
  <c r="Q12" i="7" s="1"/>
  <c r="AF29" i="7"/>
  <c r="AG29" i="7" s="1"/>
  <c r="X57" i="7"/>
  <c r="Y57" i="7" s="1"/>
  <c r="X54" i="7"/>
  <c r="Y54" i="7" s="1"/>
  <c r="AF9" i="7"/>
  <c r="AG9" i="7"/>
  <c r="P41" i="4"/>
  <c r="Q41" i="4"/>
  <c r="P7" i="4"/>
  <c r="Q7" i="4" s="1"/>
  <c r="X39" i="4"/>
  <c r="Y39" i="4"/>
  <c r="P42" i="4"/>
  <c r="Q42" i="4"/>
  <c r="X40" i="4"/>
  <c r="Y40" i="4"/>
  <c r="P40" i="4"/>
  <c r="Q40" i="4" s="1"/>
  <c r="H44" i="4" s="1"/>
  <c r="H43" i="4" s="1"/>
  <c r="H45" i="4" s="1"/>
  <c r="X43" i="4"/>
  <c r="Y43" i="4"/>
  <c r="X41" i="4"/>
  <c r="Y41" i="4" s="1"/>
  <c r="P46" i="4"/>
  <c r="Q46" i="4"/>
  <c r="AF8" i="4"/>
  <c r="AG8" i="4"/>
  <c r="E12" i="4"/>
  <c r="G12" i="4"/>
  <c r="AB8" i="4"/>
  <c r="AC8" i="4"/>
  <c r="T19" i="4"/>
  <c r="U19" i="4"/>
  <c r="AB9" i="4"/>
  <c r="AC9" i="4"/>
  <c r="X46" i="4"/>
  <c r="Y46" i="4" s="1"/>
  <c r="T21" i="4"/>
  <c r="U21" i="4"/>
  <c r="X11" i="4"/>
  <c r="Y11" i="4" s="1"/>
  <c r="P44" i="4"/>
  <c r="Q44" i="4"/>
  <c r="T17" i="4"/>
  <c r="U17" i="4"/>
  <c r="G23" i="4"/>
  <c r="P39" i="4"/>
  <c r="Q39" i="4"/>
  <c r="X45" i="4"/>
  <c r="Y45" i="4"/>
  <c r="P43" i="4"/>
  <c r="Q43" i="4"/>
  <c r="AB13" i="4"/>
  <c r="AC13" i="4" s="1"/>
  <c r="AB11" i="4"/>
  <c r="AC11" i="4"/>
  <c r="AB6" i="4"/>
  <c r="AC6" i="4"/>
  <c r="AB7" i="4"/>
  <c r="AC7" i="4"/>
  <c r="P73" i="12"/>
  <c r="Q73" i="12"/>
  <c r="AB33" i="12"/>
  <c r="AC33" i="12"/>
  <c r="P63" i="12"/>
  <c r="Q63" i="12" s="1"/>
  <c r="P65" i="12"/>
  <c r="Q65" i="12" s="1"/>
  <c r="P66" i="12"/>
  <c r="Q66" i="12" s="1"/>
  <c r="P30" i="12"/>
  <c r="Q30" i="12" s="1"/>
  <c r="AB30" i="12"/>
  <c r="AC30" i="12" s="1"/>
  <c r="P21" i="12"/>
  <c r="Q21" i="12" s="1"/>
  <c r="P23" i="12"/>
  <c r="Q23" i="12"/>
  <c r="P20" i="12"/>
  <c r="Q20" i="12"/>
  <c r="P19" i="12"/>
  <c r="Q19" i="12" s="1"/>
  <c r="P24" i="12"/>
  <c r="Q24" i="12" s="1"/>
  <c r="P18" i="12"/>
  <c r="Q18" i="12"/>
  <c r="AB21" i="12"/>
  <c r="AC21" i="12"/>
  <c r="P17" i="12"/>
  <c r="Q17" i="12" s="1"/>
  <c r="H22" i="12" s="1"/>
  <c r="H21" i="12" s="1"/>
  <c r="H23" i="12" s="1"/>
  <c r="AF13" i="12"/>
  <c r="AG13" i="12"/>
  <c r="X6" i="12"/>
  <c r="Y6" i="12"/>
  <c r="AF9" i="12"/>
  <c r="AG9" i="12"/>
  <c r="AF7" i="12"/>
  <c r="AG7" i="12"/>
  <c r="AF12" i="12"/>
  <c r="AG12" i="12"/>
  <c r="AF10" i="12"/>
  <c r="AG10" i="12"/>
  <c r="AB13" i="12"/>
  <c r="AC13" i="12" s="1"/>
  <c r="AF8" i="12"/>
  <c r="AG8" i="12" s="1"/>
  <c r="L11" i="12" s="1"/>
  <c r="L10" i="12" s="1"/>
  <c r="L12" i="12" s="1"/>
  <c r="AF6" i="12"/>
  <c r="AG6" i="12"/>
  <c r="I62" i="12"/>
  <c r="P64" i="12"/>
  <c r="Q64" i="12" s="1"/>
  <c r="X29" i="12"/>
  <c r="Y29" i="12" s="1"/>
  <c r="P77" i="12"/>
  <c r="Q77" i="12"/>
  <c r="P75" i="12"/>
  <c r="Q75" i="12"/>
  <c r="P62" i="12"/>
  <c r="Q62" i="12"/>
  <c r="T24" i="12"/>
  <c r="U24" i="12"/>
  <c r="P72" i="12"/>
  <c r="Q72" i="12" s="1"/>
  <c r="P78" i="12"/>
  <c r="Q78" i="12"/>
  <c r="P76" i="12"/>
  <c r="Q76" i="12"/>
  <c r="D44" i="12"/>
  <c r="P79" i="12"/>
  <c r="Q79" i="12" s="1"/>
  <c r="AB24" i="12"/>
  <c r="AC24" i="12" s="1"/>
  <c r="E67" i="12"/>
  <c r="D12" i="12"/>
  <c r="T20" i="12"/>
  <c r="U20" i="12" s="1"/>
  <c r="AB17" i="12"/>
  <c r="AC17" i="12"/>
  <c r="I51" i="12"/>
  <c r="P9" i="12"/>
  <c r="Q9" i="12" s="1"/>
  <c r="T28" i="12"/>
  <c r="U28" i="12" s="1"/>
  <c r="X35" i="12"/>
  <c r="Y35" i="12"/>
  <c r="T19" i="12"/>
  <c r="U19" i="12"/>
  <c r="T34" i="12"/>
  <c r="U34" i="12" s="1"/>
  <c r="T29" i="12"/>
  <c r="U29" i="12"/>
  <c r="T32" i="12"/>
  <c r="U32" i="12"/>
  <c r="E33" i="12"/>
  <c r="F67" i="12"/>
  <c r="X33" i="12"/>
  <c r="Y33" i="12"/>
  <c r="F44" i="12"/>
  <c r="T23" i="12"/>
  <c r="U23" i="12"/>
  <c r="P41" i="12"/>
  <c r="Q41" i="12" s="1"/>
  <c r="X34" i="12"/>
  <c r="Y34" i="12" s="1"/>
  <c r="E23" i="12"/>
  <c r="G77" i="12"/>
  <c r="X28" i="12"/>
  <c r="Y28" i="12"/>
  <c r="X32" i="12"/>
  <c r="Y32" i="12" s="1"/>
  <c r="D78" i="12"/>
  <c r="T33" i="12"/>
  <c r="U33" i="12"/>
  <c r="D66" i="12"/>
  <c r="T35" i="12"/>
  <c r="U35" i="12"/>
  <c r="E77" i="12"/>
  <c r="T30" i="12"/>
  <c r="U30" i="12"/>
  <c r="P9" i="13"/>
  <c r="Q9" i="13" s="1"/>
  <c r="P6" i="13"/>
  <c r="Q6" i="13" s="1"/>
  <c r="T32" i="13"/>
  <c r="U32" i="13" s="1"/>
  <c r="T30" i="13"/>
  <c r="U30" i="13"/>
  <c r="P18" i="13"/>
  <c r="Q18" i="13" s="1"/>
  <c r="AB8" i="13"/>
  <c r="AC8" i="13" s="1"/>
  <c r="P13" i="13"/>
  <c r="Q13" i="13" s="1"/>
  <c r="P11" i="13"/>
  <c r="Q11" i="13" s="1"/>
  <c r="P8" i="13"/>
  <c r="Q8" i="13" s="1"/>
  <c r="P7" i="13"/>
  <c r="Q7" i="13" s="1"/>
  <c r="AB13" i="13"/>
  <c r="AC13" i="13" s="1"/>
  <c r="T22" i="13"/>
  <c r="U22" i="13" s="1"/>
  <c r="G12" i="13"/>
  <c r="D12" i="13"/>
  <c r="P20" i="13"/>
  <c r="Q20" i="13"/>
  <c r="P21" i="13"/>
  <c r="Q21" i="13" s="1"/>
  <c r="P10" i="13"/>
  <c r="Q10" i="13"/>
  <c r="F12" i="13"/>
  <c r="P22" i="13"/>
  <c r="Q22" i="13" s="1"/>
  <c r="P17" i="13"/>
  <c r="Q17" i="13" s="1"/>
  <c r="P19" i="13"/>
  <c r="Q19" i="13"/>
  <c r="P24" i="13"/>
  <c r="Q24" i="13" s="1"/>
  <c r="AB13" i="2"/>
  <c r="AC13" i="2"/>
  <c r="X28" i="2"/>
  <c r="Y28" i="2"/>
  <c r="J33" i="2" s="1"/>
  <c r="J32" i="2" s="1"/>
  <c r="J34" i="2" s="1"/>
  <c r="X35" i="2"/>
  <c r="Y35" i="2" s="1"/>
  <c r="X34" i="2"/>
  <c r="Y34" i="2" s="1"/>
  <c r="X32" i="2"/>
  <c r="Y32" i="2" s="1"/>
  <c r="X30" i="2"/>
  <c r="Y30" i="2"/>
  <c r="X33" i="2"/>
  <c r="Y33" i="2"/>
  <c r="X29" i="2"/>
  <c r="Y29" i="2"/>
  <c r="P19" i="2"/>
  <c r="Q19" i="2" s="1"/>
  <c r="P20" i="2"/>
  <c r="Q20" i="2"/>
  <c r="P23" i="2"/>
  <c r="Q23" i="2"/>
  <c r="P22" i="2"/>
  <c r="Q22" i="2" s="1"/>
  <c r="P17" i="2"/>
  <c r="Q17" i="2" s="1"/>
  <c r="P18" i="2"/>
  <c r="Q18" i="2"/>
  <c r="T13" i="2"/>
  <c r="U13" i="2" s="1"/>
  <c r="T9" i="2"/>
  <c r="U9" i="2"/>
  <c r="T12" i="2"/>
  <c r="U12" i="2"/>
  <c r="T11" i="2"/>
  <c r="U11" i="2"/>
  <c r="T6" i="2"/>
  <c r="U6" i="2" s="1"/>
  <c r="P6" i="2"/>
  <c r="Q6" i="2" s="1"/>
  <c r="P9" i="2"/>
  <c r="Q9" i="2" s="1"/>
  <c r="P8" i="2"/>
  <c r="Q8" i="2"/>
  <c r="P7" i="2"/>
  <c r="Q7" i="2"/>
  <c r="P10" i="2"/>
  <c r="Q10" i="2"/>
  <c r="P13" i="2"/>
  <c r="Q13" i="2" s="1"/>
  <c r="X9" i="2"/>
  <c r="Y9" i="2"/>
  <c r="AB34" i="2"/>
  <c r="AC34" i="2"/>
  <c r="P31" i="2"/>
  <c r="Q31" i="2" s="1"/>
  <c r="G45" i="2"/>
  <c r="P32" i="2"/>
  <c r="Q32" i="2" s="1"/>
  <c r="X7" i="2"/>
  <c r="Y7" i="2" s="1"/>
  <c r="T29" i="2"/>
  <c r="U29" i="2"/>
  <c r="P33" i="2"/>
  <c r="Q33" i="2"/>
  <c r="X8" i="2"/>
  <c r="Y8" i="2"/>
  <c r="AB35" i="2"/>
  <c r="AC35" i="2" s="1"/>
  <c r="T35" i="2"/>
  <c r="U35" i="2" s="1"/>
  <c r="T28" i="2"/>
  <c r="U28" i="2" s="1"/>
  <c r="AB33" i="2"/>
  <c r="AC33" i="2"/>
  <c r="P29" i="2"/>
  <c r="Q29" i="2" s="1"/>
  <c r="P28" i="2"/>
  <c r="Q28" i="2" s="1"/>
  <c r="T30" i="2"/>
  <c r="U30" i="2"/>
  <c r="T31" i="2"/>
  <c r="U31" i="2" s="1"/>
  <c r="AB9" i="2"/>
  <c r="AC9" i="2"/>
  <c r="AB31" i="2"/>
  <c r="AC31" i="2"/>
  <c r="AB7" i="2"/>
  <c r="AC7" i="2" s="1"/>
  <c r="G23" i="2"/>
  <c r="X6" i="2"/>
  <c r="Y6" i="2" s="1"/>
  <c r="AB10" i="2"/>
  <c r="AC10" i="2" s="1"/>
  <c r="AB32" i="2"/>
  <c r="AC32" i="2"/>
  <c r="AB6" i="2"/>
  <c r="AC6" i="2"/>
  <c r="K11" i="2" s="1"/>
  <c r="K10" i="2" s="1"/>
  <c r="K12" i="2" s="1"/>
  <c r="T7" i="2"/>
  <c r="U7" i="2" s="1"/>
  <c r="X12" i="2"/>
  <c r="Y12" i="2" s="1"/>
  <c r="T20" i="2"/>
  <c r="U20" i="2" s="1"/>
  <c r="P39" i="2"/>
  <c r="Q39" i="2"/>
  <c r="F33" i="2"/>
  <c r="D23" i="2"/>
  <c r="AB11" i="2"/>
  <c r="AC11" i="2"/>
  <c r="AB8" i="2"/>
  <c r="AC8" i="2" s="1"/>
  <c r="X11" i="2"/>
  <c r="Y11" i="2" s="1"/>
  <c r="P44" i="2"/>
  <c r="Q44" i="2" s="1"/>
  <c r="T8" i="2"/>
  <c r="U8" i="2"/>
  <c r="F23" i="2"/>
  <c r="P18" i="15"/>
  <c r="Q18" i="15" s="1"/>
  <c r="P7" i="15"/>
  <c r="Q7" i="15" s="1"/>
  <c r="P13" i="15"/>
  <c r="Q13" i="15" s="1"/>
  <c r="P6" i="15"/>
  <c r="Q6" i="15"/>
  <c r="P9" i="15"/>
  <c r="Q9" i="15"/>
  <c r="P12" i="15"/>
  <c r="Q12" i="15"/>
  <c r="P8" i="15"/>
  <c r="Q8" i="15"/>
  <c r="P11" i="15"/>
  <c r="Q11" i="15" s="1"/>
  <c r="H22" i="10"/>
  <c r="H21" i="10"/>
  <c r="I22" i="10"/>
  <c r="I21" i="10"/>
  <c r="I23" i="10"/>
  <c r="H23" i="10"/>
  <c r="J23" i="10"/>
  <c r="J22" i="10"/>
  <c r="J21" i="10"/>
  <c r="B6" i="10"/>
  <c r="K11" i="10" l="1"/>
  <c r="K10" i="10" s="1"/>
  <c r="K12" i="10" s="1"/>
  <c r="X12" i="10"/>
  <c r="Y12" i="10" s="1"/>
  <c r="X10" i="10"/>
  <c r="Y10" i="10" s="1"/>
  <c r="X8" i="10"/>
  <c r="Y8" i="10" s="1"/>
  <c r="H6" i="10"/>
  <c r="X7" i="10"/>
  <c r="Y7" i="10" s="1"/>
  <c r="J11" i="10" s="1"/>
  <c r="J10" i="10" s="1"/>
  <c r="J12" i="10" s="1"/>
  <c r="I6" i="10"/>
  <c r="X13" i="10"/>
  <c r="Y13" i="10" s="1"/>
  <c r="X11" i="10"/>
  <c r="Y11" i="10" s="1"/>
  <c r="I33" i="13"/>
  <c r="I32" i="13" s="1"/>
  <c r="I34" i="13" s="1"/>
  <c r="X35" i="13"/>
  <c r="Y35" i="13" s="1"/>
  <c r="X31" i="13"/>
  <c r="Y31" i="13" s="1"/>
  <c r="X30" i="13"/>
  <c r="Y30" i="13" s="1"/>
  <c r="X34" i="13"/>
  <c r="Y34" i="13" s="1"/>
  <c r="X29" i="13"/>
  <c r="Y29" i="13" s="1"/>
  <c r="X32" i="13"/>
  <c r="Y32" i="13" s="1"/>
  <c r="X28" i="13"/>
  <c r="Y28" i="13" s="1"/>
  <c r="X33" i="13"/>
  <c r="Y33" i="13" s="1"/>
  <c r="X13" i="13"/>
  <c r="Y13" i="13" s="1"/>
  <c r="X9" i="13"/>
  <c r="Y9" i="13" s="1"/>
  <c r="X7" i="13"/>
  <c r="Y7" i="13" s="1"/>
  <c r="X10" i="13"/>
  <c r="Y10" i="13" s="1"/>
  <c r="X11" i="13"/>
  <c r="Y11" i="13" s="1"/>
  <c r="X8" i="13"/>
  <c r="Y8" i="13" s="1"/>
  <c r="X12" i="13"/>
  <c r="Y12" i="13" s="1"/>
  <c r="X6" i="13"/>
  <c r="Y6" i="13" s="1"/>
  <c r="H11" i="13"/>
  <c r="H10" i="13" s="1"/>
  <c r="H12" i="13" s="1"/>
  <c r="H22" i="13"/>
  <c r="H21" i="13" s="1"/>
  <c r="H23" i="13" s="1"/>
  <c r="M7" i="13"/>
  <c r="T19" i="13"/>
  <c r="U19" i="13" s="1"/>
  <c r="I6" i="13"/>
  <c r="P34" i="13"/>
  <c r="Q34" i="13" s="1"/>
  <c r="AF8" i="13"/>
  <c r="AG8" i="13" s="1"/>
  <c r="J7" i="13"/>
  <c r="AB6" i="13"/>
  <c r="AC6" i="13" s="1"/>
  <c r="AF6" i="13"/>
  <c r="AG6" i="13" s="1"/>
  <c r="T21" i="13"/>
  <c r="U21" i="13" s="1"/>
  <c r="AB12" i="13"/>
  <c r="AC12" i="13" s="1"/>
  <c r="AF13" i="13"/>
  <c r="AG13" i="13" s="1"/>
  <c r="AB10" i="13"/>
  <c r="AC10" i="13" s="1"/>
  <c r="J17" i="13"/>
  <c r="AF11" i="13"/>
  <c r="AG11" i="13" s="1"/>
  <c r="AB9" i="13"/>
  <c r="AC9" i="13" s="1"/>
  <c r="T18" i="13"/>
  <c r="U18" i="13" s="1"/>
  <c r="P33" i="13"/>
  <c r="Q33" i="13" s="1"/>
  <c r="AF10" i="13"/>
  <c r="AG10" i="13" s="1"/>
  <c r="P29" i="13"/>
  <c r="Q29" i="13" s="1"/>
  <c r="H33" i="13" s="1"/>
  <c r="H32" i="13" s="1"/>
  <c r="AF7" i="13"/>
  <c r="AG7" i="13" s="1"/>
  <c r="AB11" i="13"/>
  <c r="AC11" i="13" s="1"/>
  <c r="P30" i="13"/>
  <c r="Q30" i="13" s="1"/>
  <c r="T24" i="13"/>
  <c r="U24" i="13" s="1"/>
  <c r="T20" i="13"/>
  <c r="U20" i="13" s="1"/>
  <c r="P32" i="13"/>
  <c r="Q32" i="13" s="1"/>
  <c r="P31" i="13"/>
  <c r="Q31" i="13" s="1"/>
  <c r="T17" i="13"/>
  <c r="U17" i="13" s="1"/>
  <c r="K33" i="2"/>
  <c r="K32" i="2" s="1"/>
  <c r="K34" i="2" s="1"/>
  <c r="X21" i="2"/>
  <c r="Y21" i="2" s="1"/>
  <c r="X20" i="2"/>
  <c r="Y20" i="2" s="1"/>
  <c r="X19" i="2"/>
  <c r="Y19" i="2" s="1"/>
  <c r="X24" i="2"/>
  <c r="Y24" i="2" s="1"/>
  <c r="X22" i="2"/>
  <c r="Y22" i="2" s="1"/>
  <c r="X18" i="2"/>
  <c r="Y18" i="2" s="1"/>
  <c r="X17" i="2"/>
  <c r="Y17" i="2" s="1"/>
  <c r="X23" i="2"/>
  <c r="Y23" i="2" s="1"/>
  <c r="AF46" i="2"/>
  <c r="AG46" i="2" s="1"/>
  <c r="AF43" i="2"/>
  <c r="AG43" i="2" s="1"/>
  <c r="AF42" i="2"/>
  <c r="AG42" i="2" s="1"/>
  <c r="AF39" i="2"/>
  <c r="AG39" i="2" s="1"/>
  <c r="AF44" i="2"/>
  <c r="AG44" i="2" s="1"/>
  <c r="AF41" i="2"/>
  <c r="AG41" i="2" s="1"/>
  <c r="AF45" i="2"/>
  <c r="AG45" i="2" s="1"/>
  <c r="AF40" i="2"/>
  <c r="AG40" i="2" s="1"/>
  <c r="I22" i="2"/>
  <c r="I21" i="2" s="1"/>
  <c r="I23" i="2" s="1"/>
  <c r="AB23" i="2"/>
  <c r="AC23" i="2" s="1"/>
  <c r="AB17" i="2"/>
  <c r="AC17" i="2" s="1"/>
  <c r="AB24" i="2"/>
  <c r="AC24" i="2" s="1"/>
  <c r="AB20" i="2"/>
  <c r="AC20" i="2" s="1"/>
  <c r="AB22" i="2"/>
  <c r="AC22" i="2" s="1"/>
  <c r="AB18" i="2"/>
  <c r="AC18" i="2" s="1"/>
  <c r="AB19" i="2"/>
  <c r="AC19" i="2" s="1"/>
  <c r="AB21" i="2"/>
  <c r="AC21" i="2" s="1"/>
  <c r="AF17" i="2"/>
  <c r="AG17" i="2" s="1"/>
  <c r="AF23" i="2"/>
  <c r="AG23" i="2" s="1"/>
  <c r="AF24" i="2"/>
  <c r="AG24" i="2" s="1"/>
  <c r="AF22" i="2"/>
  <c r="AG22" i="2" s="1"/>
  <c r="AF21" i="2"/>
  <c r="AG21" i="2" s="1"/>
  <c r="AF19" i="2"/>
  <c r="AG19" i="2" s="1"/>
  <c r="AF18" i="2"/>
  <c r="AG18" i="2" s="1"/>
  <c r="AF20" i="2"/>
  <c r="AG20" i="2" s="1"/>
  <c r="J11" i="2"/>
  <c r="J10" i="2" s="1"/>
  <c r="J12" i="2" s="1"/>
  <c r="H22" i="2"/>
  <c r="H21" i="2" s="1"/>
  <c r="H23" i="2" s="1"/>
  <c r="H11" i="2"/>
  <c r="H10" i="2" s="1"/>
  <c r="H12" i="2" s="1"/>
  <c r="I11" i="2"/>
  <c r="I10" i="2" s="1"/>
  <c r="I12" i="2" s="1"/>
  <c r="J44" i="2"/>
  <c r="J43" i="2" s="1"/>
  <c r="J45" i="2" s="1"/>
  <c r="P35" i="2"/>
  <c r="Q35" i="2" s="1"/>
  <c r="P43" i="2"/>
  <c r="Q43" i="2" s="1"/>
  <c r="AF8" i="2"/>
  <c r="AG8" i="2" s="1"/>
  <c r="T43" i="2"/>
  <c r="U43" i="2" s="1"/>
  <c r="AB40" i="2"/>
  <c r="AC40" i="2" s="1"/>
  <c r="L18" i="2"/>
  <c r="T40" i="2"/>
  <c r="U40" i="2" s="1"/>
  <c r="AB42" i="2"/>
  <c r="AC42" i="2" s="1"/>
  <c r="P40" i="2"/>
  <c r="Q40" i="2" s="1"/>
  <c r="AF11" i="2"/>
  <c r="AG11" i="2" s="1"/>
  <c r="P30" i="2"/>
  <c r="Q30" i="2" s="1"/>
  <c r="H33" i="2" s="1"/>
  <c r="H32" i="2" s="1"/>
  <c r="AF10" i="2"/>
  <c r="AG10" i="2" s="1"/>
  <c r="L11" i="2" s="1"/>
  <c r="L10" i="2" s="1"/>
  <c r="L12" i="2" s="1"/>
  <c r="P46" i="2"/>
  <c r="Q46" i="2" s="1"/>
  <c r="T34" i="2"/>
  <c r="U34" i="2" s="1"/>
  <c r="I33" i="2" s="1"/>
  <c r="I32" i="2" s="1"/>
  <c r="I34" i="2" s="1"/>
  <c r="AF9" i="2"/>
  <c r="AG9" i="2" s="1"/>
  <c r="AB44" i="2"/>
  <c r="AC44" i="2" s="1"/>
  <c r="AB46" i="2"/>
  <c r="AC46" i="2" s="1"/>
  <c r="AB41" i="2"/>
  <c r="AC41" i="2" s="1"/>
  <c r="AB39" i="2"/>
  <c r="AC39" i="2" s="1"/>
  <c r="AB43" i="2"/>
  <c r="AC43" i="2" s="1"/>
  <c r="K18" i="2"/>
  <c r="M18" i="2" s="1"/>
  <c r="AF13" i="2"/>
  <c r="AG13" i="2" s="1"/>
  <c r="T45" i="2"/>
  <c r="U45" i="2" s="1"/>
  <c r="X24" i="12"/>
  <c r="Y24" i="12" s="1"/>
  <c r="X23" i="12"/>
  <c r="Y23" i="12" s="1"/>
  <c r="X20" i="12"/>
  <c r="Y20" i="12" s="1"/>
  <c r="X21" i="12"/>
  <c r="Y21" i="12" s="1"/>
  <c r="X19" i="12"/>
  <c r="Y19" i="12" s="1"/>
  <c r="X18" i="12"/>
  <c r="Y18" i="12" s="1"/>
  <c r="X17" i="12"/>
  <c r="Y17" i="12" s="1"/>
  <c r="X22" i="12"/>
  <c r="Y22" i="12" s="1"/>
  <c r="AF21" i="12"/>
  <c r="AG21" i="12" s="1"/>
  <c r="AF24" i="12"/>
  <c r="AG24" i="12" s="1"/>
  <c r="AF17" i="12"/>
  <c r="AG17" i="12" s="1"/>
  <c r="AF19" i="12"/>
  <c r="AG19" i="12" s="1"/>
  <c r="AF23" i="12"/>
  <c r="AG23" i="12" s="1"/>
  <c r="AF20" i="12"/>
  <c r="AG20" i="12" s="1"/>
  <c r="AF22" i="12"/>
  <c r="AG22" i="12" s="1"/>
  <c r="AF18" i="12"/>
  <c r="AG18" i="12" s="1"/>
  <c r="H66" i="12"/>
  <c r="H65" i="12" s="1"/>
  <c r="H67" i="12" s="1"/>
  <c r="I67" i="12" s="1"/>
  <c r="I66" i="12" s="1"/>
  <c r="I65" i="12" s="1"/>
  <c r="H55" i="12"/>
  <c r="H54" i="12" s="1"/>
  <c r="H56" i="12" s="1"/>
  <c r="I56" i="12" s="1"/>
  <c r="I55" i="12" s="1"/>
  <c r="I54" i="12" s="1"/>
  <c r="I33" i="12"/>
  <c r="I32" i="12" s="1"/>
  <c r="I34" i="12" s="1"/>
  <c r="J33" i="12"/>
  <c r="J32" i="12" s="1"/>
  <c r="J34" i="12" s="1"/>
  <c r="H77" i="12"/>
  <c r="H76" i="12" s="1"/>
  <c r="H78" i="12" s="1"/>
  <c r="I78" i="12" s="1"/>
  <c r="I77" i="12" s="1"/>
  <c r="I76" i="12" s="1"/>
  <c r="AB35" i="12"/>
  <c r="AC35" i="12" s="1"/>
  <c r="K33" i="12" s="1"/>
  <c r="K32" i="12" s="1"/>
  <c r="K34" i="12" s="1"/>
  <c r="P43" i="12"/>
  <c r="Q43" i="12" s="1"/>
  <c r="P39" i="12"/>
  <c r="Q39" i="12" s="1"/>
  <c r="X13" i="12"/>
  <c r="Y13" i="12" s="1"/>
  <c r="AB18" i="12"/>
  <c r="AC18" i="12" s="1"/>
  <c r="K22" i="12" s="1"/>
  <c r="K21" i="12" s="1"/>
  <c r="K23" i="12" s="1"/>
  <c r="X10" i="12"/>
  <c r="Y10" i="12" s="1"/>
  <c r="T12" i="12"/>
  <c r="U12" i="12" s="1"/>
  <c r="P32" i="12"/>
  <c r="Q32" i="12" s="1"/>
  <c r="P46" i="12"/>
  <c r="Q46" i="12" s="1"/>
  <c r="AB7" i="12"/>
  <c r="AC7" i="12" s="1"/>
  <c r="X11" i="12"/>
  <c r="Y11" i="12" s="1"/>
  <c r="P34" i="12"/>
  <c r="Q34" i="12" s="1"/>
  <c r="T6" i="12"/>
  <c r="U6" i="12" s="1"/>
  <c r="I11" i="12" s="1"/>
  <c r="I10" i="12" s="1"/>
  <c r="I12" i="12" s="1"/>
  <c r="X7" i="12"/>
  <c r="Y7" i="12" s="1"/>
  <c r="J11" i="12" s="1"/>
  <c r="J10" i="12" s="1"/>
  <c r="J12" i="12" s="1"/>
  <c r="X8" i="12"/>
  <c r="Y8" i="12" s="1"/>
  <c r="P44" i="12"/>
  <c r="Q44" i="12" s="1"/>
  <c r="L18" i="12"/>
  <c r="M18" i="12" s="1"/>
  <c r="T17" i="12"/>
  <c r="U17" i="12" s="1"/>
  <c r="P28" i="12"/>
  <c r="Q28" i="12" s="1"/>
  <c r="AB6" i="12"/>
  <c r="AC6" i="12" s="1"/>
  <c r="X9" i="12"/>
  <c r="Y9" i="12" s="1"/>
  <c r="P29" i="12"/>
  <c r="Q29" i="12" s="1"/>
  <c r="T11" i="12"/>
  <c r="U11" i="12" s="1"/>
  <c r="T8" i="12"/>
  <c r="U8" i="12" s="1"/>
  <c r="P45" i="12"/>
  <c r="Q45" i="12" s="1"/>
  <c r="T18" i="12"/>
  <c r="U18" i="12" s="1"/>
  <c r="P40" i="12"/>
  <c r="Q40" i="12" s="1"/>
  <c r="T21" i="12"/>
  <c r="U21" i="12" s="1"/>
  <c r="AB11" i="12"/>
  <c r="AC11" i="12" s="1"/>
  <c r="K22" i="4"/>
  <c r="K21" i="4" s="1"/>
  <c r="K23" i="4" s="1"/>
  <c r="K11" i="4"/>
  <c r="K10" i="4" s="1"/>
  <c r="K12" i="4" s="1"/>
  <c r="L22" i="4"/>
  <c r="L21" i="4" s="1"/>
  <c r="L23" i="4" s="1"/>
  <c r="P31" i="4"/>
  <c r="Q31" i="4" s="1"/>
  <c r="P29" i="4"/>
  <c r="Q29" i="4" s="1"/>
  <c r="P33" i="4"/>
  <c r="Q33" i="4" s="1"/>
  <c r="P35" i="4"/>
  <c r="Q35" i="4" s="1"/>
  <c r="P30" i="4"/>
  <c r="Q30" i="4" s="1"/>
  <c r="P32" i="4"/>
  <c r="Q32" i="4" s="1"/>
  <c r="P28" i="4"/>
  <c r="Q28" i="4" s="1"/>
  <c r="P34" i="4"/>
  <c r="Q34" i="4" s="1"/>
  <c r="J44" i="4"/>
  <c r="J43" i="4" s="1"/>
  <c r="J45" i="4" s="1"/>
  <c r="P9" i="4"/>
  <c r="Q9" i="4" s="1"/>
  <c r="P8" i="4"/>
  <c r="Q8" i="4" s="1"/>
  <c r="AF6" i="4"/>
  <c r="AG6" i="4" s="1"/>
  <c r="L11" i="4" s="1"/>
  <c r="L10" i="4" s="1"/>
  <c r="L12" i="4" s="1"/>
  <c r="AF11" i="4"/>
  <c r="AG11" i="4" s="1"/>
  <c r="I6" i="4"/>
  <c r="M18" i="4"/>
  <c r="T35" i="4"/>
  <c r="U35" i="4" s="1"/>
  <c r="T41" i="4"/>
  <c r="U41" i="4" s="1"/>
  <c r="P24" i="4"/>
  <c r="Q24" i="4" s="1"/>
  <c r="T32" i="4"/>
  <c r="U32" i="4" s="1"/>
  <c r="T20" i="4"/>
  <c r="U20" i="4" s="1"/>
  <c r="T22" i="4"/>
  <c r="U22" i="4" s="1"/>
  <c r="P23" i="4"/>
  <c r="Q23" i="4" s="1"/>
  <c r="T31" i="4"/>
  <c r="U31" i="4" s="1"/>
  <c r="T30" i="4"/>
  <c r="U30" i="4" s="1"/>
  <c r="P19" i="4"/>
  <c r="Q19" i="4" s="1"/>
  <c r="P11" i="4"/>
  <c r="Q11" i="4" s="1"/>
  <c r="AF13" i="4"/>
  <c r="AG13" i="4" s="1"/>
  <c r="T42" i="4"/>
  <c r="U42" i="4" s="1"/>
  <c r="P10" i="4"/>
  <c r="Q10" i="4" s="1"/>
  <c r="T43" i="4"/>
  <c r="U43" i="4" s="1"/>
  <c r="P18" i="4"/>
  <c r="Q18" i="4" s="1"/>
  <c r="T28" i="4"/>
  <c r="U28" i="4" s="1"/>
  <c r="P20" i="4"/>
  <c r="Q20" i="4" s="1"/>
  <c r="J28" i="4"/>
  <c r="P6" i="4"/>
  <c r="Q6" i="4" s="1"/>
  <c r="T39" i="4"/>
  <c r="U39" i="4" s="1"/>
  <c r="AF10" i="4"/>
  <c r="AG10" i="4" s="1"/>
  <c r="T46" i="4"/>
  <c r="U46" i="4" s="1"/>
  <c r="H29" i="4"/>
  <c r="K29" i="4" s="1"/>
  <c r="P22" i="4"/>
  <c r="Q22" i="4" s="1"/>
  <c r="T33" i="4"/>
  <c r="U33" i="4" s="1"/>
  <c r="T44" i="4"/>
  <c r="U44" i="4" s="1"/>
  <c r="T18" i="4"/>
  <c r="U18" i="4" s="1"/>
  <c r="I22" i="4" s="1"/>
  <c r="I21" i="4" s="1"/>
  <c r="I23" i="4" s="1"/>
  <c r="T40" i="4"/>
  <c r="U40" i="4" s="1"/>
  <c r="P17" i="4"/>
  <c r="Q17" i="4" s="1"/>
  <c r="T34" i="4"/>
  <c r="U34" i="4" s="1"/>
  <c r="M29" i="7"/>
  <c r="L22" i="7"/>
  <c r="L21" i="7" s="1"/>
  <c r="L23" i="7" s="1"/>
  <c r="L11" i="7"/>
  <c r="L10" i="7" s="1"/>
  <c r="L12" i="7" s="1"/>
  <c r="L33" i="7"/>
  <c r="L32" i="7" s="1"/>
  <c r="L34" i="7" s="1"/>
  <c r="H11" i="7"/>
  <c r="H10" i="7" s="1"/>
  <c r="AB30" i="7"/>
  <c r="AC30" i="7" s="1"/>
  <c r="AB31" i="7"/>
  <c r="AC31" i="7" s="1"/>
  <c r="AB34" i="7"/>
  <c r="AC34" i="7" s="1"/>
  <c r="AB32" i="7"/>
  <c r="AC32" i="7" s="1"/>
  <c r="AB33" i="7"/>
  <c r="AC33" i="7" s="1"/>
  <c r="AB35" i="7"/>
  <c r="AC35" i="7" s="1"/>
  <c r="AB28" i="7"/>
  <c r="AC28" i="7" s="1"/>
  <c r="AB29" i="7"/>
  <c r="AC29" i="7" s="1"/>
  <c r="M18" i="7"/>
  <c r="T8" i="7"/>
  <c r="U8" i="7" s="1"/>
  <c r="T10" i="7"/>
  <c r="U10" i="7" s="1"/>
  <c r="T12" i="7"/>
  <c r="U12" i="7" s="1"/>
  <c r="T6" i="7"/>
  <c r="U6" i="7" s="1"/>
  <c r="T11" i="7"/>
  <c r="U11" i="7" s="1"/>
  <c r="T13" i="7"/>
  <c r="U13" i="7" s="1"/>
  <c r="T7" i="7"/>
  <c r="U7" i="7" s="1"/>
  <c r="T9" i="7"/>
  <c r="U9" i="7" s="1"/>
  <c r="I55" i="7"/>
  <c r="I54" i="7" s="1"/>
  <c r="I56" i="7" s="1"/>
  <c r="K55" i="7"/>
  <c r="K54" i="7" s="1"/>
  <c r="K56" i="7" s="1"/>
  <c r="T31" i="7"/>
  <c r="U31" i="7" s="1"/>
  <c r="P32" i="7"/>
  <c r="Q32" i="7" s="1"/>
  <c r="T41" i="7"/>
  <c r="U41" i="7" s="1"/>
  <c r="I44" i="7" s="1"/>
  <c r="I43" i="7" s="1"/>
  <c r="I45" i="7" s="1"/>
  <c r="P44" i="7"/>
  <c r="Q44" i="7" s="1"/>
  <c r="AF53" i="7"/>
  <c r="AG53" i="7" s="1"/>
  <c r="J6" i="7"/>
  <c r="I7" i="7"/>
  <c r="M7" i="7" s="1"/>
  <c r="X21" i="7"/>
  <c r="Y21" i="7" s="1"/>
  <c r="J22" i="7" s="1"/>
  <c r="J21" i="7" s="1"/>
  <c r="J23" i="7" s="1"/>
  <c r="T24" i="7"/>
  <c r="U24" i="7" s="1"/>
  <c r="P33" i="7"/>
  <c r="Q33" i="7" s="1"/>
  <c r="T21" i="7"/>
  <c r="U21" i="7" s="1"/>
  <c r="P35" i="7"/>
  <c r="Q35" i="7" s="1"/>
  <c r="K17" i="7"/>
  <c r="P34" i="7"/>
  <c r="Q34" i="7" s="1"/>
  <c r="K29" i="7"/>
  <c r="H50" i="7"/>
  <c r="T23" i="7"/>
  <c r="U23" i="7" s="1"/>
  <c r="T34" i="7"/>
  <c r="U34" i="7" s="1"/>
  <c r="T33" i="7"/>
  <c r="U33" i="7" s="1"/>
  <c r="T35" i="7"/>
  <c r="U35" i="7" s="1"/>
  <c r="AF56" i="7"/>
  <c r="AG56" i="7" s="1"/>
  <c r="P28" i="7"/>
  <c r="Q28" i="7" s="1"/>
  <c r="P40" i="7"/>
  <c r="Q40" i="7" s="1"/>
  <c r="P39" i="7"/>
  <c r="Q39" i="7" s="1"/>
  <c r="AF52" i="7"/>
  <c r="AG52" i="7" s="1"/>
  <c r="T29" i="7"/>
  <c r="U29" i="7" s="1"/>
  <c r="P30" i="7"/>
  <c r="Q30" i="7" s="1"/>
  <c r="T20" i="7"/>
  <c r="U20" i="7" s="1"/>
  <c r="T19" i="7"/>
  <c r="U19" i="7" s="1"/>
  <c r="I22" i="7" s="1"/>
  <c r="I21" i="7" s="1"/>
  <c r="T44" i="7"/>
  <c r="U44" i="7" s="1"/>
  <c r="P42" i="7"/>
  <c r="Q42" i="7" s="1"/>
  <c r="P31" i="7"/>
  <c r="Q31" i="7" s="1"/>
  <c r="AF54" i="7"/>
  <c r="AG54" i="7" s="1"/>
  <c r="T30" i="7"/>
  <c r="U30" i="7" s="1"/>
  <c r="T28" i="7"/>
  <c r="U28" i="7" s="1"/>
  <c r="AF51" i="7"/>
  <c r="AG51" i="7" s="1"/>
  <c r="L55" i="7" s="1"/>
  <c r="L54" i="7" s="1"/>
  <c r="L56" i="7" s="1"/>
  <c r="AF57" i="7"/>
  <c r="AG57" i="7" s="1"/>
  <c r="H55" i="15"/>
  <c r="H54" i="15" s="1"/>
  <c r="H56" i="15" s="1"/>
  <c r="X35" i="15"/>
  <c r="Y35" i="15" s="1"/>
  <c r="X31" i="15"/>
  <c r="Y31" i="15" s="1"/>
  <c r="X32" i="15"/>
  <c r="Y32" i="15" s="1"/>
  <c r="X33" i="15"/>
  <c r="Y33" i="15" s="1"/>
  <c r="X29" i="15"/>
  <c r="Y29" i="15" s="1"/>
  <c r="X30" i="15"/>
  <c r="Y30" i="15" s="1"/>
  <c r="X34" i="15"/>
  <c r="Y34" i="15" s="1"/>
  <c r="X28" i="15"/>
  <c r="Y28" i="15" s="1"/>
  <c r="I22" i="15"/>
  <c r="I21" i="15" s="1"/>
  <c r="I23" i="15" s="1"/>
  <c r="J22" i="15"/>
  <c r="J21" i="15" s="1"/>
  <c r="J23" i="15" s="1"/>
  <c r="L33" i="15"/>
  <c r="L32" i="15" s="1"/>
  <c r="L34" i="15" s="1"/>
  <c r="H11" i="15"/>
  <c r="H10" i="15" s="1"/>
  <c r="H12" i="15" s="1"/>
  <c r="K33" i="15"/>
  <c r="K32" i="15" s="1"/>
  <c r="K34" i="15" s="1"/>
  <c r="J11" i="15"/>
  <c r="J10" i="15" s="1"/>
  <c r="J12" i="15" s="1"/>
  <c r="AB21" i="15"/>
  <c r="AC21" i="15" s="1"/>
  <c r="AB17" i="15"/>
  <c r="AC17" i="15" s="1"/>
  <c r="AB20" i="15"/>
  <c r="AC20" i="15" s="1"/>
  <c r="AB24" i="15"/>
  <c r="AC24" i="15" s="1"/>
  <c r="AB19" i="15"/>
  <c r="AC19" i="15" s="1"/>
  <c r="AB18" i="15"/>
  <c r="AC18" i="15" s="1"/>
  <c r="AB23" i="15"/>
  <c r="AC23" i="15" s="1"/>
  <c r="AB22" i="15"/>
  <c r="AC22" i="15" s="1"/>
  <c r="T52" i="15"/>
  <c r="U52" i="15" s="1"/>
  <c r="T53" i="15"/>
  <c r="U53" i="15" s="1"/>
  <c r="T51" i="15"/>
  <c r="U51" i="15" s="1"/>
  <c r="T50" i="15"/>
  <c r="U50" i="15" s="1"/>
  <c r="T56" i="15"/>
  <c r="U56" i="15" s="1"/>
  <c r="T55" i="15"/>
  <c r="U55" i="15" s="1"/>
  <c r="T54" i="15"/>
  <c r="U54" i="15" s="1"/>
  <c r="T57" i="15"/>
  <c r="U57" i="15" s="1"/>
  <c r="I44" i="15"/>
  <c r="I43" i="15" s="1"/>
  <c r="I45" i="15" s="1"/>
  <c r="H44" i="15"/>
  <c r="H43" i="15" s="1"/>
  <c r="H45" i="15" s="1"/>
  <c r="J45" i="15" s="1"/>
  <c r="J44" i="15" s="1"/>
  <c r="J43" i="15" s="1"/>
  <c r="B7" i="15" s="1"/>
  <c r="H22" i="15"/>
  <c r="H21" i="15" s="1"/>
  <c r="H23" i="15" s="1"/>
  <c r="AB56" i="15"/>
  <c r="AC56" i="15" s="1"/>
  <c r="AB57" i="15"/>
  <c r="AC57" i="15" s="1"/>
  <c r="AB54" i="15"/>
  <c r="AC54" i="15" s="1"/>
  <c r="AB53" i="15"/>
  <c r="AC53" i="15" s="1"/>
  <c r="AB51" i="15"/>
  <c r="AC51" i="15" s="1"/>
  <c r="AB55" i="15"/>
  <c r="AC55" i="15" s="1"/>
  <c r="AB50" i="15"/>
  <c r="AC50" i="15" s="1"/>
  <c r="K55" i="15" s="1"/>
  <c r="K54" i="15" s="1"/>
  <c r="K56" i="15" s="1"/>
  <c r="AB52" i="15"/>
  <c r="AC52" i="15" s="1"/>
  <c r="P67" i="15"/>
  <c r="Q67" i="15" s="1"/>
  <c r="AF10" i="15"/>
  <c r="AG10" i="15" s="1"/>
  <c r="J29" i="15"/>
  <c r="M29" i="15" s="1"/>
  <c r="AF13" i="15"/>
  <c r="AG13" i="15" s="1"/>
  <c r="X54" i="15"/>
  <c r="Y54" i="15" s="1"/>
  <c r="AF6" i="15"/>
  <c r="AG6" i="15" s="1"/>
  <c r="AF11" i="15"/>
  <c r="AG11" i="15" s="1"/>
  <c r="K18" i="15"/>
  <c r="M18" i="15" s="1"/>
  <c r="H28" i="15"/>
  <c r="AF12" i="15"/>
  <c r="AG12" i="15" s="1"/>
  <c r="X50" i="15"/>
  <c r="Y50" i="15" s="1"/>
  <c r="J55" i="15" s="1"/>
  <c r="J54" i="15" s="1"/>
  <c r="J56" i="15" s="1"/>
  <c r="I51" i="15"/>
  <c r="P68" i="15"/>
  <c r="Q68" i="15" s="1"/>
  <c r="P66" i="15"/>
  <c r="Q66" i="15" s="1"/>
  <c r="X51" i="15"/>
  <c r="Y51" i="15" s="1"/>
  <c r="X52" i="15"/>
  <c r="Y52" i="15" s="1"/>
  <c r="X53" i="15"/>
  <c r="Y53" i="15" s="1"/>
  <c r="P61" i="15"/>
  <c r="Q61" i="15" s="1"/>
  <c r="P62" i="15"/>
  <c r="Q62" i="15" s="1"/>
  <c r="AF9" i="15"/>
  <c r="AG9" i="15" s="1"/>
  <c r="X57" i="15"/>
  <c r="Y57" i="15" s="1"/>
  <c r="K51" i="15"/>
  <c r="P65" i="15"/>
  <c r="Q65" i="15" s="1"/>
  <c r="X56" i="15"/>
  <c r="Y56" i="15" s="1"/>
  <c r="I6" i="15"/>
  <c r="F18" i="11"/>
  <c r="F17" i="11"/>
  <c r="F30" i="11"/>
  <c r="F6" i="11"/>
  <c r="BE30" i="19"/>
  <c r="BK29" i="19"/>
  <c r="AF21" i="15"/>
  <c r="AG21" i="15" s="1"/>
  <c r="AF18" i="15"/>
  <c r="AG18" i="15" s="1"/>
  <c r="AF20" i="15"/>
  <c r="AG20" i="15" s="1"/>
  <c r="AF24" i="15"/>
  <c r="AG24" i="15" s="1"/>
  <c r="AF23" i="15"/>
  <c r="AG23" i="15" s="1"/>
  <c r="F16" i="11"/>
  <c r="F24" i="11"/>
  <c r="F26" i="11"/>
  <c r="F9" i="11"/>
  <c r="F7" i="11"/>
  <c r="F19" i="11"/>
  <c r="F8" i="11"/>
  <c r="F15" i="11"/>
  <c r="F27" i="11"/>
  <c r="F4" i="11"/>
  <c r="F28" i="11"/>
  <c r="F5" i="11"/>
  <c r="P6" i="12"/>
  <c r="Q6" i="12" s="1"/>
  <c r="P11" i="12"/>
  <c r="Q11" i="12" s="1"/>
  <c r="P10" i="12"/>
  <c r="Q10" i="12" s="1"/>
  <c r="P8" i="12"/>
  <c r="Q8" i="12" s="1"/>
  <c r="P13" i="12"/>
  <c r="Q13" i="12" s="1"/>
  <c r="P7" i="12"/>
  <c r="Q7" i="12" s="1"/>
  <c r="X24" i="4"/>
  <c r="Y24" i="4" s="1"/>
  <c r="X18" i="4"/>
  <c r="Y18" i="4" s="1"/>
  <c r="X22" i="4"/>
  <c r="Y22" i="4" s="1"/>
  <c r="X17" i="4"/>
  <c r="Y17" i="4" s="1"/>
  <c r="X20" i="4"/>
  <c r="Y20" i="4" s="1"/>
  <c r="T9" i="10" l="1"/>
  <c r="U9" i="10" s="1"/>
  <c r="T12" i="10"/>
  <c r="U12" i="10" s="1"/>
  <c r="T10" i="10"/>
  <c r="U10" i="10" s="1"/>
  <c r="T6" i="10"/>
  <c r="U6" i="10" s="1"/>
  <c r="T13" i="10"/>
  <c r="U13" i="10" s="1"/>
  <c r="T8" i="10"/>
  <c r="U8" i="10" s="1"/>
  <c r="T11" i="10"/>
  <c r="U11" i="10" s="1"/>
  <c r="T7" i="10"/>
  <c r="U7" i="10" s="1"/>
  <c r="P13" i="10"/>
  <c r="Q13" i="10" s="1"/>
  <c r="P12" i="10"/>
  <c r="Q12" i="10" s="1"/>
  <c r="P7" i="10"/>
  <c r="Q7" i="10" s="1"/>
  <c r="P10" i="10"/>
  <c r="Q10" i="10" s="1"/>
  <c r="P9" i="10"/>
  <c r="Q9" i="10" s="1"/>
  <c r="P6" i="10"/>
  <c r="Q6" i="10" s="1"/>
  <c r="H11" i="10" s="1"/>
  <c r="H10" i="10" s="1"/>
  <c r="P11" i="10"/>
  <c r="Q11" i="10" s="1"/>
  <c r="P8" i="10"/>
  <c r="Q8" i="10" s="1"/>
  <c r="H34" i="13"/>
  <c r="K34" i="13" s="1"/>
  <c r="K33" i="13" s="1"/>
  <c r="K32" i="13" s="1"/>
  <c r="J33" i="13"/>
  <c r="J32" i="13" s="1"/>
  <c r="J34" i="13" s="1"/>
  <c r="K11" i="13"/>
  <c r="K10" i="13" s="1"/>
  <c r="K12" i="13" s="1"/>
  <c r="J11" i="13"/>
  <c r="J10" i="13" s="1"/>
  <c r="J12" i="13" s="1"/>
  <c r="L11" i="13"/>
  <c r="L10" i="13" s="1"/>
  <c r="L12" i="13" s="1"/>
  <c r="I22" i="13"/>
  <c r="I21" i="13" s="1"/>
  <c r="I23" i="13" s="1"/>
  <c r="T12" i="13"/>
  <c r="U12" i="13" s="1"/>
  <c r="T13" i="13"/>
  <c r="U13" i="13" s="1"/>
  <c r="T9" i="13"/>
  <c r="U9" i="13" s="1"/>
  <c r="T10" i="13"/>
  <c r="U10" i="13" s="1"/>
  <c r="T6" i="13"/>
  <c r="U6" i="13" s="1"/>
  <c r="T11" i="13"/>
  <c r="U11" i="13" s="1"/>
  <c r="T8" i="13"/>
  <c r="U8" i="13" s="1"/>
  <c r="T7" i="13"/>
  <c r="U7" i="13" s="1"/>
  <c r="X18" i="13"/>
  <c r="Y18" i="13" s="1"/>
  <c r="X23" i="13"/>
  <c r="Y23" i="13" s="1"/>
  <c r="X21" i="13"/>
  <c r="Y21" i="13" s="1"/>
  <c r="X20" i="13"/>
  <c r="Y20" i="13" s="1"/>
  <c r="X22" i="13"/>
  <c r="Y22" i="13" s="1"/>
  <c r="X19" i="13"/>
  <c r="Y19" i="13" s="1"/>
  <c r="X17" i="13"/>
  <c r="Y17" i="13" s="1"/>
  <c r="X24" i="13"/>
  <c r="Y24" i="13" s="1"/>
  <c r="H34" i="2"/>
  <c r="L34" i="2" s="1"/>
  <c r="L33" i="2" s="1"/>
  <c r="L32" i="2" s="1"/>
  <c r="B6" i="2" s="1"/>
  <c r="K22" i="2"/>
  <c r="K21" i="2" s="1"/>
  <c r="K23" i="2" s="1"/>
  <c r="J22" i="2"/>
  <c r="J21" i="2" s="1"/>
  <c r="J23" i="2" s="1"/>
  <c r="H44" i="2"/>
  <c r="H43" i="2" s="1"/>
  <c r="K44" i="2"/>
  <c r="K43" i="2" s="1"/>
  <c r="K45" i="2" s="1"/>
  <c r="M12" i="2"/>
  <c r="M11" i="2" s="1"/>
  <c r="M10" i="2" s="1"/>
  <c r="B4" i="2" s="1"/>
  <c r="L22" i="2"/>
  <c r="L21" i="2" s="1"/>
  <c r="L23" i="2" s="1"/>
  <c r="M23" i="2" s="1"/>
  <c r="M22" i="2" s="1"/>
  <c r="M21" i="2" s="1"/>
  <c r="I44" i="2"/>
  <c r="I43" i="2" s="1"/>
  <c r="I45" i="2" s="1"/>
  <c r="L44" i="2"/>
  <c r="L43" i="2" s="1"/>
  <c r="L45" i="2" s="1"/>
  <c r="B12" i="12"/>
  <c r="J22" i="12"/>
  <c r="J21" i="12" s="1"/>
  <c r="J23" i="12" s="1"/>
  <c r="K11" i="12"/>
  <c r="K10" i="12" s="1"/>
  <c r="K12" i="12" s="1"/>
  <c r="B10" i="12"/>
  <c r="H44" i="12"/>
  <c r="H43" i="12" s="1"/>
  <c r="H33" i="12"/>
  <c r="H32" i="12" s="1"/>
  <c r="B14" i="12"/>
  <c r="I22" i="12"/>
  <c r="I21" i="12" s="1"/>
  <c r="L22" i="12"/>
  <c r="L21" i="12" s="1"/>
  <c r="L23" i="12" s="1"/>
  <c r="T12" i="4"/>
  <c r="U12" i="4" s="1"/>
  <c r="T7" i="4"/>
  <c r="U7" i="4" s="1"/>
  <c r="T8" i="4"/>
  <c r="U8" i="4" s="1"/>
  <c r="T13" i="4"/>
  <c r="U13" i="4" s="1"/>
  <c r="T11" i="4"/>
  <c r="U11" i="4" s="1"/>
  <c r="T10" i="4"/>
  <c r="U10" i="4" s="1"/>
  <c r="T9" i="4"/>
  <c r="U9" i="4" s="1"/>
  <c r="T6" i="4"/>
  <c r="U6" i="4" s="1"/>
  <c r="I11" i="4" s="1"/>
  <c r="I10" i="4" s="1"/>
  <c r="I12" i="4" s="1"/>
  <c r="H11" i="4"/>
  <c r="H10" i="4" s="1"/>
  <c r="X33" i="4"/>
  <c r="Y33" i="4" s="1"/>
  <c r="X31" i="4"/>
  <c r="Y31" i="4" s="1"/>
  <c r="X35" i="4"/>
  <c r="Y35" i="4" s="1"/>
  <c r="X34" i="4"/>
  <c r="Y34" i="4" s="1"/>
  <c r="X30" i="4"/>
  <c r="Y30" i="4" s="1"/>
  <c r="X28" i="4"/>
  <c r="Y28" i="4" s="1"/>
  <c r="X29" i="4"/>
  <c r="Y29" i="4" s="1"/>
  <c r="X32" i="4"/>
  <c r="Y32" i="4" s="1"/>
  <c r="H22" i="4"/>
  <c r="H21" i="4" s="1"/>
  <c r="H23" i="4" s="1"/>
  <c r="I44" i="4"/>
  <c r="I43" i="4" s="1"/>
  <c r="I33" i="4"/>
  <c r="I32" i="4" s="1"/>
  <c r="I34" i="4" s="1"/>
  <c r="H33" i="4"/>
  <c r="H32" i="4" s="1"/>
  <c r="I23" i="7"/>
  <c r="AB19" i="7"/>
  <c r="AC19" i="7" s="1"/>
  <c r="AB23" i="7"/>
  <c r="AC23" i="7" s="1"/>
  <c r="AB24" i="7"/>
  <c r="AC24" i="7" s="1"/>
  <c r="AB21" i="7"/>
  <c r="AC21" i="7" s="1"/>
  <c r="AB22" i="7"/>
  <c r="AC22" i="7" s="1"/>
  <c r="AB17" i="7"/>
  <c r="AC17" i="7" s="1"/>
  <c r="AB18" i="7"/>
  <c r="AC18" i="7" s="1"/>
  <c r="AB20" i="7"/>
  <c r="AC20" i="7" s="1"/>
  <c r="H44" i="7"/>
  <c r="H43" i="7" s="1"/>
  <c r="I33" i="7"/>
  <c r="I32" i="7" s="1"/>
  <c r="I34" i="7" s="1"/>
  <c r="H12" i="7"/>
  <c r="P50" i="7"/>
  <c r="Q50" i="7" s="1"/>
  <c r="P55" i="7"/>
  <c r="Q55" i="7" s="1"/>
  <c r="P53" i="7"/>
  <c r="Q53" i="7" s="1"/>
  <c r="P54" i="7"/>
  <c r="Q54" i="7" s="1"/>
  <c r="P56" i="7"/>
  <c r="Q56" i="7" s="1"/>
  <c r="P51" i="7"/>
  <c r="Q51" i="7" s="1"/>
  <c r="P52" i="7"/>
  <c r="Q52" i="7" s="1"/>
  <c r="P57" i="7"/>
  <c r="Q57" i="7" s="1"/>
  <c r="H33" i="7"/>
  <c r="H32" i="7" s="1"/>
  <c r="I11" i="7"/>
  <c r="I10" i="7" s="1"/>
  <c r="I12" i="7" s="1"/>
  <c r="K33" i="7"/>
  <c r="K32" i="7" s="1"/>
  <c r="K34" i="7" s="1"/>
  <c r="X12" i="7"/>
  <c r="Y12" i="7" s="1"/>
  <c r="X7" i="7"/>
  <c r="Y7" i="7" s="1"/>
  <c r="X8" i="7"/>
  <c r="Y8" i="7" s="1"/>
  <c r="X11" i="7"/>
  <c r="Y11" i="7" s="1"/>
  <c r="X13" i="7"/>
  <c r="Y13" i="7" s="1"/>
  <c r="X10" i="7"/>
  <c r="Y10" i="7" s="1"/>
  <c r="X9" i="7"/>
  <c r="Y9" i="7" s="1"/>
  <c r="X6" i="7"/>
  <c r="Y6" i="7" s="1"/>
  <c r="J11" i="7" s="1"/>
  <c r="J10" i="7" s="1"/>
  <c r="J12" i="7" s="1"/>
  <c r="K22" i="15"/>
  <c r="K21" i="15" s="1"/>
  <c r="K23" i="15" s="1"/>
  <c r="P34" i="15"/>
  <c r="Q34" i="15" s="1"/>
  <c r="P29" i="15"/>
  <c r="Q29" i="15" s="1"/>
  <c r="P32" i="15"/>
  <c r="Q32" i="15" s="1"/>
  <c r="P30" i="15"/>
  <c r="Q30" i="15" s="1"/>
  <c r="P28" i="15"/>
  <c r="Q28" i="15" s="1"/>
  <c r="H33" i="15" s="1"/>
  <c r="H32" i="15" s="1"/>
  <c r="P31" i="15"/>
  <c r="Q31" i="15" s="1"/>
  <c r="P35" i="15"/>
  <c r="Q35" i="15" s="1"/>
  <c r="P33" i="15"/>
  <c r="Q33" i="15" s="1"/>
  <c r="I55" i="15"/>
  <c r="I54" i="15" s="1"/>
  <c r="J33" i="15"/>
  <c r="J32" i="15" s="1"/>
  <c r="J34" i="15" s="1"/>
  <c r="L11" i="15"/>
  <c r="L10" i="15" s="1"/>
  <c r="L12" i="15" s="1"/>
  <c r="H66" i="15"/>
  <c r="H65" i="15" s="1"/>
  <c r="T8" i="15"/>
  <c r="U8" i="15" s="1"/>
  <c r="T12" i="15"/>
  <c r="U12" i="15" s="1"/>
  <c r="T6" i="15"/>
  <c r="U6" i="15" s="1"/>
  <c r="T11" i="15"/>
  <c r="U11" i="15" s="1"/>
  <c r="T9" i="15"/>
  <c r="U9" i="15" s="1"/>
  <c r="T13" i="15"/>
  <c r="U13" i="15" s="1"/>
  <c r="T10" i="15"/>
  <c r="U10" i="15" s="1"/>
  <c r="T7" i="15"/>
  <c r="U7" i="15" s="1"/>
  <c r="M51" i="15"/>
  <c r="BK30" i="19"/>
  <c r="BE31" i="19"/>
  <c r="L22" i="15"/>
  <c r="L21" i="15" s="1"/>
  <c r="L23" i="15" s="1"/>
  <c r="M23" i="15" s="1"/>
  <c r="M22" i="15" s="1"/>
  <c r="M21" i="15" s="1"/>
  <c r="B5" i="15" s="1"/>
  <c r="H11" i="12"/>
  <c r="H10" i="12" s="1"/>
  <c r="J22" i="4"/>
  <c r="J21" i="4" s="1"/>
  <c r="H12" i="10" l="1"/>
  <c r="I11" i="10"/>
  <c r="I10" i="10" s="1"/>
  <c r="I12" i="10" s="1"/>
  <c r="J22" i="13"/>
  <c r="J21" i="13" s="1"/>
  <c r="J23" i="13" s="1"/>
  <c r="K23" i="13" s="1"/>
  <c r="K22" i="13" s="1"/>
  <c r="K21" i="13" s="1"/>
  <c r="I11" i="13"/>
  <c r="I10" i="13" s="1"/>
  <c r="B7" i="13"/>
  <c r="H45" i="2"/>
  <c r="M45" i="2" s="1"/>
  <c r="M44" i="2" s="1"/>
  <c r="M43" i="2" s="1"/>
  <c r="B8" i="2" s="1"/>
  <c r="B5" i="2"/>
  <c r="H34" i="12"/>
  <c r="L34" i="12" s="1"/>
  <c r="L33" i="12" s="1"/>
  <c r="L32" i="12" s="1"/>
  <c r="B6" i="12" s="1"/>
  <c r="H45" i="12"/>
  <c r="I45" i="12" s="1"/>
  <c r="I44" i="12" s="1"/>
  <c r="I43" i="12" s="1"/>
  <c r="B8" i="12" s="1"/>
  <c r="I23" i="12"/>
  <c r="M23" i="12" s="1"/>
  <c r="M22" i="12" s="1"/>
  <c r="M21" i="12" s="1"/>
  <c r="B5" i="12" s="1"/>
  <c r="H12" i="4"/>
  <c r="M12" i="4" s="1"/>
  <c r="M11" i="4" s="1"/>
  <c r="M10" i="4" s="1"/>
  <c r="B4" i="4" s="1"/>
  <c r="I45" i="4"/>
  <c r="K45" i="4" s="1"/>
  <c r="K44" i="4" s="1"/>
  <c r="K43" i="4" s="1"/>
  <c r="B8" i="4" s="1"/>
  <c r="J33" i="4"/>
  <c r="J32" i="4" s="1"/>
  <c r="J34" i="4" s="1"/>
  <c r="H34" i="4"/>
  <c r="K22" i="7"/>
  <c r="K21" i="7" s="1"/>
  <c r="H34" i="7"/>
  <c r="M34" i="7" s="1"/>
  <c r="M33" i="7" s="1"/>
  <c r="M32" i="7" s="1"/>
  <c r="B6" i="7" s="1"/>
  <c r="H45" i="7"/>
  <c r="J45" i="7" s="1"/>
  <c r="J44" i="7" s="1"/>
  <c r="J43" i="7" s="1"/>
  <c r="B7" i="7" s="1"/>
  <c r="H55" i="7"/>
  <c r="H54" i="7" s="1"/>
  <c r="M12" i="7"/>
  <c r="M11" i="7" s="1"/>
  <c r="M10" i="7" s="1"/>
  <c r="B4" i="7" s="1"/>
  <c r="H34" i="15"/>
  <c r="M34" i="15" s="1"/>
  <c r="M33" i="15" s="1"/>
  <c r="M32" i="15" s="1"/>
  <c r="B6" i="15" s="1"/>
  <c r="I11" i="15"/>
  <c r="I10" i="15" s="1"/>
  <c r="I56" i="15"/>
  <c r="M56" i="15" s="1"/>
  <c r="M55" i="15" s="1"/>
  <c r="M54" i="15" s="1"/>
  <c r="B9" i="15" s="1"/>
  <c r="H67" i="15"/>
  <c r="I67" i="15" s="1"/>
  <c r="I66" i="15" s="1"/>
  <c r="I65" i="15" s="1"/>
  <c r="B10" i="15" s="1"/>
  <c r="BE32" i="19"/>
  <c r="BK31" i="19"/>
  <c r="H12" i="12"/>
  <c r="M12" i="12" s="1"/>
  <c r="M11" i="12" s="1"/>
  <c r="M10" i="12" s="1"/>
  <c r="B4" i="12" s="1"/>
  <c r="J23" i="4"/>
  <c r="M23" i="4" s="1"/>
  <c r="M22" i="4" s="1"/>
  <c r="M21" i="4" s="1"/>
  <c r="B5" i="4" s="1"/>
  <c r="L12" i="10" l="1"/>
  <c r="L11" i="10" s="1"/>
  <c r="L10" i="10" s="1"/>
  <c r="B4" i="10" s="1"/>
  <c r="I12" i="13"/>
  <c r="M12" i="13" s="1"/>
  <c r="M11" i="13" s="1"/>
  <c r="M10" i="13" s="1"/>
  <c r="B4" i="13" s="1"/>
  <c r="B5" i="13"/>
  <c r="K34" i="4"/>
  <c r="K33" i="4" s="1"/>
  <c r="K32" i="4" s="1"/>
  <c r="B6" i="4" s="1"/>
  <c r="H56" i="7"/>
  <c r="M56" i="7" s="1"/>
  <c r="M55" i="7" s="1"/>
  <c r="M54" i="7" s="1"/>
  <c r="B9" i="7" s="1"/>
  <c r="K23" i="7"/>
  <c r="M23" i="7" s="1"/>
  <c r="M22" i="7" s="1"/>
  <c r="M21" i="7" s="1"/>
  <c r="B5" i="7" s="1"/>
  <c r="I12" i="15"/>
  <c r="M12" i="15" s="1"/>
  <c r="M11" i="15" s="1"/>
  <c r="M10" i="15" s="1"/>
  <c r="B4" i="15" s="1"/>
  <c r="BE33" i="19"/>
  <c r="BK32" i="19"/>
  <c r="BE34" i="19" l="1"/>
  <c r="BK33" i="19"/>
  <c r="BK34" i="19" l="1"/>
  <c r="BE35" i="19"/>
  <c r="BK35" i="19" l="1"/>
  <c r="BE36" i="19"/>
  <c r="BK36" i="19" l="1"/>
  <c r="BE37" i="19"/>
  <c r="BK37" i="19" l="1"/>
  <c r="BE38" i="19"/>
  <c r="BE39" i="19" l="1"/>
  <c r="BK38" i="19"/>
  <c r="BE40" i="19" l="1"/>
  <c r="BK39" i="19"/>
  <c r="BK40" i="19" l="1"/>
  <c r="BE41" i="19"/>
  <c r="BE42" i="19" l="1"/>
  <c r="BK41" i="19"/>
  <c r="BE43" i="19" l="1"/>
  <c r="BK42" i="19"/>
  <c r="BE44" i="19" l="1"/>
  <c r="BK44" i="19" s="1"/>
  <c r="BK43" i="19"/>
  <c r="B45" i="19" l="1"/>
  <c r="BN17" i="19"/>
  <c r="B18" i="19" l="1"/>
  <c r="B16" i="19"/>
  <c r="J78" i="19"/>
  <c r="J77" i="19" s="1"/>
  <c r="M78" i="19"/>
  <c r="M77" i="19"/>
  <c r="M76" i="19"/>
  <c r="B10" i="19"/>
  <c r="K67" i="19"/>
  <c r="K66" i="19" s="1"/>
  <c r="K65" i="19" s="1"/>
  <c r="B9" i="19" s="1"/>
  <c r="I419" i="19"/>
  <c r="M419" i="19" s="1"/>
  <c r="M418" i="19" s="1"/>
  <c r="M417" i="19" s="1"/>
  <c r="I418" i="19" l="1"/>
  <c r="I417" i="19" s="1"/>
  <c r="AO31" i="19" s="1"/>
  <c r="AP31" i="19" s="1"/>
  <c r="AQ4" i="19" s="1"/>
  <c r="KF5" i="19" s="1"/>
  <c r="KF6" i="19" s="1"/>
  <c r="BN19" i="19"/>
  <c r="B42" i="19"/>
  <c r="BN16" i="19"/>
  <c r="JI5" i="19" l="1"/>
  <c r="JI6" i="19" s="1"/>
  <c r="DW5" i="19"/>
  <c r="DW6" i="19" s="1"/>
  <c r="CI5" i="19"/>
  <c r="CI6" i="19" s="1"/>
  <c r="ET5" i="19"/>
  <c r="ET6" i="19" s="1"/>
  <c r="EM5" i="19"/>
  <c r="EM6" i="19" s="1"/>
  <c r="BS5" i="19"/>
  <c r="BS6" i="19" s="1"/>
  <c r="DD5" i="19"/>
  <c r="DD6" i="19" s="1"/>
  <c r="IP5" i="19"/>
  <c r="IP6" i="19" s="1"/>
  <c r="KO5" i="19"/>
  <c r="KO6" i="19" s="1"/>
  <c r="DH5" i="19"/>
  <c r="DH6" i="19" s="1"/>
  <c r="JY5" i="19"/>
  <c r="JY6" i="19" s="1"/>
  <c r="FY5" i="19"/>
  <c r="FY6" i="19" s="1"/>
  <c r="HV5" i="19"/>
  <c r="HV6" i="19" s="1"/>
  <c r="EJ5" i="19"/>
  <c r="EJ6" i="19" s="1"/>
  <c r="BP5" i="19"/>
  <c r="BP6" i="19" s="1"/>
  <c r="GA5" i="19"/>
  <c r="GA6" i="19" s="1"/>
  <c r="HG5" i="19"/>
  <c r="HG6" i="19" s="1"/>
  <c r="FU5" i="19"/>
  <c r="FU6" i="19" s="1"/>
  <c r="DK5" i="19"/>
  <c r="DK6" i="19" s="1"/>
  <c r="AQ5" i="19"/>
  <c r="AQ6" i="19" s="1"/>
  <c r="EH5" i="19"/>
  <c r="EH6" i="19" s="1"/>
  <c r="JQ5" i="19"/>
  <c r="JQ6" i="19" s="1"/>
  <c r="KR5" i="19"/>
  <c r="KR6" i="19" s="1"/>
  <c r="EK5" i="19"/>
  <c r="EK6" i="19" s="1"/>
  <c r="DT5" i="19"/>
  <c r="DT6" i="19" s="1"/>
  <c r="JS5" i="19"/>
  <c r="JS6" i="19" s="1"/>
  <c r="CB5" i="19"/>
  <c r="CB6" i="19" s="1"/>
  <c r="KH5" i="19"/>
  <c r="KH6" i="19" s="1"/>
  <c r="FF5" i="19"/>
  <c r="FF6" i="19" s="1"/>
  <c r="DN5" i="19"/>
  <c r="DN6" i="19" s="1"/>
  <c r="EP5" i="19"/>
  <c r="EP6" i="19" s="1"/>
  <c r="FL5" i="19"/>
  <c r="FL6" i="19" s="1"/>
  <c r="BM5" i="19"/>
  <c r="BM6" i="19" s="1"/>
  <c r="DB5" i="19"/>
  <c r="DB6" i="19" s="1"/>
  <c r="ED5" i="19"/>
  <c r="ED6" i="19" s="1"/>
  <c r="DE5" i="19"/>
  <c r="DE6" i="19" s="1"/>
  <c r="DJ5" i="19"/>
  <c r="DJ6" i="19" s="1"/>
  <c r="CV5" i="19"/>
  <c r="CV6" i="19" s="1"/>
  <c r="IA5" i="19"/>
  <c r="IA6" i="19" s="1"/>
  <c r="GM5" i="19"/>
  <c r="GM6" i="19" s="1"/>
  <c r="JP5" i="19"/>
  <c r="JP6" i="19" s="1"/>
  <c r="DX5" i="19"/>
  <c r="DX6" i="19" s="1"/>
  <c r="BD5" i="19"/>
  <c r="BD6" i="19" s="1"/>
  <c r="HA5" i="19"/>
  <c r="HA6" i="19" s="1"/>
  <c r="GL5" i="19"/>
  <c r="GL6" i="19" s="1"/>
  <c r="FS5" i="19"/>
  <c r="FS6" i="19" s="1"/>
  <c r="CY5" i="19"/>
  <c r="CY6" i="19" s="1"/>
  <c r="GF5" i="19"/>
  <c r="GF6" i="19" s="1"/>
  <c r="CR5" i="19"/>
  <c r="CR6" i="19" s="1"/>
  <c r="GO5" i="19"/>
  <c r="GO6" i="19" s="1"/>
  <c r="HW5" i="19"/>
  <c r="HW6" i="19" s="1"/>
  <c r="IT5" i="19"/>
  <c r="IT6" i="19" s="1"/>
  <c r="JE5" i="19"/>
  <c r="JE6" i="19" s="1"/>
  <c r="GE5" i="19"/>
  <c r="GE6" i="19" s="1"/>
  <c r="EB5" i="19"/>
  <c r="EB6" i="19" s="1"/>
  <c r="HS5" i="19"/>
  <c r="HS6" i="19" s="1"/>
  <c r="JU5" i="19"/>
  <c r="JU6" i="19" s="1"/>
  <c r="EE5" i="19"/>
  <c r="EE6" i="19" s="1"/>
  <c r="CU5" i="19"/>
  <c r="CU6" i="19" s="1"/>
  <c r="EQ5" i="19"/>
  <c r="EQ6" i="19" s="1"/>
  <c r="DA5" i="19"/>
  <c r="DA6" i="19" s="1"/>
  <c r="CX5" i="19"/>
  <c r="CX6" i="19" s="1"/>
  <c r="DU5" i="19"/>
  <c r="DU6" i="19" s="1"/>
  <c r="BA5" i="19"/>
  <c r="BA6" i="19" s="1"/>
  <c r="AV5" i="19"/>
  <c r="AV6" i="19" s="1"/>
  <c r="IH5" i="19"/>
  <c r="IH6" i="19" s="1"/>
  <c r="FJ5" i="19"/>
  <c r="FJ6" i="19" s="1"/>
  <c r="CP5" i="19"/>
  <c r="CP6" i="19" s="1"/>
  <c r="JK5" i="19"/>
  <c r="JK6" i="19" s="1"/>
  <c r="GI5" i="19"/>
  <c r="GI6" i="19" s="1"/>
  <c r="KM5" i="19"/>
  <c r="KM6" i="19" s="1"/>
  <c r="DR5" i="19"/>
  <c r="DR6" i="19" s="1"/>
  <c r="AX5" i="19"/>
  <c r="AX6" i="19" s="1"/>
  <c r="HQ5" i="19"/>
  <c r="HQ6" i="19" s="1"/>
  <c r="JG5" i="19"/>
  <c r="JG6" i="19" s="1"/>
  <c r="FM5" i="19"/>
  <c r="FM6" i="19" s="1"/>
  <c r="CS5" i="19"/>
  <c r="CS6" i="19" s="1"/>
  <c r="HP5" i="19"/>
  <c r="HP6" i="19" s="1"/>
  <c r="BZ5" i="19"/>
  <c r="BZ6" i="19" s="1"/>
  <c r="IR5" i="19"/>
  <c r="IR6" i="19" s="1"/>
  <c r="HR5" i="19"/>
  <c r="HR6" i="19" s="1"/>
  <c r="FV5" i="19"/>
  <c r="FV6" i="19" s="1"/>
  <c r="KP5" i="19"/>
  <c r="KP6" i="19" s="1"/>
  <c r="CC5" i="19"/>
  <c r="CC6" i="19" s="1"/>
  <c r="JL5" i="19"/>
  <c r="JL6" i="19" s="1"/>
  <c r="GW5" i="19"/>
  <c r="GW6" i="19" s="1"/>
  <c r="KJ5" i="19"/>
  <c r="KJ6" i="19" s="1"/>
  <c r="CL5" i="19"/>
  <c r="CL6" i="19" s="1"/>
  <c r="HB5" i="19"/>
  <c r="HB6" i="19" s="1"/>
  <c r="BJ5" i="19"/>
  <c r="BJ6" i="19" s="1"/>
  <c r="IS5" i="19"/>
  <c r="IS6" i="19" s="1"/>
  <c r="BT5" i="19"/>
  <c r="BT6" i="19" s="1"/>
  <c r="AS5" i="19"/>
  <c r="AS6" i="19" s="1"/>
  <c r="CF5" i="19"/>
  <c r="CF6" i="19" s="1"/>
  <c r="DO5" i="19"/>
  <c r="DO6" i="19" s="1"/>
  <c r="AU5" i="19"/>
  <c r="AU6" i="19" s="1"/>
  <c r="HC5" i="19"/>
  <c r="HC6" i="19" s="1"/>
  <c r="FX5" i="19"/>
  <c r="FX6" i="19" s="1"/>
  <c r="FD5" i="19"/>
  <c r="FD6" i="19" s="1"/>
  <c r="CJ5" i="19"/>
  <c r="CJ6" i="19" s="1"/>
  <c r="GR5" i="19"/>
  <c r="GR6" i="19" s="1"/>
  <c r="HH5" i="19"/>
  <c r="HH6" i="19" s="1"/>
  <c r="HL5" i="19"/>
  <c r="HL6" i="19" s="1"/>
  <c r="DL5" i="19"/>
  <c r="DL6" i="19" s="1"/>
  <c r="AR5" i="19"/>
  <c r="AR6" i="19" s="1"/>
  <c r="IU5" i="19"/>
  <c r="IU6" i="19" s="1"/>
  <c r="JJ5" i="19"/>
  <c r="JJ6" i="19" s="1"/>
  <c r="FG5" i="19"/>
  <c r="FG6" i="19" s="1"/>
  <c r="CM5" i="19"/>
  <c r="CM6" i="19" s="1"/>
  <c r="KE5" i="19"/>
  <c r="KE6" i="19" s="1"/>
  <c r="BH5" i="19"/>
  <c r="BH6" i="19" s="1"/>
  <c r="GS5" i="19"/>
  <c r="GS6" i="19" s="1"/>
  <c r="GY5" i="19"/>
  <c r="GY6" i="19" s="1"/>
  <c r="KC5" i="19"/>
  <c r="KC6" i="19" s="1"/>
  <c r="JX5" i="19"/>
  <c r="JX6" i="19" s="1"/>
  <c r="FZ5" i="19"/>
  <c r="FZ6" i="19" s="1"/>
  <c r="CO5" i="19"/>
  <c r="CO6" i="19" s="1"/>
  <c r="IX5" i="19"/>
  <c r="IX6" i="19" s="1"/>
  <c r="FP5" i="19"/>
  <c r="FP6" i="19" s="1"/>
  <c r="DI5" i="19"/>
  <c r="DI6" i="19" s="1"/>
  <c r="JF5" i="19"/>
  <c r="JF6" i="19" s="1"/>
  <c r="HN5" i="19"/>
  <c r="HN6" i="19" s="1"/>
  <c r="HE5" i="19"/>
  <c r="HE6" i="19" s="1"/>
  <c r="JT5" i="19"/>
  <c r="JT6" i="19" s="1"/>
  <c r="JR5" i="19"/>
  <c r="JR6" i="19" s="1"/>
  <c r="DF5" i="19"/>
  <c r="DF6" i="19" s="1"/>
  <c r="GT5" i="19"/>
  <c r="GT6" i="19" s="1"/>
  <c r="IK5" i="19"/>
  <c r="IK6" i="19" s="1"/>
  <c r="GB5" i="19"/>
  <c r="GB6" i="19" s="1"/>
  <c r="FA5" i="19"/>
  <c r="FA6" i="19" s="1"/>
  <c r="CG5" i="19"/>
  <c r="CG6" i="19" s="1"/>
  <c r="IF5" i="19"/>
  <c r="IF6" i="19" s="1"/>
  <c r="HT5" i="19"/>
  <c r="HT6" i="19" s="1"/>
  <c r="HD5" i="19"/>
  <c r="HD6" i="19" s="1"/>
  <c r="GV5" i="19"/>
  <c r="GV6" i="19" s="1"/>
  <c r="CE5" i="19"/>
  <c r="CE6" i="19" s="1"/>
  <c r="BC5" i="19"/>
  <c r="BC6" i="19" s="1"/>
  <c r="BY5" i="19"/>
  <c r="BY6" i="19" s="1"/>
  <c r="IZ5" i="19"/>
  <c r="IZ6" i="19" s="1"/>
  <c r="HU5" i="19"/>
  <c r="HU6" i="19" s="1"/>
  <c r="DP5" i="19"/>
  <c r="DP6" i="19" s="1"/>
  <c r="EA5" i="19"/>
  <c r="EA6" i="19" s="1"/>
  <c r="DS5" i="19"/>
  <c r="DS6" i="19" s="1"/>
  <c r="CD5" i="19"/>
  <c r="CD6" i="19" s="1"/>
  <c r="DG5" i="19"/>
  <c r="DG6" i="19" s="1"/>
  <c r="BW5" i="19"/>
  <c r="BW6" i="19" s="1"/>
  <c r="BB5" i="19"/>
  <c r="BB6" i="19" s="1"/>
  <c r="DC5" i="19"/>
  <c r="DC6" i="19" s="1"/>
  <c r="JV5" i="19"/>
  <c r="JV6" i="19" s="1"/>
  <c r="GU5" i="19"/>
  <c r="GU6" i="19" s="1"/>
  <c r="IW5" i="19"/>
  <c r="IW6" i="19" s="1"/>
  <c r="ER5" i="19"/>
  <c r="ER6" i="19" s="1"/>
  <c r="BX5" i="19"/>
  <c r="BX6" i="19" s="1"/>
  <c r="KB5" i="19"/>
  <c r="KB6" i="19" s="1"/>
  <c r="KA5" i="19"/>
  <c r="KA6" i="19" s="1"/>
  <c r="FT5" i="19"/>
  <c r="FT6" i="19" s="1"/>
  <c r="CZ5" i="19"/>
  <c r="CZ6" i="19" s="1"/>
  <c r="HM5" i="19"/>
  <c r="HM6" i="19" s="1"/>
  <c r="HF5" i="19"/>
  <c r="HF6" i="19" s="1"/>
  <c r="KN5" i="19"/>
  <c r="KN6" i="19" s="1"/>
  <c r="EU5" i="19"/>
  <c r="EU6" i="19" s="1"/>
  <c r="CA5" i="19"/>
  <c r="CA6" i="19" s="1"/>
  <c r="HO5" i="19"/>
  <c r="HO6" i="19" s="1"/>
  <c r="IE5" i="19"/>
  <c r="IE6" i="19" s="1"/>
  <c r="JH5" i="19"/>
  <c r="JH6" i="19" s="1"/>
  <c r="JM5" i="19"/>
  <c r="JM6" i="19" s="1"/>
  <c r="EN5" i="19"/>
  <c r="EN6" i="19" s="1"/>
  <c r="HI5" i="19"/>
  <c r="HI6" i="19" s="1"/>
  <c r="GJ5" i="19"/>
  <c r="GJ6" i="19" s="1"/>
  <c r="BK5" i="19"/>
  <c r="BK6" i="19" s="1"/>
  <c r="GD5" i="19"/>
  <c r="GD6" i="19" s="1"/>
  <c r="IY5" i="19"/>
  <c r="IY6" i="19" s="1"/>
  <c r="BN5" i="19"/>
  <c r="BN6" i="19" s="1"/>
  <c r="EX5" i="19"/>
  <c r="EX6" i="19" s="1"/>
  <c r="DM5" i="19"/>
  <c r="DM6" i="19" s="1"/>
  <c r="FI5" i="19"/>
  <c r="FI6" i="19" s="1"/>
  <c r="FQ5" i="19"/>
  <c r="FQ6" i="19" s="1"/>
  <c r="CW5" i="19"/>
  <c r="CW6" i="19" s="1"/>
  <c r="GC5" i="19"/>
  <c r="GC6" i="19" s="1"/>
  <c r="IQ5" i="19"/>
  <c r="IQ6" i="19" s="1"/>
  <c r="IG5" i="19"/>
  <c r="IG6" i="19" s="1"/>
  <c r="EL5" i="19"/>
  <c r="EL6" i="19" s="1"/>
  <c r="BR5" i="19"/>
  <c r="BR6" i="19" s="1"/>
  <c r="JA5" i="19"/>
  <c r="JA6" i="19" s="1"/>
  <c r="KD5" i="19"/>
  <c r="KD6" i="19" s="1"/>
  <c r="FN5" i="19"/>
  <c r="FN6" i="19" s="1"/>
  <c r="CT5" i="19"/>
  <c r="CT6" i="19" s="1"/>
  <c r="GQ5" i="19"/>
  <c r="GQ6" i="19" s="1"/>
  <c r="HX5" i="19"/>
  <c r="HX6" i="19" s="1"/>
  <c r="GG5" i="19"/>
  <c r="GG6" i="19" s="1"/>
  <c r="EO5" i="19"/>
  <c r="EO6" i="19" s="1"/>
  <c r="BU5" i="19"/>
  <c r="BU6" i="19" s="1"/>
  <c r="HJ5" i="19"/>
  <c r="HJ6" i="19" s="1"/>
  <c r="GP5" i="19"/>
  <c r="GP6" i="19" s="1"/>
  <c r="KL5" i="19"/>
  <c r="KL6" i="19" s="1"/>
  <c r="HZ5" i="19"/>
  <c r="HZ6" i="19" s="1"/>
  <c r="EY5" i="19"/>
  <c r="EY6" i="19" s="1"/>
  <c r="AZ5" i="19"/>
  <c r="AZ6" i="19" s="1"/>
  <c r="EV5" i="19"/>
  <c r="EV6" i="19" s="1"/>
  <c r="ID5" i="19"/>
  <c r="ID6" i="19" s="1"/>
  <c r="DV5" i="19"/>
  <c r="DV6" i="19" s="1"/>
  <c r="AT5" i="19"/>
  <c r="AT6" i="19" s="1"/>
  <c r="BV5" i="19"/>
  <c r="BV6" i="19" s="1"/>
  <c r="AW5" i="19"/>
  <c r="AW6" i="19" s="1"/>
  <c r="EG5" i="19"/>
  <c r="EG6" i="19" s="1"/>
  <c r="GX5" i="19"/>
  <c r="GX6" i="19" s="1"/>
  <c r="HK5" i="19"/>
  <c r="HK6" i="19" s="1"/>
  <c r="BG5" i="19"/>
  <c r="BG6" i="19" s="1"/>
  <c r="EW5" i="19"/>
  <c r="EW6" i="19" s="1"/>
  <c r="FC5" i="19"/>
  <c r="FC6" i="19" s="1"/>
  <c r="JD5" i="19"/>
  <c r="JD6" i="19" s="1"/>
  <c r="AY5" i="19"/>
  <c r="AY6" i="19" s="1"/>
  <c r="FO5" i="19"/>
  <c r="FO6" i="19" s="1"/>
  <c r="FK5" i="19"/>
  <c r="FK6" i="19" s="1"/>
  <c r="CQ5" i="19"/>
  <c r="CQ6" i="19" s="1"/>
  <c r="FR5" i="19"/>
  <c r="FR6" i="19" s="1"/>
  <c r="JN5" i="19"/>
  <c r="JN6" i="19" s="1"/>
  <c r="IO5" i="19"/>
  <c r="IO6" i="19" s="1"/>
  <c r="EF5" i="19"/>
  <c r="EF6" i="19" s="1"/>
  <c r="BL5" i="19"/>
  <c r="BL6" i="19" s="1"/>
  <c r="KQ5" i="19"/>
  <c r="KQ6" i="19" s="1"/>
  <c r="KG5" i="19"/>
  <c r="KG6" i="19" s="1"/>
  <c r="FH5" i="19"/>
  <c r="FH6" i="19" s="1"/>
  <c r="CN5" i="19"/>
  <c r="CN6" i="19" s="1"/>
  <c r="GN5" i="19"/>
  <c r="GN6" i="19" s="1"/>
  <c r="KK5" i="19"/>
  <c r="KK6" i="19" s="1"/>
  <c r="JO5" i="19"/>
  <c r="JO6" i="19" s="1"/>
  <c r="EI5" i="19"/>
  <c r="EI6" i="19" s="1"/>
  <c r="BO5" i="19"/>
  <c r="BO6" i="19" s="1"/>
  <c r="IM5" i="19"/>
  <c r="IM6" i="19" s="1"/>
  <c r="FW5" i="19"/>
  <c r="FW6" i="19" s="1"/>
  <c r="GK5" i="19"/>
  <c r="GK6" i="19" s="1"/>
  <c r="HY5" i="19"/>
  <c r="HY6" i="19" s="1"/>
  <c r="DY5" i="19"/>
  <c r="DY6" i="19" s="1"/>
  <c r="II5" i="19"/>
  <c r="II6" i="19" s="1"/>
  <c r="IJ5" i="19"/>
  <c r="IJ6" i="19" s="1"/>
  <c r="ES5" i="19"/>
  <c r="ES6" i="19" s="1"/>
  <c r="DQ5" i="19"/>
  <c r="DQ6" i="19" s="1"/>
  <c r="JW5" i="19"/>
  <c r="JW6" i="19" s="1"/>
  <c r="GZ5" i="19"/>
  <c r="GZ6" i="19" s="1"/>
  <c r="BE5" i="19"/>
  <c r="BE6" i="19" s="1"/>
  <c r="BQ5" i="19"/>
  <c r="BQ6" i="19" s="1"/>
  <c r="IV5" i="19"/>
  <c r="IV6" i="19" s="1"/>
  <c r="FE5" i="19"/>
  <c r="FE6" i="19" s="1"/>
  <c r="CK5" i="19"/>
  <c r="CK6" i="19" s="1"/>
  <c r="EZ5" i="19"/>
  <c r="EZ6" i="19" s="1"/>
  <c r="IB5" i="19"/>
  <c r="IB6" i="19" s="1"/>
  <c r="IN5" i="19"/>
  <c r="IN6" i="19" s="1"/>
  <c r="DZ5" i="19"/>
  <c r="DZ6" i="19" s="1"/>
  <c r="BF5" i="19"/>
  <c r="BF6" i="19" s="1"/>
  <c r="JB5" i="19"/>
  <c r="JB6" i="19" s="1"/>
  <c r="KI5" i="19"/>
  <c r="KI6" i="19" s="1"/>
  <c r="FB5" i="19"/>
  <c r="FB6" i="19" s="1"/>
  <c r="CH5" i="19"/>
  <c r="CH6" i="19" s="1"/>
  <c r="GH5" i="19"/>
  <c r="GH6" i="19" s="1"/>
  <c r="JC5" i="19"/>
  <c r="JC6" i="19" s="1"/>
  <c r="JZ5" i="19"/>
  <c r="JZ6" i="19" s="1"/>
  <c r="EC5" i="19"/>
  <c r="EC6" i="19" s="1"/>
  <c r="BI5" i="19"/>
  <c r="BI6" i="19" s="1"/>
  <c r="IL5" i="19"/>
  <c r="IL6" i="19" s="1"/>
  <c r="IC5" i="19"/>
  <c r="IC6" i="19" s="1"/>
  <c r="KT6" i="19"/>
  <c r="S118" i="19" s="1"/>
  <c r="H120" i="19" l="1"/>
  <c r="I120" i="19"/>
  <c r="I122" i="19" l="1"/>
  <c r="I121" i="19"/>
  <c r="I1" i="19"/>
  <c r="H1" i="19"/>
  <c r="H122" i="19"/>
  <c r="M122" i="19" s="1"/>
  <c r="M121" i="19" s="1"/>
  <c r="M120" i="19" s="1"/>
  <c r="M1" i="19" s="1"/>
  <c r="H121" i="19"/>
  <c r="B15"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Sergii Litnevskyi</author>
  </authors>
  <commentList>
    <comment ref="O2" authorId="0" shapeId="0" xr:uid="{00000000-0006-0000-0000-000001000000}">
      <text>
        <r>
          <rPr>
            <sz val="9"/>
            <color indexed="81"/>
            <rFont val="Tahoma"/>
            <family val="2"/>
          </rPr>
          <t>Blind Spot Monitoring (BSM) extends the existing Rear Vehicle Monitoring (RVM) system’s range while also adding Rear Cross Traffic Alert (RCTA)</t>
        </r>
        <r>
          <rPr>
            <sz val="9"/>
            <color indexed="81"/>
            <rFont val="Tahoma"/>
            <family val="2"/>
          </rPr>
          <t xml:space="preserve">
</t>
        </r>
      </text>
    </comment>
    <comment ref="P2" authorId="0" shapeId="0" xr:uid="{00000000-0006-0000-0000-000002000000}">
      <text>
        <r>
          <rPr>
            <sz val="9"/>
            <color indexed="81"/>
            <rFont val="Tahoma"/>
            <family val="2"/>
          </rPr>
          <t>Blind Spot Monitoring (BSM) extends the existing Rear Vehicle Monitoring (RVM) system’s range while also adding Rear Cross Traffic Alert (RCTA)</t>
        </r>
      </text>
    </comment>
    <comment ref="Q2" authorId="0" shapeId="0" xr:uid="{00000000-0006-0000-0000-000003000000}">
      <text>
        <r>
          <rPr>
            <sz val="9"/>
            <color indexed="81"/>
            <rFont val="Tahoma"/>
            <family val="2"/>
          </rPr>
          <t>Blind Spot Monitoring (BSM) extends the existing Rear Vehicle Monitoring (RVM) system’s range while also adding Rear Cross Traffic Alert (RCTA)</t>
        </r>
      </text>
    </comment>
    <comment ref="A4" authorId="0" shapeId="0" xr:uid="{1A644E9B-64E0-4D1E-8AD4-C2C341AA612C}">
      <text>
        <r>
          <rPr>
            <b/>
            <sz val="9"/>
            <color indexed="81"/>
            <rFont val="Tahoma"/>
            <family val="2"/>
          </rPr>
          <t>Only for Mazda 3 BM and Mazda 6 GJ [VIN 100001-300000]</t>
        </r>
      </text>
    </comment>
    <comment ref="B7" authorId="0" shapeId="0" xr:uid="{6ACE5636-60CE-4967-9932-618B6A153EE3}">
      <text>
        <r>
          <rPr>
            <b/>
            <sz val="9"/>
            <color indexed="81"/>
            <rFont val="Tahoma"/>
            <family val="2"/>
            <charset val="204"/>
          </rPr>
          <t>Only for Mazda 6 GJ [VIN 300001+], CX-5 KE,
CX-3 with radar sendor unit GMM1-67-XA1</t>
        </r>
      </text>
    </comment>
    <comment ref="C7" authorId="0" shapeId="0" xr:uid="{2F942E6E-622E-40C2-BCC8-CD73D92DDFA7}">
      <text>
        <r>
          <rPr>
            <b/>
            <sz val="9"/>
            <color indexed="81"/>
            <rFont val="Tahoma"/>
            <family val="2"/>
            <charset val="204"/>
          </rPr>
          <t>Only for Mazda 6 GJ [VIN 300001+], CX-5 KE,
CX-3 with radar sendor unit GMM1-67-XA1</t>
        </r>
      </text>
    </comment>
    <comment ref="J7" authorId="0" shapeId="0" xr:uid="{C3F0FE69-5B13-49AB-9489-60935C00B604}">
      <text>
        <r>
          <rPr>
            <b/>
            <sz val="9"/>
            <color indexed="81"/>
            <rFont val="Tahoma"/>
            <family val="2"/>
            <charset val="204"/>
          </rPr>
          <t>Only for Mazda 6 GJ [VIN 300001+], CX-5 KE,
CX-3 with radar sendor unit GMM1-67-XA1</t>
        </r>
      </text>
    </comment>
    <comment ref="K7" authorId="0" shapeId="0" xr:uid="{B7AE124A-81A4-4C18-87E8-340BED77CC46}">
      <text>
        <r>
          <rPr>
            <b/>
            <sz val="9"/>
            <color indexed="81"/>
            <rFont val="Tahoma"/>
            <family val="2"/>
            <charset val="204"/>
          </rPr>
          <t>Only for Mazda 6 GJ [VIN 300001+], CX-5 KE,
CX-3 with radar sendor unit GMM1-67-XA1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Sergii Litnevskyi</author>
    <author>RePack by Diakov</author>
    <author>Alina Mykolyshyn</author>
  </authors>
  <commentList>
    <comment ref="S6" authorId="0" shapeId="0" xr:uid="{00000000-0006-0000-0300-000001000000}">
      <text>
        <r>
          <rPr>
            <b/>
            <u/>
            <sz val="9"/>
            <color indexed="81"/>
            <rFont val="Tahoma"/>
            <family val="2"/>
            <charset val="204"/>
          </rPr>
          <t>Bodystyle</t>
        </r>
        <r>
          <rPr>
            <b/>
            <sz val="9"/>
            <color indexed="81"/>
            <rFont val="Tahoma"/>
            <family val="2"/>
          </rPr>
          <t xml:space="preserve">
</t>
        </r>
        <r>
          <rPr>
            <i/>
            <sz val="9"/>
            <color indexed="81"/>
            <rFont val="Tahoma"/>
            <family val="2"/>
            <charset val="204"/>
          </rPr>
          <t>b7b6 - values:</t>
        </r>
        <r>
          <rPr>
            <b/>
            <sz val="9"/>
            <color indexed="81"/>
            <rFont val="Tahoma"/>
            <family val="2"/>
          </rPr>
          <t xml:space="preserve">
00 - </t>
        </r>
        <r>
          <rPr>
            <sz val="9"/>
            <color indexed="81"/>
            <rFont val="Tahoma"/>
            <family val="2"/>
            <charset val="204"/>
          </rPr>
          <t>Sedan;</t>
        </r>
        <r>
          <rPr>
            <b/>
            <sz val="9"/>
            <color indexed="81"/>
            <rFont val="Tahoma"/>
            <family val="2"/>
          </rPr>
          <t xml:space="preserve">
01 - </t>
        </r>
        <r>
          <rPr>
            <sz val="9"/>
            <color indexed="81"/>
            <rFont val="Tahoma"/>
            <family val="2"/>
            <charset val="204"/>
          </rPr>
          <t>Hatchback;</t>
        </r>
        <r>
          <rPr>
            <b/>
            <sz val="9"/>
            <color indexed="81"/>
            <rFont val="Tahoma"/>
            <family val="2"/>
          </rPr>
          <t xml:space="preserve">
10 - </t>
        </r>
        <r>
          <rPr>
            <sz val="9"/>
            <color indexed="81"/>
            <rFont val="Tahoma"/>
            <family val="2"/>
            <charset val="204"/>
          </rPr>
          <t>Wagon</t>
        </r>
      </text>
    </comment>
    <comment ref="W6" authorId="0" shapeId="0" xr:uid="{00000000-0006-0000-0300-000002000000}">
      <text>
        <r>
          <rPr>
            <b/>
            <sz val="9"/>
            <color indexed="81"/>
            <rFont val="Tahoma"/>
            <family val="2"/>
            <charset val="204"/>
          </rPr>
          <t>Auto Door Lock:</t>
        </r>
        <r>
          <rPr>
            <sz val="9"/>
            <color indexed="81"/>
            <rFont val="Tahoma"/>
            <family val="2"/>
            <charset val="204"/>
          </rPr>
          <t xml:space="preserve"> 0 - OFF / 1 - ON</t>
        </r>
      </text>
    </comment>
    <comment ref="S8" authorId="0" shapeId="0" xr:uid="{00000000-0006-0000-0300-000003000000}">
      <text>
        <r>
          <rPr>
            <b/>
            <sz val="9"/>
            <color indexed="81"/>
            <rFont val="Tahoma"/>
            <family val="2"/>
            <charset val="204"/>
          </rPr>
          <t>2-Step Door Unlock: 0</t>
        </r>
        <r>
          <rPr>
            <sz val="9"/>
            <color indexed="81"/>
            <rFont val="Tahoma"/>
            <family val="2"/>
            <charset val="204"/>
          </rPr>
          <t xml:space="preserve"> - OFF / </t>
        </r>
        <r>
          <rPr>
            <b/>
            <sz val="9"/>
            <color indexed="81"/>
            <rFont val="Tahoma"/>
            <family val="2"/>
            <charset val="204"/>
          </rPr>
          <t>1</t>
        </r>
        <r>
          <rPr>
            <sz val="9"/>
            <color indexed="81"/>
            <rFont val="Tahoma"/>
            <family val="2"/>
            <charset val="204"/>
          </rPr>
          <t xml:space="preserve"> - ON</t>
        </r>
      </text>
    </comment>
    <comment ref="S9" authorId="0" shapeId="0" xr:uid="{7665AE6B-8707-414A-9A1B-8D5B8E2EDBF8}">
      <text>
        <r>
          <rPr>
            <b/>
            <sz val="9"/>
            <color indexed="81"/>
            <rFont val="Tahoma"/>
            <family val="2"/>
            <charset val="204"/>
          </rPr>
          <t>Burglar Alarm</t>
        </r>
        <r>
          <rPr>
            <sz val="9"/>
            <color indexed="81"/>
            <rFont val="Tahoma"/>
            <family val="2"/>
            <charset val="204"/>
          </rPr>
          <t xml:space="preserve"> related:
</t>
        </r>
        <r>
          <rPr>
            <b/>
            <sz val="9"/>
            <color indexed="81"/>
            <rFont val="Tahoma"/>
            <family val="2"/>
            <charset val="204"/>
          </rPr>
          <t>[1= if 731-01-01 B2b5=1]</t>
        </r>
      </text>
    </comment>
    <comment ref="S10" authorId="0" shapeId="0" xr:uid="{F495647D-39BF-48FD-9A9D-CED08845BD5F}">
      <text>
        <r>
          <rPr>
            <b/>
            <sz val="9"/>
            <color indexed="81"/>
            <rFont val="Tahoma"/>
            <family val="2"/>
            <charset val="204"/>
          </rPr>
          <t>Burglar Alarm</t>
        </r>
        <r>
          <rPr>
            <sz val="9"/>
            <color indexed="81"/>
            <rFont val="Tahoma"/>
            <family val="2"/>
            <charset val="204"/>
          </rPr>
          <t xml:space="preserve"> related:
[1= only in reg.21/41/61/71/81+M6(31 with AKE)]</t>
        </r>
      </text>
    </comment>
    <comment ref="S11" authorId="0" shapeId="0" xr:uid="{00000000-0006-0000-0300-000006000000}">
      <text>
        <r>
          <rPr>
            <b/>
            <sz val="9"/>
            <color indexed="81"/>
            <rFont val="Tahoma"/>
            <family val="2"/>
            <charset val="204"/>
          </rPr>
          <t>Rear Fog Light (light + icon on IC): 0</t>
        </r>
        <r>
          <rPr>
            <sz val="9"/>
            <color indexed="81"/>
            <rFont val="Tahoma"/>
            <family val="2"/>
            <charset val="204"/>
          </rPr>
          <t xml:space="preserve"> - Disabled / </t>
        </r>
        <r>
          <rPr>
            <b/>
            <sz val="9"/>
            <color indexed="81"/>
            <rFont val="Tahoma"/>
            <family val="2"/>
            <charset val="204"/>
          </rPr>
          <t>1</t>
        </r>
        <r>
          <rPr>
            <sz val="9"/>
            <color indexed="81"/>
            <rFont val="Tahoma"/>
            <family val="2"/>
            <charset val="204"/>
          </rPr>
          <t xml:space="preserve"> - Enabled</t>
        </r>
      </text>
    </comment>
    <comment ref="W11" authorId="0" shapeId="0" xr:uid="{00000000-0006-0000-0300-000007000000}">
      <text>
        <r>
          <rPr>
            <b/>
            <sz val="9"/>
            <color indexed="81"/>
            <rFont val="Tahoma"/>
            <family val="2"/>
            <charset val="204"/>
          </rPr>
          <t>no siren or intrusion module, only door open when locked theft deterent alarm</t>
        </r>
      </text>
    </comment>
    <comment ref="AE11" authorId="0" shapeId="0" xr:uid="{00000000-0006-0000-0300-000008000000}">
      <text>
        <r>
          <rPr>
            <b/>
            <sz val="9"/>
            <color indexed="81"/>
            <rFont val="Tahoma"/>
            <family val="2"/>
            <charset val="204"/>
          </rPr>
          <t xml:space="preserve">Brake Light: 
</t>
        </r>
        <r>
          <rPr>
            <i/>
            <sz val="8"/>
            <color indexed="81"/>
            <rFont val="Tahoma"/>
            <family val="2"/>
            <charset val="204"/>
          </rPr>
          <t>b2b1b0 - Value</t>
        </r>
        <r>
          <rPr>
            <sz val="9"/>
            <color indexed="81"/>
            <rFont val="Tahoma"/>
            <family val="2"/>
            <charset val="204"/>
          </rPr>
          <t xml:space="preserve">
</t>
        </r>
        <r>
          <rPr>
            <b/>
            <sz val="9"/>
            <color indexed="81"/>
            <rFont val="Tahoma"/>
            <family val="2"/>
            <charset val="204"/>
          </rPr>
          <t xml:space="preserve">100 - </t>
        </r>
        <r>
          <rPr>
            <sz val="9"/>
            <color indexed="81"/>
            <rFont val="Tahoma"/>
            <family val="2"/>
            <charset val="204"/>
          </rPr>
          <t>Standard Brake</t>
        </r>
        <r>
          <rPr>
            <b/>
            <sz val="9"/>
            <color indexed="81"/>
            <rFont val="Tahoma"/>
            <family val="2"/>
            <charset val="204"/>
          </rPr>
          <t xml:space="preserve">
101 - </t>
        </r>
        <r>
          <rPr>
            <sz val="9"/>
            <color indexed="81"/>
            <rFont val="Tahoma"/>
            <family val="2"/>
            <charset val="204"/>
          </rPr>
          <t>MRCC Brake</t>
        </r>
        <r>
          <rPr>
            <b/>
            <sz val="9"/>
            <color indexed="81"/>
            <rFont val="Tahoma"/>
            <family val="2"/>
            <charset val="204"/>
          </rPr>
          <t xml:space="preserve">
110 - </t>
        </r>
        <r>
          <rPr>
            <sz val="9"/>
            <color indexed="81"/>
            <rFont val="Tahoma"/>
            <family val="2"/>
            <charset val="204"/>
          </rPr>
          <t>SCBS Brake</t>
        </r>
      </text>
    </comment>
    <comment ref="AI12" authorId="0" shapeId="0" xr:uid="{00000000-0006-0000-0300-000009000000}">
      <text>
        <r>
          <rPr>
            <b/>
            <sz val="9"/>
            <color indexed="81"/>
            <rFont val="Tahoma"/>
            <family val="2"/>
            <charset val="204"/>
          </rPr>
          <t>This dictates whether the key has to be near the trunk to allow it to open or if unlock button is enough on hatchback</t>
        </r>
      </text>
    </comment>
    <comment ref="S13" authorId="0" shapeId="0" xr:uid="{00000000-0006-0000-0300-00000A000000}">
      <text>
        <r>
          <rPr>
            <b/>
            <sz val="9"/>
            <color indexed="81"/>
            <rFont val="Tahoma"/>
            <family val="2"/>
            <charset val="204"/>
          </rPr>
          <t>Bonnet Lock:</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OFF / </t>
        </r>
        <r>
          <rPr>
            <b/>
            <sz val="9"/>
            <color indexed="81"/>
            <rFont val="Tahoma"/>
            <family val="2"/>
            <charset val="204"/>
          </rPr>
          <t>1</t>
        </r>
        <r>
          <rPr>
            <sz val="9"/>
            <color indexed="81"/>
            <rFont val="Tahoma"/>
            <family val="2"/>
            <charset val="204"/>
          </rPr>
          <t xml:space="preserve"> - ON</t>
        </r>
      </text>
    </comment>
    <comment ref="AA17" authorId="1" shapeId="0" xr:uid="{00000000-0006-0000-0300-00000B000000}">
      <text>
        <r>
          <rPr>
            <b/>
            <u/>
            <sz val="9"/>
            <color indexed="81"/>
            <rFont val="Tahoma"/>
            <family val="2"/>
            <charset val="204"/>
          </rPr>
          <t>Bodystyle division</t>
        </r>
        <r>
          <rPr>
            <b/>
            <sz val="9"/>
            <color indexed="81"/>
            <rFont val="Tahoma"/>
            <family val="2"/>
            <charset val="204"/>
          </rPr>
          <t xml:space="preserve">
</t>
        </r>
        <r>
          <rPr>
            <i/>
            <sz val="8"/>
            <color indexed="81"/>
            <rFont val="Tahoma"/>
            <family val="2"/>
            <charset val="204"/>
          </rPr>
          <t>b7b6b5b4 - Value:</t>
        </r>
        <r>
          <rPr>
            <b/>
            <sz val="9"/>
            <color indexed="81"/>
            <rFont val="Tahoma"/>
            <family val="2"/>
            <charset val="204"/>
          </rPr>
          <t xml:space="preserve">
0000 - </t>
        </r>
        <r>
          <rPr>
            <sz val="9"/>
            <color indexed="81"/>
            <rFont val="Tahoma"/>
            <family val="2"/>
            <charset val="204"/>
          </rPr>
          <t>SD-M6/SD-M3/HB-M3 (except with B1b2=1);</t>
        </r>
        <r>
          <rPr>
            <b/>
            <sz val="9"/>
            <color indexed="81"/>
            <rFont val="Tahoma"/>
            <family val="2"/>
            <charset val="204"/>
          </rPr>
          <t xml:space="preserve">
0010 - </t>
        </r>
        <r>
          <rPr>
            <sz val="9"/>
            <color indexed="81"/>
            <rFont val="Tahoma"/>
            <family val="2"/>
            <charset val="204"/>
          </rPr>
          <t>SD-M6 (only with B1b2=1);</t>
        </r>
        <r>
          <rPr>
            <b/>
            <sz val="9"/>
            <color indexed="81"/>
            <rFont val="Tahoma"/>
            <family val="2"/>
            <charset val="204"/>
          </rPr>
          <t xml:space="preserve">
0100 - </t>
        </r>
        <r>
          <rPr>
            <sz val="9"/>
            <color indexed="81"/>
            <rFont val="Tahoma"/>
            <family val="2"/>
            <charset val="204"/>
          </rPr>
          <t>HB-M3 (only with B1b2=1);</t>
        </r>
        <r>
          <rPr>
            <b/>
            <sz val="9"/>
            <color indexed="81"/>
            <rFont val="Tahoma"/>
            <family val="2"/>
            <charset val="204"/>
          </rPr>
          <t xml:space="preserve">
0111 - </t>
        </r>
        <r>
          <rPr>
            <sz val="9"/>
            <color indexed="81"/>
            <rFont val="Tahoma"/>
            <family val="2"/>
            <charset val="204"/>
          </rPr>
          <t>HB-M3 (41,71);</t>
        </r>
        <r>
          <rPr>
            <b/>
            <sz val="9"/>
            <color indexed="81"/>
            <rFont val="Tahoma"/>
            <family val="2"/>
            <charset val="204"/>
          </rPr>
          <t xml:space="preserve">
1100 - </t>
        </r>
        <r>
          <rPr>
            <sz val="9"/>
            <color indexed="81"/>
            <rFont val="Tahoma"/>
            <family val="2"/>
            <charset val="204"/>
          </rPr>
          <t>WGN</t>
        </r>
      </text>
    </comment>
    <comment ref="AI17" authorId="2" shapeId="0" xr:uid="{00000000-0006-0000-0300-00000C000000}">
      <text>
        <r>
          <rPr>
            <sz val="9"/>
            <color indexed="81"/>
            <rFont val="Tahoma"/>
            <family val="2"/>
            <charset val="204"/>
          </rPr>
          <t xml:space="preserve">Vehicle -&gt; Doors -&gt; </t>
        </r>
        <r>
          <rPr>
            <b/>
            <sz val="9"/>
            <color indexed="81"/>
            <rFont val="Tahoma"/>
            <family val="2"/>
            <charset val="204"/>
          </rPr>
          <t xml:space="preserve">Auto Door Lock </t>
        </r>
        <r>
          <rPr>
            <sz val="9"/>
            <color indexed="81"/>
            <rFont val="Tahoma"/>
            <family val="2"/>
            <charset val="204"/>
          </rPr>
          <t>(Default Setting)</t>
        </r>
        <r>
          <rPr>
            <b/>
            <sz val="9"/>
            <color indexed="81"/>
            <rFont val="Tahoma"/>
            <family val="2"/>
            <charset val="204"/>
          </rPr>
          <t xml:space="preserve">:
</t>
        </r>
        <r>
          <rPr>
            <i/>
            <sz val="9"/>
            <color indexed="81"/>
            <rFont val="Tahoma"/>
            <family val="2"/>
            <charset val="204"/>
          </rPr>
          <t>b7b6b5b4 - Value</t>
        </r>
        <r>
          <rPr>
            <b/>
            <sz val="9"/>
            <color indexed="81"/>
            <rFont val="Tahoma"/>
            <family val="2"/>
            <charset val="204"/>
          </rPr>
          <t xml:space="preserve">
0000</t>
        </r>
        <r>
          <rPr>
            <sz val="9"/>
            <color indexed="81"/>
            <rFont val="Tahoma"/>
            <family val="2"/>
            <charset val="204"/>
          </rPr>
          <t xml:space="preserve"> - OFF
</t>
        </r>
        <r>
          <rPr>
            <b/>
            <sz val="9"/>
            <color indexed="81"/>
            <rFont val="Tahoma"/>
            <family val="2"/>
            <charset val="204"/>
          </rPr>
          <t>0001</t>
        </r>
        <r>
          <rPr>
            <sz val="9"/>
            <color indexed="81"/>
            <rFont val="Tahoma"/>
            <family val="2"/>
            <charset val="204"/>
          </rPr>
          <t xml:space="preserve"> - Lock: When Driving
</t>
        </r>
        <r>
          <rPr>
            <b/>
            <sz val="9"/>
            <color indexed="81"/>
            <rFont val="Tahoma"/>
            <family val="2"/>
            <charset val="204"/>
          </rPr>
          <t>0010</t>
        </r>
        <r>
          <rPr>
            <sz val="9"/>
            <color indexed="81"/>
            <rFont val="Tahoma"/>
            <family val="2"/>
            <charset val="204"/>
          </rPr>
          <t xml:space="preserve"> - Lock: When Driving / Unlock: IGN Off
</t>
        </r>
        <r>
          <rPr>
            <b/>
            <sz val="9"/>
            <color indexed="81"/>
            <rFont val="Tahoma"/>
            <family val="2"/>
            <charset val="204"/>
          </rPr>
          <t>0011</t>
        </r>
        <r>
          <rPr>
            <sz val="9"/>
            <color indexed="81"/>
            <rFont val="Tahoma"/>
            <family val="2"/>
            <charset val="204"/>
          </rPr>
          <t xml:space="preserve"> - Lock: Shifting Out of Park
</t>
        </r>
        <r>
          <rPr>
            <b/>
            <sz val="9"/>
            <color indexed="81"/>
            <rFont val="Tahoma"/>
            <family val="2"/>
            <charset val="204"/>
          </rPr>
          <t>0100</t>
        </r>
        <r>
          <rPr>
            <sz val="9"/>
            <color indexed="81"/>
            <rFont val="Tahoma"/>
            <family val="2"/>
            <charset val="204"/>
          </rPr>
          <t xml:space="preserve"> - Lock: Out of Park / Unlock: In Park
</t>
        </r>
        <r>
          <rPr>
            <b/>
            <sz val="9"/>
            <color indexed="81"/>
            <rFont val="Tahoma"/>
            <family val="2"/>
            <charset val="204"/>
          </rPr>
          <t>0101</t>
        </r>
        <r>
          <rPr>
            <sz val="9"/>
            <color indexed="81"/>
            <rFont val="Tahoma"/>
            <family val="2"/>
            <charset val="204"/>
          </rPr>
          <t xml:space="preserve"> - Lock: Out of Park / Unlock: In Park
</t>
        </r>
        <r>
          <rPr>
            <b/>
            <sz val="9"/>
            <color indexed="81"/>
            <rFont val="Tahoma"/>
            <family val="2"/>
            <charset val="204"/>
          </rPr>
          <t>0110</t>
        </r>
        <r>
          <rPr>
            <sz val="9"/>
            <color indexed="81"/>
            <rFont val="Tahoma"/>
            <family val="2"/>
            <charset val="204"/>
          </rPr>
          <t xml:space="preserve"> - Lock: Out of Park / Unlock: In Park
</t>
        </r>
        <r>
          <rPr>
            <b/>
            <sz val="9"/>
            <color indexed="81"/>
            <rFont val="Tahoma"/>
            <family val="2"/>
            <charset val="204"/>
          </rPr>
          <t>0111</t>
        </r>
        <r>
          <rPr>
            <sz val="9"/>
            <color indexed="81"/>
            <rFont val="Tahoma"/>
            <family val="2"/>
            <charset val="204"/>
          </rPr>
          <t xml:space="preserve"> - Lock: Out of Park / Unlock: In Park
</t>
        </r>
        <r>
          <rPr>
            <b/>
            <sz val="9"/>
            <color indexed="81"/>
            <rFont val="Tahoma"/>
            <family val="2"/>
            <charset val="204"/>
          </rPr>
          <t>1000</t>
        </r>
        <r>
          <rPr>
            <sz val="9"/>
            <color indexed="81"/>
            <rFont val="Tahoma"/>
            <family val="2"/>
            <charset val="204"/>
          </rPr>
          <t xml:space="preserve"> - Lock: Out of Park / Unlock: In Park
</t>
        </r>
        <r>
          <rPr>
            <b/>
            <sz val="9"/>
            <color indexed="81"/>
            <rFont val="Tahoma"/>
            <family val="2"/>
            <charset val="204"/>
          </rPr>
          <t>1001</t>
        </r>
        <r>
          <rPr>
            <sz val="9"/>
            <color indexed="81"/>
            <rFont val="Tahoma"/>
            <family val="2"/>
            <charset val="204"/>
          </rPr>
          <t xml:space="preserve"> - Lock: When Driving / Unlock: In Park
</t>
        </r>
        <r>
          <rPr>
            <b/>
            <sz val="9"/>
            <color indexed="81"/>
            <rFont val="Tahoma"/>
            <family val="2"/>
            <charset val="204"/>
          </rPr>
          <t>1010</t>
        </r>
        <r>
          <rPr>
            <sz val="9"/>
            <color indexed="81"/>
            <rFont val="Tahoma"/>
            <family val="2"/>
            <charset val="204"/>
          </rPr>
          <t xml:space="preserve"> - Incompatible configuration
</t>
        </r>
        <r>
          <rPr>
            <b/>
            <sz val="9"/>
            <color indexed="81"/>
            <rFont val="Tahoma"/>
            <family val="2"/>
            <charset val="204"/>
          </rPr>
          <t>1011</t>
        </r>
        <r>
          <rPr>
            <sz val="9"/>
            <color indexed="81"/>
            <rFont val="Tahoma"/>
            <family val="2"/>
            <charset val="204"/>
          </rPr>
          <t xml:space="preserve"> - Incompatible configuration
</t>
        </r>
        <r>
          <rPr>
            <b/>
            <sz val="9"/>
            <color indexed="81"/>
            <rFont val="Tahoma"/>
            <family val="2"/>
            <charset val="204"/>
          </rPr>
          <t>1100</t>
        </r>
        <r>
          <rPr>
            <sz val="9"/>
            <color indexed="81"/>
            <rFont val="Tahoma"/>
            <family val="2"/>
            <charset val="204"/>
          </rPr>
          <t xml:space="preserve"> - Incompatible configuration
</t>
        </r>
        <r>
          <rPr>
            <b/>
            <sz val="9"/>
            <color indexed="81"/>
            <rFont val="Tahoma"/>
            <family val="2"/>
            <charset val="204"/>
          </rPr>
          <t>1101</t>
        </r>
        <r>
          <rPr>
            <sz val="9"/>
            <color indexed="81"/>
            <rFont val="Tahoma"/>
            <family val="2"/>
            <charset val="204"/>
          </rPr>
          <t xml:space="preserve"> - Incompatible configuration
</t>
        </r>
        <r>
          <rPr>
            <b/>
            <sz val="9"/>
            <color indexed="81"/>
            <rFont val="Tahoma"/>
            <family val="2"/>
            <charset val="204"/>
          </rPr>
          <t>1110</t>
        </r>
        <r>
          <rPr>
            <sz val="9"/>
            <color indexed="81"/>
            <rFont val="Tahoma"/>
            <family val="2"/>
            <charset val="204"/>
          </rPr>
          <t xml:space="preserve"> - Incompatible configuration
</t>
        </r>
        <r>
          <rPr>
            <b/>
            <sz val="9"/>
            <color indexed="81"/>
            <rFont val="Tahoma"/>
            <family val="2"/>
            <charset val="204"/>
          </rPr>
          <t>1111</t>
        </r>
        <r>
          <rPr>
            <sz val="9"/>
            <color indexed="81"/>
            <rFont val="Tahoma"/>
            <family val="2"/>
            <charset val="204"/>
          </rPr>
          <t xml:space="preserve"> - Incompatible configuration</t>
        </r>
      </text>
    </comment>
    <comment ref="S18" authorId="0" shapeId="0" xr:uid="{00000000-0006-0000-0300-00000D000000}">
      <text>
        <r>
          <rPr>
            <b/>
            <sz val="9"/>
            <color indexed="81"/>
            <rFont val="Tahoma"/>
            <family val="2"/>
            <charset val="204"/>
          </rPr>
          <t>Horn on Lock (Find My Car):</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Disabled / </t>
        </r>
        <r>
          <rPr>
            <b/>
            <sz val="9"/>
            <color indexed="81"/>
            <rFont val="Tahoma"/>
            <family val="2"/>
            <charset val="204"/>
          </rPr>
          <t>1</t>
        </r>
        <r>
          <rPr>
            <sz val="9"/>
            <color indexed="81"/>
            <rFont val="Tahoma"/>
            <family val="2"/>
            <charset val="204"/>
          </rPr>
          <t xml:space="preserve"> - Enabled
To confirm that all doors and the liftgate have been locked, press the lock button again within 5 seconds. If they are closed and locked, the horn will sound.</t>
        </r>
      </text>
    </comment>
    <comment ref="W21" authorId="1" shapeId="0" xr:uid="{00000000-0006-0000-0300-00000E000000}">
      <text>
        <r>
          <rPr>
            <b/>
            <u/>
            <sz val="9"/>
            <color indexed="81"/>
            <rFont val="Tahoma"/>
            <family val="2"/>
            <charset val="204"/>
          </rPr>
          <t>Mazda model</t>
        </r>
        <r>
          <rPr>
            <b/>
            <sz val="9"/>
            <color indexed="81"/>
            <rFont val="Tahoma"/>
            <family val="2"/>
            <charset val="204"/>
          </rPr>
          <t xml:space="preserve">
</t>
        </r>
        <r>
          <rPr>
            <i/>
            <sz val="8"/>
            <color indexed="81"/>
            <rFont val="Tahoma"/>
            <family val="2"/>
            <charset val="204"/>
          </rPr>
          <t>b3b2b1b0 - Value:</t>
        </r>
        <r>
          <rPr>
            <b/>
            <sz val="9"/>
            <color indexed="81"/>
            <rFont val="Tahoma"/>
            <family val="2"/>
            <charset val="204"/>
          </rPr>
          <t xml:space="preserve">
0001</t>
        </r>
        <r>
          <rPr>
            <sz val="9"/>
            <color indexed="81"/>
            <rFont val="Tahoma"/>
            <family val="2"/>
            <charset val="204"/>
          </rPr>
          <t xml:space="preserve"> - CX5-KE (11) + B1b1 (21), CX-9 (2016-17);</t>
        </r>
        <r>
          <rPr>
            <b/>
            <sz val="9"/>
            <color indexed="81"/>
            <rFont val="Tahoma"/>
            <family val="2"/>
            <charset val="204"/>
          </rPr>
          <t xml:space="preserve">
0011</t>
        </r>
        <r>
          <rPr>
            <sz val="9"/>
            <color indexed="81"/>
            <rFont val="Tahoma"/>
            <family val="2"/>
            <charset val="204"/>
          </rPr>
          <t xml:space="preserve"> - CX9 (51) + B1b1 (21);</t>
        </r>
        <r>
          <rPr>
            <b/>
            <sz val="9"/>
            <color indexed="81"/>
            <rFont val="Tahoma"/>
            <family val="2"/>
            <charset val="204"/>
          </rPr>
          <t xml:space="preserve">
0100</t>
        </r>
        <r>
          <rPr>
            <sz val="9"/>
            <color indexed="81"/>
            <rFont val="Tahoma"/>
            <family val="2"/>
            <charset val="204"/>
          </rPr>
          <t xml:space="preserve"> - M6 (11,31,51) + B1b1 (21);</t>
        </r>
        <r>
          <rPr>
            <b/>
            <sz val="9"/>
            <color indexed="81"/>
            <rFont val="Tahoma"/>
            <family val="2"/>
            <charset val="204"/>
          </rPr>
          <t xml:space="preserve">
0100</t>
        </r>
        <r>
          <rPr>
            <sz val="9"/>
            <color indexed="81"/>
            <rFont val="Tahoma"/>
            <family val="2"/>
            <charset val="204"/>
          </rPr>
          <t xml:space="preserve"> - CX5-KF (11,31,51,61,71) + B1b1 (21), CX8 (41,71);</t>
        </r>
        <r>
          <rPr>
            <b/>
            <sz val="9"/>
            <color indexed="81"/>
            <rFont val="Tahoma"/>
            <family val="2"/>
            <charset val="204"/>
          </rPr>
          <t xml:space="preserve">
0111</t>
        </r>
        <r>
          <rPr>
            <sz val="9"/>
            <color indexed="81"/>
            <rFont val="Tahoma"/>
            <family val="2"/>
            <charset val="204"/>
          </rPr>
          <t xml:space="preserve"> - M6 (31);</t>
        </r>
        <r>
          <rPr>
            <b/>
            <sz val="9"/>
            <color indexed="81"/>
            <rFont val="Tahoma"/>
            <family val="2"/>
            <charset val="204"/>
          </rPr>
          <t xml:space="preserve">
1001</t>
        </r>
        <r>
          <rPr>
            <sz val="9"/>
            <color indexed="81"/>
            <rFont val="Tahoma"/>
            <family val="2"/>
            <charset val="204"/>
          </rPr>
          <t xml:space="preserve"> - M6 (31,41);</t>
        </r>
        <r>
          <rPr>
            <b/>
            <sz val="9"/>
            <color indexed="81"/>
            <rFont val="Tahoma"/>
            <family val="2"/>
            <charset val="204"/>
          </rPr>
          <t xml:space="preserve">
1010</t>
        </r>
        <r>
          <rPr>
            <sz val="9"/>
            <color indexed="81"/>
            <rFont val="Tahoma"/>
            <family val="2"/>
            <charset val="204"/>
          </rPr>
          <t xml:space="preserve"> - M3 (11,31,61,71) + B1b1 (21) +  b4 (41,71);</t>
        </r>
        <r>
          <rPr>
            <b/>
            <sz val="9"/>
            <color indexed="81"/>
            <rFont val="Tahoma"/>
            <family val="2"/>
            <charset val="204"/>
          </rPr>
          <t xml:space="preserve">
1100</t>
        </r>
        <r>
          <rPr>
            <sz val="9"/>
            <color indexed="81"/>
            <rFont val="Tahoma"/>
            <family val="2"/>
            <charset val="204"/>
          </rPr>
          <t xml:space="preserve"> - M3 (only w/B1b1=0);</t>
        </r>
        <r>
          <rPr>
            <b/>
            <sz val="9"/>
            <color indexed="81"/>
            <rFont val="Tahoma"/>
            <family val="2"/>
            <charset val="204"/>
          </rPr>
          <t xml:space="preserve">
1101</t>
        </r>
        <r>
          <rPr>
            <sz val="9"/>
            <color indexed="81"/>
            <rFont val="Tahoma"/>
            <family val="2"/>
            <charset val="204"/>
          </rPr>
          <t xml:space="preserve"> - CX4 (84)</t>
        </r>
      </text>
    </comment>
    <comment ref="AI21" authorId="0" shapeId="0" xr:uid="{00000000-0006-0000-0300-00000F000000}">
      <text>
        <r>
          <rPr>
            <b/>
            <sz val="9"/>
            <color indexed="81"/>
            <rFont val="Tahoma"/>
            <family val="2"/>
            <charset val="204"/>
          </rPr>
          <t>Auto Door Lock:</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On / </t>
        </r>
        <r>
          <rPr>
            <b/>
            <sz val="9"/>
            <color indexed="81"/>
            <rFont val="Tahoma"/>
            <family val="2"/>
            <charset val="204"/>
          </rPr>
          <t>1</t>
        </r>
        <r>
          <rPr>
            <sz val="9"/>
            <color indexed="81"/>
            <rFont val="Tahoma"/>
            <family val="2"/>
            <charset val="204"/>
          </rPr>
          <t xml:space="preserve"> - Off</t>
        </r>
      </text>
    </comment>
    <comment ref="W28" authorId="0" shapeId="0" xr:uid="{00000000-0006-0000-0300-000010000000}">
      <text>
        <r>
          <rPr>
            <b/>
            <sz val="9"/>
            <color indexed="81"/>
            <rFont val="Tahoma"/>
            <family val="2"/>
            <charset val="204"/>
          </rPr>
          <t xml:space="preserve">Lighting - Coming Home Light (Default setting): 
</t>
        </r>
        <r>
          <rPr>
            <i/>
            <sz val="8"/>
            <color indexed="81"/>
            <rFont val="Tahoma"/>
            <family val="2"/>
            <charset val="204"/>
          </rPr>
          <t>b7b6b5 - Value</t>
        </r>
        <r>
          <rPr>
            <sz val="9"/>
            <color indexed="81"/>
            <rFont val="Tahoma"/>
            <family val="2"/>
            <charset val="204"/>
          </rPr>
          <t xml:space="preserve">
</t>
        </r>
        <r>
          <rPr>
            <b/>
            <sz val="9"/>
            <color indexed="81"/>
            <rFont val="Tahoma"/>
            <family val="2"/>
            <charset val="204"/>
          </rPr>
          <t>000</t>
        </r>
        <r>
          <rPr>
            <sz val="9"/>
            <color indexed="81"/>
            <rFont val="Tahoma"/>
            <family val="2"/>
            <charset val="204"/>
          </rPr>
          <t xml:space="preserve"> - Off
</t>
        </r>
        <r>
          <rPr>
            <b/>
            <sz val="9"/>
            <color indexed="81"/>
            <rFont val="Tahoma"/>
            <family val="2"/>
            <charset val="204"/>
          </rPr>
          <t>001</t>
        </r>
        <r>
          <rPr>
            <sz val="9"/>
            <color indexed="81"/>
            <rFont val="Tahoma"/>
            <family val="2"/>
            <charset val="204"/>
          </rPr>
          <t xml:space="preserve"> - 30 s
</t>
        </r>
        <r>
          <rPr>
            <b/>
            <sz val="9"/>
            <color indexed="81"/>
            <rFont val="Tahoma"/>
            <family val="2"/>
            <charset val="204"/>
          </rPr>
          <t>010</t>
        </r>
        <r>
          <rPr>
            <sz val="9"/>
            <color indexed="81"/>
            <rFont val="Tahoma"/>
            <family val="2"/>
            <charset val="204"/>
          </rPr>
          <t xml:space="preserve"> - 60 s
</t>
        </r>
        <r>
          <rPr>
            <b/>
            <sz val="9"/>
            <color indexed="81"/>
            <rFont val="Tahoma"/>
            <family val="2"/>
            <charset val="204"/>
          </rPr>
          <t>011</t>
        </r>
        <r>
          <rPr>
            <sz val="9"/>
            <color indexed="81"/>
            <rFont val="Tahoma"/>
            <family val="2"/>
            <charset val="204"/>
          </rPr>
          <t xml:space="preserve"> - 90 s
</t>
        </r>
        <r>
          <rPr>
            <b/>
            <sz val="9"/>
            <color indexed="81"/>
            <rFont val="Tahoma"/>
            <family val="2"/>
            <charset val="204"/>
          </rPr>
          <t>100</t>
        </r>
        <r>
          <rPr>
            <sz val="9"/>
            <color indexed="81"/>
            <rFont val="Tahoma"/>
            <family val="2"/>
            <charset val="204"/>
          </rPr>
          <t xml:space="preserve"> - 120 s</t>
        </r>
      </text>
    </comment>
    <comment ref="AA28" authorId="0" shapeId="0" xr:uid="{00000000-0006-0000-0300-000011000000}">
      <text>
        <r>
          <rPr>
            <b/>
            <sz val="9"/>
            <color indexed="81"/>
            <rFont val="Tahoma"/>
            <family val="2"/>
            <charset val="204"/>
          </rPr>
          <t>Rain Sensing Wiper (Default setting): 
0</t>
        </r>
        <r>
          <rPr>
            <sz val="9"/>
            <color indexed="81"/>
            <rFont val="Tahoma"/>
            <family val="2"/>
            <charset val="204"/>
          </rPr>
          <t xml:space="preserve"> - Disabled / </t>
        </r>
        <r>
          <rPr>
            <b/>
            <sz val="9"/>
            <color indexed="81"/>
            <rFont val="Tahoma"/>
            <family val="2"/>
            <charset val="204"/>
          </rPr>
          <t>1</t>
        </r>
        <r>
          <rPr>
            <sz val="9"/>
            <color indexed="81"/>
            <rFont val="Tahoma"/>
            <family val="2"/>
            <charset val="204"/>
          </rPr>
          <t xml:space="preserve"> - Enabled</t>
        </r>
      </text>
    </comment>
    <comment ref="AA29" authorId="0" shapeId="0" xr:uid="{00000000-0006-0000-0300-000012000000}">
      <text>
        <r>
          <rPr>
            <b/>
            <sz val="9"/>
            <color indexed="81"/>
            <rFont val="Tahoma"/>
            <family val="2"/>
            <charset val="204"/>
          </rPr>
          <t>Rain Sensing Wiper: 0</t>
        </r>
        <r>
          <rPr>
            <sz val="9"/>
            <color indexed="81"/>
            <rFont val="Tahoma"/>
            <family val="2"/>
            <charset val="204"/>
          </rPr>
          <t xml:space="preserve"> - Show / </t>
        </r>
        <r>
          <rPr>
            <b/>
            <sz val="9"/>
            <color indexed="81"/>
            <rFont val="Tahoma"/>
            <family val="2"/>
            <charset val="204"/>
          </rPr>
          <t>1</t>
        </r>
        <r>
          <rPr>
            <sz val="9"/>
            <color indexed="81"/>
            <rFont val="Tahoma"/>
            <family val="2"/>
            <charset val="204"/>
          </rPr>
          <t xml:space="preserve"> - Hide</t>
        </r>
      </text>
    </comment>
    <comment ref="W31" authorId="0" shapeId="0" xr:uid="{00000000-0006-0000-0300-000013000000}">
      <text>
        <r>
          <rPr>
            <b/>
            <sz val="9"/>
            <color indexed="81"/>
            <rFont val="Tahoma"/>
            <family val="2"/>
            <charset val="204"/>
          </rPr>
          <t>Lighting - Headlight Off Timer:</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Show / </t>
        </r>
        <r>
          <rPr>
            <b/>
            <sz val="9"/>
            <color indexed="81"/>
            <rFont val="Tahoma"/>
            <family val="2"/>
            <charset val="204"/>
          </rPr>
          <t>1</t>
        </r>
        <r>
          <rPr>
            <sz val="9"/>
            <color indexed="81"/>
            <rFont val="Tahoma"/>
            <family val="2"/>
            <charset val="204"/>
          </rPr>
          <t xml:space="preserve"> - Hide</t>
        </r>
      </text>
    </comment>
    <comment ref="AA31" authorId="0" shapeId="0" xr:uid="{00000000-0006-0000-0300-000014000000}">
      <text>
        <r>
          <rPr>
            <b/>
            <sz val="9"/>
            <color indexed="81"/>
            <rFont val="Tahoma"/>
            <family val="2"/>
            <charset val="204"/>
          </rPr>
          <t xml:space="preserve">Lighting - Auto Headlight On (Default setting):
</t>
        </r>
        <r>
          <rPr>
            <i/>
            <sz val="8"/>
            <color indexed="81"/>
            <rFont val="Tahoma"/>
            <family val="2"/>
            <charset val="204"/>
          </rPr>
          <t>b4b3 -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Low
</t>
        </r>
        <r>
          <rPr>
            <b/>
            <sz val="9"/>
            <color indexed="81"/>
            <rFont val="Tahoma"/>
            <family val="2"/>
            <charset val="204"/>
          </rPr>
          <t>01</t>
        </r>
        <r>
          <rPr>
            <sz val="9"/>
            <color indexed="81"/>
            <rFont val="Tahoma"/>
            <family val="2"/>
            <charset val="204"/>
          </rPr>
          <t xml:space="preserve"> - Med. Low
</t>
        </r>
        <r>
          <rPr>
            <b/>
            <sz val="9"/>
            <color indexed="81"/>
            <rFont val="Tahoma"/>
            <family val="2"/>
            <charset val="204"/>
          </rPr>
          <t>10</t>
        </r>
        <r>
          <rPr>
            <sz val="9"/>
            <color indexed="81"/>
            <rFont val="Tahoma"/>
            <family val="2"/>
            <charset val="204"/>
          </rPr>
          <t xml:space="preserve"> - Medium
</t>
        </r>
        <r>
          <rPr>
            <b/>
            <sz val="9"/>
            <color indexed="81"/>
            <rFont val="Tahoma"/>
            <family val="2"/>
            <charset val="204"/>
          </rPr>
          <t>11</t>
        </r>
        <r>
          <rPr>
            <sz val="9"/>
            <color indexed="81"/>
            <rFont val="Tahoma"/>
            <family val="2"/>
            <charset val="204"/>
          </rPr>
          <t xml:space="preserve"> -  Med. High</t>
        </r>
      </text>
    </comment>
    <comment ref="AE31" authorId="0" shapeId="0" xr:uid="{00000000-0006-0000-0300-000015000000}">
      <text>
        <r>
          <rPr>
            <b/>
            <sz val="9"/>
            <color indexed="81"/>
            <rFont val="Tahoma"/>
            <family val="2"/>
            <charset val="204"/>
          </rPr>
          <t>Lighting - Coming/Leaving Home Light: 0</t>
        </r>
        <r>
          <rPr>
            <sz val="9"/>
            <color indexed="81"/>
            <rFont val="Tahoma"/>
            <family val="2"/>
            <charset val="204"/>
          </rPr>
          <t xml:space="preserve"> - Hide / </t>
        </r>
        <r>
          <rPr>
            <b/>
            <sz val="9"/>
            <color indexed="81"/>
            <rFont val="Tahoma"/>
            <family val="2"/>
            <charset val="204"/>
          </rPr>
          <t>1</t>
        </r>
        <r>
          <rPr>
            <sz val="9"/>
            <color indexed="81"/>
            <rFont val="Tahoma"/>
            <family val="2"/>
            <charset val="204"/>
          </rPr>
          <t xml:space="preserve"> - Show</t>
        </r>
      </text>
    </comment>
    <comment ref="W32" authorId="0" shapeId="0" xr:uid="{00000000-0006-0000-0300-000016000000}">
      <text>
        <r>
          <rPr>
            <b/>
            <sz val="9"/>
            <color indexed="81"/>
            <rFont val="Tahoma"/>
            <family val="2"/>
            <charset val="204"/>
          </rPr>
          <t>Turn - 3-Flash Indicator (Default setting): 
0</t>
        </r>
        <r>
          <rPr>
            <sz val="9"/>
            <color indexed="81"/>
            <rFont val="Tahoma"/>
            <family val="2"/>
            <charset val="204"/>
          </rPr>
          <t xml:space="preserve"> - Disabled / </t>
        </r>
        <r>
          <rPr>
            <b/>
            <sz val="9"/>
            <color indexed="81"/>
            <rFont val="Tahoma"/>
            <family val="2"/>
            <charset val="204"/>
          </rPr>
          <t>1</t>
        </r>
        <r>
          <rPr>
            <sz val="9"/>
            <color indexed="81"/>
            <rFont val="Tahoma"/>
            <family val="2"/>
            <charset val="204"/>
          </rPr>
          <t xml:space="preserve"> - Enabled</t>
        </r>
      </text>
    </comment>
    <comment ref="W33" authorId="0" shapeId="0" xr:uid="{00000000-0006-0000-0300-000017000000}">
      <text>
        <r>
          <rPr>
            <b/>
            <sz val="9"/>
            <color indexed="81"/>
            <rFont val="Tahoma"/>
            <family val="2"/>
            <charset val="204"/>
          </rPr>
          <t>Turn - 3-Flash Indicator:</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Show / </t>
        </r>
        <r>
          <rPr>
            <b/>
            <sz val="9"/>
            <color indexed="81"/>
            <rFont val="Tahoma"/>
            <family val="2"/>
            <charset val="204"/>
          </rPr>
          <t>1</t>
        </r>
        <r>
          <rPr>
            <sz val="9"/>
            <color indexed="81"/>
            <rFont val="Tahoma"/>
            <family val="2"/>
            <charset val="204"/>
          </rPr>
          <t xml:space="preserve"> - Hide</t>
        </r>
      </text>
    </comment>
    <comment ref="AA33" authorId="0" shapeId="0" xr:uid="{00000000-0006-0000-0300-000018000000}">
      <text>
        <r>
          <rPr>
            <b/>
            <sz val="9"/>
            <color indexed="81"/>
            <rFont val="Tahoma"/>
            <family val="2"/>
            <charset val="204"/>
          </rPr>
          <t>Lighting - Auto Headlight On:</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Show / </t>
        </r>
        <r>
          <rPr>
            <b/>
            <sz val="9"/>
            <color indexed="81"/>
            <rFont val="Tahoma"/>
            <family val="2"/>
            <charset val="204"/>
          </rPr>
          <t>1</t>
        </r>
        <r>
          <rPr>
            <sz val="9"/>
            <color indexed="81"/>
            <rFont val="Tahoma"/>
            <family val="2"/>
            <charset val="204"/>
          </rPr>
          <t xml:space="preserve"> - Hide</t>
        </r>
      </text>
    </comment>
    <comment ref="AA34" authorId="0" shapeId="0" xr:uid="{00000000-0006-0000-0300-000019000000}">
      <text>
        <r>
          <rPr>
            <b/>
            <sz val="9"/>
            <color indexed="81"/>
            <rFont val="Tahoma"/>
            <family val="2"/>
            <charset val="204"/>
          </rPr>
          <t>Lighting - Leaving Home Light (Default setting): 
0</t>
        </r>
        <r>
          <rPr>
            <sz val="9"/>
            <color indexed="81"/>
            <rFont val="Tahoma"/>
            <family val="2"/>
            <charset val="204"/>
          </rPr>
          <t xml:space="preserve"> - Disabled / </t>
        </r>
        <r>
          <rPr>
            <b/>
            <sz val="9"/>
            <color indexed="81"/>
            <rFont val="Tahoma"/>
            <family val="2"/>
            <charset val="204"/>
          </rPr>
          <t>1</t>
        </r>
        <r>
          <rPr>
            <sz val="9"/>
            <color indexed="81"/>
            <rFont val="Tahoma"/>
            <family val="2"/>
            <charset val="204"/>
          </rPr>
          <t xml:space="preserve"> - Enabled</t>
        </r>
      </text>
    </comment>
    <comment ref="AA35" authorId="0" shapeId="0" xr:uid="{00000000-0006-0000-0300-00001A000000}">
      <text>
        <r>
          <rPr>
            <b/>
            <sz val="9"/>
            <color indexed="81"/>
            <rFont val="Tahoma"/>
            <family val="2"/>
            <charset val="204"/>
          </rPr>
          <t>Lighting - Interior Light: 1</t>
        </r>
        <r>
          <rPr>
            <sz val="9"/>
            <color indexed="81"/>
            <rFont val="Tahoma"/>
            <family val="2"/>
            <charset val="204"/>
          </rPr>
          <t xml:space="preserve"> - Show / </t>
        </r>
        <r>
          <rPr>
            <b/>
            <sz val="9"/>
            <color indexed="81"/>
            <rFont val="Tahoma"/>
            <family val="2"/>
            <charset val="204"/>
          </rPr>
          <t>0</t>
        </r>
        <r>
          <rPr>
            <sz val="9"/>
            <color indexed="81"/>
            <rFont val="Tahoma"/>
            <family val="2"/>
            <charset val="204"/>
          </rPr>
          <t xml:space="preserve"> - Hide</t>
        </r>
      </text>
    </comment>
    <comment ref="S39" authorId="2" shapeId="0" xr:uid="{00000000-0006-0000-0300-00001B000000}">
      <text>
        <r>
          <rPr>
            <sz val="9"/>
            <color indexed="81"/>
            <rFont val="Tahoma"/>
            <family val="2"/>
            <charset val="204"/>
          </rPr>
          <t xml:space="preserve">Vehicle -&gt; Doors -&gt; </t>
        </r>
        <r>
          <rPr>
            <b/>
            <sz val="9"/>
            <color indexed="81"/>
            <rFont val="Tahoma"/>
            <family val="2"/>
            <charset val="204"/>
          </rPr>
          <t xml:space="preserve">Auto Door Lock:
</t>
        </r>
        <r>
          <rPr>
            <i/>
            <sz val="8"/>
            <color indexed="81"/>
            <rFont val="Tahoma"/>
            <family val="2"/>
            <charset val="204"/>
          </rPr>
          <t>b7b6b5b4 - Value</t>
        </r>
        <r>
          <rPr>
            <sz val="9"/>
            <color indexed="81"/>
            <rFont val="Tahoma"/>
            <family val="2"/>
            <charset val="204"/>
          </rPr>
          <t xml:space="preserve">
</t>
        </r>
        <r>
          <rPr>
            <b/>
            <sz val="9"/>
            <color indexed="81"/>
            <rFont val="Tahoma"/>
            <family val="2"/>
            <charset val="204"/>
          </rPr>
          <t>0000</t>
        </r>
        <r>
          <rPr>
            <sz val="9"/>
            <color indexed="81"/>
            <rFont val="Tahoma"/>
            <family val="2"/>
            <charset val="204"/>
          </rPr>
          <t xml:space="preserve"> - N/A
</t>
        </r>
        <r>
          <rPr>
            <b/>
            <sz val="9"/>
            <color indexed="81"/>
            <rFont val="Tahoma"/>
            <family val="2"/>
            <charset val="204"/>
          </rPr>
          <t>0001</t>
        </r>
        <r>
          <rPr>
            <sz val="9"/>
            <color indexed="81"/>
            <rFont val="Tahoma"/>
            <family val="2"/>
            <charset val="204"/>
          </rPr>
          <t xml:space="preserve"> - OFF
</t>
        </r>
        <r>
          <rPr>
            <b/>
            <sz val="9"/>
            <color indexed="81"/>
            <rFont val="Tahoma"/>
            <family val="2"/>
            <charset val="204"/>
          </rPr>
          <t>0010</t>
        </r>
        <r>
          <rPr>
            <sz val="9"/>
            <color indexed="81"/>
            <rFont val="Tahoma"/>
            <family val="2"/>
            <charset val="204"/>
          </rPr>
          <t xml:space="preserve"> - Lock: When driving
</t>
        </r>
        <r>
          <rPr>
            <b/>
            <sz val="9"/>
            <color indexed="81"/>
            <rFont val="Tahoma"/>
            <family val="2"/>
            <charset val="204"/>
          </rPr>
          <t>0011</t>
        </r>
        <r>
          <rPr>
            <sz val="9"/>
            <color indexed="81"/>
            <rFont val="Tahoma"/>
            <family val="2"/>
            <charset val="204"/>
          </rPr>
          <t xml:space="preserve"> - Lock: When driving / Unlock: IGN Off
</t>
        </r>
        <r>
          <rPr>
            <b/>
            <sz val="9"/>
            <color indexed="81"/>
            <rFont val="Tahoma"/>
            <family val="2"/>
            <charset val="204"/>
          </rPr>
          <t>0100</t>
        </r>
        <r>
          <rPr>
            <sz val="9"/>
            <color indexed="81"/>
            <rFont val="Tahoma"/>
            <family val="2"/>
            <charset val="204"/>
          </rPr>
          <t xml:space="preserve"> - Lock: Shifting Out of Park
</t>
        </r>
        <r>
          <rPr>
            <b/>
            <sz val="9"/>
            <color indexed="81"/>
            <rFont val="Tahoma"/>
            <family val="2"/>
            <charset val="204"/>
          </rPr>
          <t>0101</t>
        </r>
        <r>
          <rPr>
            <sz val="9"/>
            <color indexed="81"/>
            <rFont val="Tahoma"/>
            <family val="2"/>
            <charset val="204"/>
          </rPr>
          <t xml:space="preserve"> - Lock:  Out of Park / Unlock: In Park
</t>
        </r>
        <r>
          <rPr>
            <b/>
            <sz val="9"/>
            <color indexed="81"/>
            <rFont val="Tahoma"/>
            <family val="2"/>
            <charset val="204"/>
          </rPr>
          <t>1010</t>
        </r>
        <r>
          <rPr>
            <sz val="9"/>
            <color indexed="81"/>
            <rFont val="Tahoma"/>
            <family val="2"/>
            <charset val="204"/>
          </rPr>
          <t xml:space="preserve"> - Lock:  When driving / Unlock: in Park</t>
        </r>
      </text>
    </comment>
    <comment ref="W39" authorId="2" shapeId="0" xr:uid="{00000000-0006-0000-0300-00001C000000}">
      <text>
        <r>
          <rPr>
            <b/>
            <sz val="9"/>
            <color indexed="81"/>
            <rFont val="Tahoma"/>
            <family val="2"/>
            <charset val="204"/>
          </rPr>
          <t xml:space="preserve">Lighting - Interior Light Timeout-Door Close:
</t>
        </r>
        <r>
          <rPr>
            <i/>
            <sz val="8"/>
            <color indexed="81"/>
            <rFont val="Tahoma"/>
            <family val="2"/>
            <charset val="204"/>
          </rPr>
          <t>b7b6b5 - Value</t>
        </r>
        <r>
          <rPr>
            <sz val="9"/>
            <color indexed="81"/>
            <rFont val="Tahoma"/>
            <family val="2"/>
            <charset val="204"/>
          </rPr>
          <t xml:space="preserve">
</t>
        </r>
        <r>
          <rPr>
            <b/>
            <sz val="9"/>
            <color indexed="81"/>
            <rFont val="Tahoma"/>
            <family val="2"/>
            <charset val="204"/>
          </rPr>
          <t>000</t>
        </r>
        <r>
          <rPr>
            <sz val="9"/>
            <color indexed="81"/>
            <rFont val="Tahoma"/>
            <family val="2"/>
            <charset val="204"/>
          </rPr>
          <t xml:space="preserve"> - N/A
</t>
        </r>
        <r>
          <rPr>
            <b/>
            <sz val="9"/>
            <color indexed="81"/>
            <rFont val="Tahoma"/>
            <family val="2"/>
            <charset val="204"/>
          </rPr>
          <t>001</t>
        </r>
        <r>
          <rPr>
            <sz val="9"/>
            <color indexed="81"/>
            <rFont val="Tahoma"/>
            <family val="2"/>
            <charset val="204"/>
          </rPr>
          <t xml:space="preserve"> - 15 seconds
</t>
        </r>
        <r>
          <rPr>
            <b/>
            <sz val="9"/>
            <color indexed="81"/>
            <rFont val="Tahoma"/>
            <family val="2"/>
            <charset val="204"/>
          </rPr>
          <t>010</t>
        </r>
        <r>
          <rPr>
            <sz val="9"/>
            <color indexed="81"/>
            <rFont val="Tahoma"/>
            <family val="2"/>
            <charset val="204"/>
          </rPr>
          <t xml:space="preserve"> - 1,5 seconds
</t>
        </r>
        <r>
          <rPr>
            <b/>
            <sz val="9"/>
            <color indexed="81"/>
            <rFont val="Tahoma"/>
            <family val="2"/>
            <charset val="204"/>
          </rPr>
          <t>011</t>
        </r>
        <r>
          <rPr>
            <sz val="9"/>
            <color indexed="81"/>
            <rFont val="Tahoma"/>
            <family val="2"/>
            <charset val="204"/>
          </rPr>
          <t xml:space="preserve"> - 30 seconds
</t>
        </r>
        <r>
          <rPr>
            <b/>
            <sz val="9"/>
            <color indexed="81"/>
            <rFont val="Tahoma"/>
            <family val="2"/>
            <charset val="204"/>
          </rPr>
          <t>100</t>
        </r>
        <r>
          <rPr>
            <sz val="9"/>
            <color indexed="81"/>
            <rFont val="Tahoma"/>
            <family val="2"/>
            <charset val="204"/>
          </rPr>
          <t xml:space="preserve"> - 60 seconds</t>
        </r>
      </text>
    </comment>
    <comment ref="AA39" authorId="2" shapeId="0" xr:uid="{00000000-0006-0000-0300-00001D000000}">
      <text>
        <r>
          <rPr>
            <b/>
            <sz val="9"/>
            <color indexed="81"/>
            <rFont val="Tahoma"/>
            <family val="2"/>
            <charset val="204"/>
          </rPr>
          <t xml:space="preserve">Lighting - Headlight Off Timer:
</t>
        </r>
        <r>
          <rPr>
            <i/>
            <sz val="8"/>
            <color indexed="81"/>
            <rFont val="Tahoma"/>
            <family val="2"/>
            <charset val="204"/>
          </rPr>
          <t>b7b6b5 - Value</t>
        </r>
        <r>
          <rPr>
            <sz val="9"/>
            <color indexed="81"/>
            <rFont val="Tahoma"/>
            <family val="2"/>
            <charset val="204"/>
          </rPr>
          <t xml:space="preserve">
</t>
        </r>
        <r>
          <rPr>
            <b/>
            <sz val="9"/>
            <color indexed="81"/>
            <rFont val="Tahoma"/>
            <family val="2"/>
            <charset val="204"/>
          </rPr>
          <t>000</t>
        </r>
        <r>
          <rPr>
            <sz val="9"/>
            <color indexed="81"/>
            <rFont val="Tahoma"/>
            <family val="2"/>
            <charset val="204"/>
          </rPr>
          <t xml:space="preserve"> - N/A
</t>
        </r>
        <r>
          <rPr>
            <b/>
            <sz val="9"/>
            <color indexed="81"/>
            <rFont val="Tahoma"/>
            <family val="2"/>
            <charset val="204"/>
          </rPr>
          <t>001</t>
        </r>
        <r>
          <rPr>
            <sz val="9"/>
            <color indexed="81"/>
            <rFont val="Tahoma"/>
            <family val="2"/>
            <charset val="204"/>
          </rPr>
          <t xml:space="preserve"> - Off
</t>
        </r>
        <r>
          <rPr>
            <b/>
            <sz val="9"/>
            <color indexed="81"/>
            <rFont val="Tahoma"/>
            <family val="2"/>
            <charset val="204"/>
          </rPr>
          <t>010</t>
        </r>
        <r>
          <rPr>
            <sz val="9"/>
            <color indexed="81"/>
            <rFont val="Tahoma"/>
            <family val="2"/>
            <charset val="204"/>
          </rPr>
          <t xml:space="preserve"> - 30 seconds
</t>
        </r>
        <r>
          <rPr>
            <b/>
            <sz val="9"/>
            <color indexed="81"/>
            <rFont val="Tahoma"/>
            <family val="2"/>
            <charset val="204"/>
          </rPr>
          <t>011</t>
        </r>
        <r>
          <rPr>
            <sz val="9"/>
            <color indexed="81"/>
            <rFont val="Tahoma"/>
            <family val="2"/>
            <charset val="204"/>
          </rPr>
          <t xml:space="preserve"> - 60 seconds
</t>
        </r>
        <r>
          <rPr>
            <b/>
            <sz val="9"/>
            <color indexed="81"/>
            <rFont val="Tahoma"/>
            <family val="2"/>
            <charset val="204"/>
          </rPr>
          <t>100</t>
        </r>
        <r>
          <rPr>
            <sz val="9"/>
            <color indexed="81"/>
            <rFont val="Tahoma"/>
            <family val="2"/>
            <charset val="204"/>
          </rPr>
          <t xml:space="preserve"> - 90 seconds
</t>
        </r>
        <r>
          <rPr>
            <b/>
            <sz val="9"/>
            <color indexed="81"/>
            <rFont val="Tahoma"/>
            <family val="2"/>
            <charset val="204"/>
          </rPr>
          <t>101</t>
        </r>
        <r>
          <rPr>
            <sz val="9"/>
            <color indexed="81"/>
            <rFont val="Tahoma"/>
            <family val="2"/>
            <charset val="204"/>
          </rPr>
          <t xml:space="preserve"> - 120 seconds</t>
        </r>
      </text>
    </comment>
    <comment ref="AE39" authorId="2" shapeId="0" xr:uid="{00000000-0006-0000-0300-00001E000000}">
      <text>
        <r>
          <rPr>
            <b/>
            <sz val="9"/>
            <color indexed="81"/>
            <rFont val="Tahoma"/>
            <family val="2"/>
            <charset val="204"/>
          </rPr>
          <t xml:space="preserve">Rain Sensing Wiper:
</t>
        </r>
        <r>
          <rPr>
            <i/>
            <sz val="8"/>
            <color indexed="81"/>
            <rFont val="Tahoma"/>
            <family val="2"/>
            <charset val="204"/>
          </rPr>
          <t>b7b6 -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N/A
</t>
        </r>
        <r>
          <rPr>
            <b/>
            <sz val="9"/>
            <color indexed="81"/>
            <rFont val="Tahoma"/>
            <family val="2"/>
            <charset val="204"/>
          </rPr>
          <t>10</t>
        </r>
        <r>
          <rPr>
            <sz val="9"/>
            <color indexed="81"/>
            <rFont val="Tahoma"/>
            <family val="2"/>
            <charset val="204"/>
          </rPr>
          <t xml:space="preserve"> - Enabled
</t>
        </r>
        <r>
          <rPr>
            <b/>
            <sz val="9"/>
            <color indexed="81"/>
            <rFont val="Tahoma"/>
            <family val="2"/>
            <charset val="204"/>
          </rPr>
          <t>01</t>
        </r>
        <r>
          <rPr>
            <sz val="9"/>
            <color indexed="81"/>
            <rFont val="Tahoma"/>
            <family val="2"/>
            <charset val="204"/>
          </rPr>
          <t xml:space="preserve"> - Disabled</t>
        </r>
      </text>
    </comment>
    <comment ref="AI39" authorId="2" shapeId="0" xr:uid="{00000000-0006-0000-0300-00001F000000}">
      <text>
        <r>
          <rPr>
            <b/>
            <sz val="9"/>
            <color indexed="81"/>
            <rFont val="Tahoma"/>
            <family val="2"/>
            <charset val="204"/>
          </rPr>
          <t xml:space="preserve">Coming Home Light:
</t>
        </r>
        <r>
          <rPr>
            <i/>
            <sz val="8"/>
            <color indexed="81"/>
            <rFont val="Tahoma"/>
            <family val="2"/>
            <charset val="204"/>
          </rPr>
          <t>b7b6b5 - Value</t>
        </r>
        <r>
          <rPr>
            <sz val="9"/>
            <color indexed="81"/>
            <rFont val="Tahoma"/>
            <family val="2"/>
            <charset val="204"/>
          </rPr>
          <t xml:space="preserve">
</t>
        </r>
        <r>
          <rPr>
            <b/>
            <sz val="9"/>
            <color indexed="81"/>
            <rFont val="Tahoma"/>
            <family val="2"/>
            <charset val="204"/>
          </rPr>
          <t>000</t>
        </r>
        <r>
          <rPr>
            <sz val="9"/>
            <color indexed="81"/>
            <rFont val="Tahoma"/>
            <family val="2"/>
            <charset val="204"/>
          </rPr>
          <t xml:space="preserve"> - N/A
</t>
        </r>
        <r>
          <rPr>
            <b/>
            <sz val="9"/>
            <color indexed="81"/>
            <rFont val="Tahoma"/>
            <family val="2"/>
            <charset val="204"/>
          </rPr>
          <t>001</t>
        </r>
        <r>
          <rPr>
            <sz val="9"/>
            <color indexed="81"/>
            <rFont val="Tahoma"/>
            <family val="2"/>
            <charset val="204"/>
          </rPr>
          <t xml:space="preserve"> - OFF
</t>
        </r>
        <r>
          <rPr>
            <b/>
            <sz val="9"/>
            <color indexed="81"/>
            <rFont val="Tahoma"/>
            <family val="2"/>
            <charset val="204"/>
          </rPr>
          <t>010</t>
        </r>
        <r>
          <rPr>
            <sz val="9"/>
            <color indexed="81"/>
            <rFont val="Tahoma"/>
            <family val="2"/>
            <charset val="204"/>
          </rPr>
          <t xml:space="preserve"> - 30 sec
</t>
        </r>
        <r>
          <rPr>
            <b/>
            <sz val="9"/>
            <color indexed="81"/>
            <rFont val="Tahoma"/>
            <family val="2"/>
            <charset val="204"/>
          </rPr>
          <t>011</t>
        </r>
        <r>
          <rPr>
            <sz val="9"/>
            <color indexed="81"/>
            <rFont val="Tahoma"/>
            <family val="2"/>
            <charset val="204"/>
          </rPr>
          <t xml:space="preserve"> - 60 sec
</t>
        </r>
        <r>
          <rPr>
            <b/>
            <sz val="9"/>
            <color indexed="81"/>
            <rFont val="Tahoma"/>
            <family val="2"/>
            <charset val="204"/>
          </rPr>
          <t>100</t>
        </r>
        <r>
          <rPr>
            <sz val="9"/>
            <color indexed="81"/>
            <rFont val="Tahoma"/>
            <family val="2"/>
            <charset val="204"/>
          </rPr>
          <t xml:space="preserve"> - 90 sec
</t>
        </r>
        <r>
          <rPr>
            <b/>
            <sz val="9"/>
            <color indexed="81"/>
            <rFont val="Tahoma"/>
            <family val="2"/>
            <charset val="204"/>
          </rPr>
          <t>101</t>
        </r>
        <r>
          <rPr>
            <sz val="9"/>
            <color indexed="81"/>
            <rFont val="Tahoma"/>
            <family val="2"/>
            <charset val="204"/>
          </rPr>
          <t xml:space="preserve"> - 120 sec</t>
        </r>
      </text>
    </comment>
    <comment ref="AE41" authorId="2" shapeId="0" xr:uid="{00000000-0006-0000-0300-000020000000}">
      <text>
        <r>
          <rPr>
            <b/>
            <sz val="9"/>
            <color indexed="81"/>
            <rFont val="Tahoma"/>
            <family val="2"/>
            <charset val="204"/>
          </rPr>
          <t xml:space="preserve">Lighting - Auto Headlight On:
</t>
        </r>
        <r>
          <rPr>
            <i/>
            <sz val="8"/>
            <color indexed="81"/>
            <rFont val="Tahoma"/>
            <family val="2"/>
            <charset val="204"/>
          </rPr>
          <t>b5b4b3 - Value</t>
        </r>
        <r>
          <rPr>
            <sz val="9"/>
            <color indexed="81"/>
            <rFont val="Tahoma"/>
            <family val="2"/>
            <charset val="204"/>
          </rPr>
          <t xml:space="preserve">
</t>
        </r>
        <r>
          <rPr>
            <b/>
            <sz val="9"/>
            <color indexed="81"/>
            <rFont val="Tahoma"/>
            <family val="2"/>
            <charset val="204"/>
          </rPr>
          <t>000</t>
        </r>
        <r>
          <rPr>
            <sz val="9"/>
            <color indexed="81"/>
            <rFont val="Tahoma"/>
            <family val="2"/>
            <charset val="204"/>
          </rPr>
          <t xml:space="preserve"> - N/A
</t>
        </r>
        <r>
          <rPr>
            <b/>
            <sz val="9"/>
            <color indexed="81"/>
            <rFont val="Tahoma"/>
            <family val="2"/>
            <charset val="204"/>
          </rPr>
          <t>001</t>
        </r>
        <r>
          <rPr>
            <sz val="9"/>
            <color indexed="81"/>
            <rFont val="Tahoma"/>
            <family val="2"/>
            <charset val="204"/>
          </rPr>
          <t xml:space="preserve"> - Low
</t>
        </r>
        <r>
          <rPr>
            <b/>
            <sz val="9"/>
            <color indexed="81"/>
            <rFont val="Tahoma"/>
            <family val="2"/>
            <charset val="204"/>
          </rPr>
          <t>010</t>
        </r>
        <r>
          <rPr>
            <sz val="9"/>
            <color indexed="81"/>
            <rFont val="Tahoma"/>
            <family val="2"/>
            <charset val="204"/>
          </rPr>
          <t xml:space="preserve"> - Med. Low
</t>
        </r>
        <r>
          <rPr>
            <b/>
            <sz val="9"/>
            <color indexed="81"/>
            <rFont val="Tahoma"/>
            <family val="2"/>
            <charset val="204"/>
          </rPr>
          <t>011</t>
        </r>
        <r>
          <rPr>
            <sz val="9"/>
            <color indexed="81"/>
            <rFont val="Tahoma"/>
            <family val="2"/>
            <charset val="204"/>
          </rPr>
          <t xml:space="preserve"> - Medium
</t>
        </r>
        <r>
          <rPr>
            <b/>
            <sz val="9"/>
            <color indexed="81"/>
            <rFont val="Tahoma"/>
            <family val="2"/>
            <charset val="204"/>
          </rPr>
          <t>100</t>
        </r>
        <r>
          <rPr>
            <sz val="9"/>
            <color indexed="81"/>
            <rFont val="Tahoma"/>
            <family val="2"/>
            <charset val="204"/>
          </rPr>
          <t xml:space="preserve"> - Med. High
</t>
        </r>
        <r>
          <rPr>
            <b/>
            <sz val="9"/>
            <color indexed="81"/>
            <rFont val="Tahoma"/>
            <family val="2"/>
            <charset val="204"/>
          </rPr>
          <t>101</t>
        </r>
        <r>
          <rPr>
            <sz val="9"/>
            <color indexed="81"/>
            <rFont val="Tahoma"/>
            <family val="2"/>
            <charset val="204"/>
          </rPr>
          <t xml:space="preserve"> - High</t>
        </r>
      </text>
    </comment>
    <comment ref="W42" authorId="2" shapeId="0" xr:uid="{00000000-0006-0000-0300-000021000000}">
      <text>
        <r>
          <rPr>
            <b/>
            <sz val="9"/>
            <color indexed="81"/>
            <rFont val="Tahoma"/>
            <family val="2"/>
            <charset val="204"/>
          </rPr>
          <t xml:space="preserve">Lighting - Interior Light Timeout-Door Open:
</t>
        </r>
        <r>
          <rPr>
            <i/>
            <sz val="8"/>
            <color indexed="81"/>
            <rFont val="Tahoma"/>
            <family val="2"/>
            <charset val="204"/>
          </rPr>
          <t>b4b3 -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N/A
</t>
        </r>
        <r>
          <rPr>
            <b/>
            <sz val="9"/>
            <color indexed="81"/>
            <rFont val="Tahoma"/>
            <family val="2"/>
            <charset val="204"/>
          </rPr>
          <t>01</t>
        </r>
        <r>
          <rPr>
            <sz val="9"/>
            <color indexed="81"/>
            <rFont val="Tahoma"/>
            <family val="2"/>
            <charset val="204"/>
          </rPr>
          <t xml:space="preserve"> - 30 min
</t>
        </r>
        <r>
          <rPr>
            <b/>
            <sz val="9"/>
            <color indexed="81"/>
            <rFont val="Tahoma"/>
            <family val="2"/>
            <charset val="204"/>
          </rPr>
          <t>10</t>
        </r>
        <r>
          <rPr>
            <sz val="9"/>
            <color indexed="81"/>
            <rFont val="Tahoma"/>
            <family val="2"/>
            <charset val="204"/>
          </rPr>
          <t xml:space="preserve"> - 60 min
</t>
        </r>
        <r>
          <rPr>
            <b/>
            <sz val="9"/>
            <color indexed="81"/>
            <rFont val="Tahoma"/>
            <family val="2"/>
            <charset val="204"/>
          </rPr>
          <t>11</t>
        </r>
        <r>
          <rPr>
            <sz val="9"/>
            <color indexed="81"/>
            <rFont val="Tahoma"/>
            <family val="2"/>
            <charset val="204"/>
          </rPr>
          <t xml:space="preserve"> - 10 min</t>
        </r>
      </text>
    </comment>
    <comment ref="AA42" authorId="2" shapeId="0" xr:uid="{00000000-0006-0000-0300-000022000000}">
      <text>
        <r>
          <rPr>
            <b/>
            <sz val="9"/>
            <color indexed="81"/>
            <rFont val="Tahoma"/>
            <family val="2"/>
            <charset val="204"/>
          </rPr>
          <t xml:space="preserve">3-Flash Indicator:
</t>
        </r>
        <r>
          <rPr>
            <i/>
            <sz val="8"/>
            <color indexed="81"/>
            <rFont val="Tahoma"/>
            <family val="2"/>
            <charset val="204"/>
          </rPr>
          <t>b4b3 -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N/A
</t>
        </r>
        <r>
          <rPr>
            <b/>
            <sz val="9"/>
            <color indexed="81"/>
            <rFont val="Tahoma"/>
            <family val="2"/>
            <charset val="204"/>
          </rPr>
          <t>01</t>
        </r>
        <r>
          <rPr>
            <sz val="9"/>
            <color indexed="81"/>
            <rFont val="Tahoma"/>
            <family val="2"/>
            <charset val="204"/>
          </rPr>
          <t xml:space="preserve"> - Disabled
</t>
        </r>
        <r>
          <rPr>
            <b/>
            <sz val="9"/>
            <color indexed="81"/>
            <rFont val="Tahoma"/>
            <family val="2"/>
            <charset val="204"/>
          </rPr>
          <t>10</t>
        </r>
        <r>
          <rPr>
            <sz val="9"/>
            <color indexed="81"/>
            <rFont val="Tahoma"/>
            <family val="2"/>
            <charset val="204"/>
          </rPr>
          <t xml:space="preserve"> - Enabled</t>
        </r>
      </text>
    </comment>
    <comment ref="AI42" authorId="2" shapeId="0" xr:uid="{00000000-0006-0000-0300-000023000000}">
      <text>
        <r>
          <rPr>
            <b/>
            <sz val="9"/>
            <color indexed="81"/>
            <rFont val="Tahoma"/>
            <family val="2"/>
            <charset val="204"/>
          </rPr>
          <t xml:space="preserve">Leaving Home Light:
</t>
        </r>
        <r>
          <rPr>
            <i/>
            <sz val="8"/>
            <color indexed="81"/>
            <rFont val="Tahoma"/>
            <family val="2"/>
            <charset val="204"/>
          </rPr>
          <t>b4b3 -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N/A
</t>
        </r>
        <r>
          <rPr>
            <b/>
            <sz val="9"/>
            <color indexed="81"/>
            <rFont val="Tahoma"/>
            <family val="2"/>
            <charset val="204"/>
          </rPr>
          <t>01</t>
        </r>
        <r>
          <rPr>
            <sz val="9"/>
            <color indexed="81"/>
            <rFont val="Tahoma"/>
            <family val="2"/>
            <charset val="204"/>
          </rPr>
          <t xml:space="preserve"> - Disabled
</t>
        </r>
        <r>
          <rPr>
            <b/>
            <sz val="9"/>
            <color indexed="81"/>
            <rFont val="Tahoma"/>
            <family val="2"/>
            <charset val="204"/>
          </rPr>
          <t>10</t>
        </r>
        <r>
          <rPr>
            <sz val="9"/>
            <color indexed="81"/>
            <rFont val="Tahoma"/>
            <family val="2"/>
            <charset val="204"/>
          </rPr>
          <t xml:space="preserve"> - Enabled</t>
        </r>
      </text>
    </comment>
    <comment ref="W44" authorId="0" shapeId="0" xr:uid="{00000000-0006-0000-0300-000024000000}">
      <text>
        <r>
          <rPr>
            <b/>
            <sz val="9"/>
            <color indexed="81"/>
            <rFont val="Tahoma"/>
            <family val="2"/>
            <charset val="204"/>
          </rPr>
          <t xml:space="preserve">Lighting - Interior Light:
</t>
        </r>
        <r>
          <rPr>
            <i/>
            <sz val="8"/>
            <color indexed="81"/>
            <rFont val="Tahoma"/>
            <family val="2"/>
            <charset val="204"/>
          </rPr>
          <t>b2b1b0 - Value:</t>
        </r>
        <r>
          <rPr>
            <sz val="9"/>
            <color indexed="81"/>
            <rFont val="Tahoma"/>
            <family val="2"/>
            <charset val="204"/>
          </rPr>
          <t xml:space="preserve">
</t>
        </r>
        <r>
          <rPr>
            <b/>
            <sz val="9"/>
            <color indexed="81"/>
            <rFont val="Tahoma"/>
            <family val="2"/>
            <charset val="204"/>
          </rPr>
          <t>010</t>
        </r>
        <r>
          <rPr>
            <sz val="9"/>
            <color indexed="81"/>
            <rFont val="Tahoma"/>
            <family val="2"/>
            <charset val="204"/>
          </rPr>
          <t xml:space="preserve"> - Low
</t>
        </r>
        <r>
          <rPr>
            <b/>
            <sz val="9"/>
            <color indexed="81"/>
            <rFont val="Tahoma"/>
            <family val="2"/>
            <charset val="204"/>
          </rPr>
          <t>011</t>
        </r>
        <r>
          <rPr>
            <sz val="9"/>
            <color indexed="81"/>
            <rFont val="Tahoma"/>
            <family val="2"/>
            <charset val="204"/>
          </rPr>
          <t xml:space="preserve"> - Medium
</t>
        </r>
        <r>
          <rPr>
            <b/>
            <sz val="9"/>
            <color indexed="81"/>
            <rFont val="Tahoma"/>
            <family val="2"/>
            <charset val="204"/>
          </rPr>
          <t>100</t>
        </r>
        <r>
          <rPr>
            <sz val="9"/>
            <color indexed="81"/>
            <rFont val="Tahoma"/>
            <family val="2"/>
            <charset val="204"/>
          </rPr>
          <t xml:space="preserve"> - Bright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Sergii Litnevskyi</author>
    <author>Admin</author>
  </authors>
  <commentList>
    <comment ref="AA6" authorId="0" shapeId="0" xr:uid="{00000000-0006-0000-0400-000001000000}">
      <text>
        <r>
          <rPr>
            <b/>
            <sz val="9"/>
            <color indexed="81"/>
            <rFont val="Tahoma"/>
            <family val="2"/>
          </rPr>
          <t xml:space="preserve">US / non US:
</t>
        </r>
        <r>
          <rPr>
            <i/>
            <sz val="9"/>
            <color indexed="81"/>
            <rFont val="Tahoma"/>
            <family val="2"/>
            <charset val="204"/>
          </rPr>
          <t>b7b6 Value:</t>
        </r>
        <r>
          <rPr>
            <b/>
            <sz val="9"/>
            <color indexed="81"/>
            <rFont val="Tahoma"/>
            <family val="2"/>
          </rPr>
          <t xml:space="preserve">
00 - </t>
        </r>
        <r>
          <rPr>
            <sz val="9"/>
            <color indexed="81"/>
            <rFont val="Tahoma"/>
            <family val="2"/>
            <charset val="204"/>
          </rPr>
          <t>non US;</t>
        </r>
        <r>
          <rPr>
            <b/>
            <sz val="9"/>
            <color indexed="81"/>
            <rFont val="Tahoma"/>
            <family val="2"/>
          </rPr>
          <t xml:space="preserve">
11 - </t>
        </r>
        <r>
          <rPr>
            <sz val="9"/>
            <color indexed="81"/>
            <rFont val="Tahoma"/>
            <family val="2"/>
            <charset val="204"/>
          </rPr>
          <t>US</t>
        </r>
      </text>
    </comment>
    <comment ref="AE7" authorId="0" shapeId="0" xr:uid="{00000000-0006-0000-0400-000002000000}">
      <text>
        <r>
          <rPr>
            <b/>
            <sz val="9"/>
            <color indexed="81"/>
            <rFont val="Tahoma"/>
            <family val="2"/>
            <charset val="204"/>
          </rPr>
          <t>tells car if single relay halogen headlights are equipped or dual relay HIDs</t>
        </r>
      </text>
    </comment>
    <comment ref="AA8" authorId="0" shapeId="0" xr:uid="{00000000-0006-0000-0400-000003000000}">
      <text>
        <r>
          <rPr>
            <b/>
            <u/>
            <sz val="9"/>
            <color indexed="81"/>
            <rFont val="Tahoma"/>
            <family val="2"/>
            <charset val="204"/>
          </rPr>
          <t>Mazda model</t>
        </r>
        <r>
          <rPr>
            <b/>
            <sz val="9"/>
            <color indexed="81"/>
            <rFont val="Tahoma"/>
            <family val="2"/>
            <charset val="204"/>
          </rPr>
          <t xml:space="preserve">
</t>
        </r>
        <r>
          <rPr>
            <i/>
            <sz val="8"/>
            <color indexed="81"/>
            <rFont val="Tahoma"/>
            <family val="2"/>
            <charset val="204"/>
          </rPr>
          <t>B2 (HEX) - Value:</t>
        </r>
        <r>
          <rPr>
            <b/>
            <sz val="9"/>
            <color indexed="81"/>
            <rFont val="Tahoma"/>
            <family val="2"/>
            <charset val="204"/>
          </rPr>
          <t xml:space="preserve">
01</t>
        </r>
        <r>
          <rPr>
            <sz val="9"/>
            <color indexed="81"/>
            <rFont val="Tahoma"/>
            <family val="2"/>
            <charset val="204"/>
          </rPr>
          <t xml:space="preserve"> - CX5KE;</t>
        </r>
        <r>
          <rPr>
            <b/>
            <sz val="9"/>
            <color indexed="81"/>
            <rFont val="Tahoma"/>
            <family val="2"/>
            <charset val="204"/>
          </rPr>
          <t xml:space="preserve">
09</t>
        </r>
        <r>
          <rPr>
            <sz val="9"/>
            <color indexed="81"/>
            <rFont val="Tahoma"/>
            <family val="2"/>
            <charset val="204"/>
          </rPr>
          <t xml:space="preserve"> - M6;</t>
        </r>
        <r>
          <rPr>
            <b/>
            <sz val="9"/>
            <color indexed="81"/>
            <rFont val="Tahoma"/>
            <family val="2"/>
            <charset val="204"/>
          </rPr>
          <t xml:space="preserve">
11</t>
        </r>
        <r>
          <rPr>
            <sz val="9"/>
            <color indexed="81"/>
            <rFont val="Tahoma"/>
            <family val="2"/>
            <charset val="204"/>
          </rPr>
          <t xml:space="preserve"> - CX9;</t>
        </r>
        <r>
          <rPr>
            <b/>
            <sz val="9"/>
            <color indexed="81"/>
            <rFont val="Tahoma"/>
            <family val="2"/>
            <charset val="204"/>
          </rPr>
          <t xml:space="preserve">
19</t>
        </r>
        <r>
          <rPr>
            <sz val="9"/>
            <color indexed="81"/>
            <rFont val="Tahoma"/>
            <family val="2"/>
            <charset val="204"/>
          </rPr>
          <t xml:space="preserve"> - M3;</t>
        </r>
        <r>
          <rPr>
            <b/>
            <sz val="9"/>
            <color indexed="81"/>
            <rFont val="Tahoma"/>
            <family val="2"/>
            <charset val="204"/>
          </rPr>
          <t xml:space="preserve">
21</t>
        </r>
        <r>
          <rPr>
            <sz val="9"/>
            <color indexed="81"/>
            <rFont val="Tahoma"/>
            <family val="2"/>
            <charset val="204"/>
          </rPr>
          <t xml:space="preserve"> - CX5KF, CX8;</t>
        </r>
        <r>
          <rPr>
            <b/>
            <sz val="9"/>
            <color indexed="81"/>
            <rFont val="Tahoma"/>
            <family val="2"/>
            <charset val="204"/>
          </rPr>
          <t xml:space="preserve">
29</t>
        </r>
        <r>
          <rPr>
            <sz val="9"/>
            <color indexed="81"/>
            <rFont val="Tahoma"/>
            <family val="2"/>
            <charset val="204"/>
          </rPr>
          <t xml:space="preserve"> - CX4</t>
        </r>
      </text>
    </comment>
    <comment ref="W9" authorId="1" shapeId="0" xr:uid="{3D18EE75-B470-4335-B350-BCE711DCF141}">
      <text>
        <r>
          <rPr>
            <b/>
            <sz val="9"/>
            <color indexed="81"/>
            <rFont val="Tahoma"/>
            <family val="2"/>
            <charset val="204"/>
          </rPr>
          <t>1 - LED front+rear turn signal lights (Sedan only) &amp; with  proper hardware</t>
        </r>
        <r>
          <rPr>
            <sz val="9"/>
            <color indexed="81"/>
            <rFont val="Tahoma"/>
            <family val="2"/>
            <charset val="204"/>
          </rPr>
          <t xml:space="preserve">
</t>
        </r>
      </text>
    </comment>
    <comment ref="S10" authorId="1" shapeId="0" xr:uid="{851E56E4-AC06-4566-93FB-9335E0D01D22}">
      <text>
        <r>
          <rPr>
            <b/>
            <sz val="9"/>
            <color indexed="81"/>
            <rFont val="Tahoma"/>
            <family val="2"/>
            <charset val="204"/>
          </rPr>
          <t>1=M6 &amp; CX-4 only (except US)</t>
        </r>
      </text>
    </comment>
    <comment ref="AE10" authorId="0" shapeId="0" xr:uid="{00000000-0006-0000-0400-000004000000}">
      <text>
        <r>
          <rPr>
            <b/>
            <sz val="9"/>
            <color indexed="81"/>
            <rFont val="Tahoma"/>
            <family val="2"/>
            <charset val="204"/>
          </rPr>
          <t>Air Con.:</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Manual
</t>
        </r>
        <r>
          <rPr>
            <b/>
            <sz val="9"/>
            <color indexed="81"/>
            <rFont val="Tahoma"/>
            <family val="2"/>
            <charset val="204"/>
          </rPr>
          <t>1</t>
        </r>
        <r>
          <rPr>
            <sz val="9"/>
            <color indexed="81"/>
            <rFont val="Tahoma"/>
            <family val="2"/>
            <charset val="204"/>
          </rPr>
          <t xml:space="preserve"> - Full Auto</t>
        </r>
      </text>
    </comment>
    <comment ref="S11" authorId="0" shapeId="0" xr:uid="{00000000-0006-0000-0400-000005000000}">
      <text>
        <r>
          <rPr>
            <b/>
            <sz val="9"/>
            <color indexed="81"/>
            <rFont val="Tahoma"/>
            <family val="2"/>
            <charset val="204"/>
          </rPr>
          <t xml:space="preserve">Daylight Running Light/Bambi (Fog Lights with High Beam):
</t>
        </r>
        <r>
          <rPr>
            <i/>
            <sz val="8"/>
            <color indexed="81"/>
            <rFont val="Tahoma"/>
            <family val="2"/>
          </rPr>
          <t>b2b1 - Value:</t>
        </r>
        <r>
          <rPr>
            <sz val="9"/>
            <color indexed="81"/>
            <rFont val="Tahoma"/>
            <family val="2"/>
          </rPr>
          <t xml:space="preserve">
</t>
        </r>
        <r>
          <rPr>
            <b/>
            <sz val="9"/>
            <color indexed="81"/>
            <rFont val="Tahoma"/>
            <family val="2"/>
          </rPr>
          <t>00</t>
        </r>
        <r>
          <rPr>
            <sz val="9"/>
            <color indexed="81"/>
            <rFont val="Tahoma"/>
            <family val="2"/>
          </rPr>
          <t xml:space="preserve"> - DRL + Bambi
</t>
        </r>
        <r>
          <rPr>
            <b/>
            <sz val="9"/>
            <color indexed="81"/>
            <rFont val="Tahoma"/>
            <family val="2"/>
          </rPr>
          <t>01</t>
        </r>
        <r>
          <rPr>
            <sz val="9"/>
            <color indexed="81"/>
            <rFont val="Tahoma"/>
            <family val="2"/>
          </rPr>
          <t xml:space="preserve"> - Bambi w/o DRL
</t>
        </r>
        <r>
          <rPr>
            <b/>
            <sz val="9"/>
            <color indexed="81"/>
            <rFont val="Tahoma"/>
            <family val="2"/>
          </rPr>
          <t>10</t>
        </r>
        <r>
          <rPr>
            <sz val="9"/>
            <color indexed="81"/>
            <rFont val="Tahoma"/>
            <family val="2"/>
          </rPr>
          <t xml:space="preserve"> - DRL w/o Bambi
*Verified on Mazda 3 USA with Halogen headlights
Also affects sensitivity of Light sensor (verified on Mazda 6 and CX-5)</t>
        </r>
      </text>
    </comment>
    <comment ref="AE11" authorId="0" shapeId="0" xr:uid="{00000000-0006-0000-0400-000006000000}">
      <text>
        <r>
          <rPr>
            <b/>
            <sz val="9"/>
            <color indexed="81"/>
            <rFont val="Tahoma"/>
            <family val="2"/>
            <charset val="204"/>
          </rPr>
          <t>Headlight Washers:
0</t>
        </r>
        <r>
          <rPr>
            <sz val="9"/>
            <color indexed="81"/>
            <rFont val="Tahoma"/>
            <family val="2"/>
            <charset val="204"/>
          </rPr>
          <t xml:space="preserve"> - Not Present
</t>
        </r>
        <r>
          <rPr>
            <b/>
            <sz val="9"/>
            <color indexed="81"/>
            <rFont val="Tahoma"/>
            <family val="2"/>
            <charset val="204"/>
          </rPr>
          <t>1</t>
        </r>
        <r>
          <rPr>
            <sz val="9"/>
            <color indexed="81"/>
            <rFont val="Tahoma"/>
            <family val="2"/>
            <charset val="204"/>
          </rPr>
          <t xml:space="preserve"> - Present</t>
        </r>
      </text>
    </comment>
    <comment ref="AE12" authorId="0" shapeId="0" xr:uid="{00000000-0006-0000-0400-000008000000}">
      <text>
        <r>
          <rPr>
            <sz val="9"/>
            <color indexed="81"/>
            <rFont val="Tahoma"/>
            <family val="2"/>
            <charset val="204"/>
          </rPr>
          <t>Flashes hazards rapidly under emergency braking</t>
        </r>
        <r>
          <rPr>
            <b/>
            <sz val="9"/>
            <color indexed="81"/>
            <rFont val="Tahoma"/>
            <family val="2"/>
            <charset val="204"/>
          </rPr>
          <t xml:space="preserve">
ESS (Emergency Signal System):
0</t>
        </r>
        <r>
          <rPr>
            <sz val="9"/>
            <color indexed="81"/>
            <rFont val="Tahoma"/>
            <family val="2"/>
            <charset val="204"/>
          </rPr>
          <t xml:space="preserve"> - Disabled</t>
        </r>
        <r>
          <rPr>
            <b/>
            <sz val="9"/>
            <color indexed="81"/>
            <rFont val="Tahoma"/>
            <family val="2"/>
            <charset val="204"/>
          </rPr>
          <t xml:space="preserve">
1</t>
        </r>
        <r>
          <rPr>
            <sz val="9"/>
            <color indexed="81"/>
            <rFont val="Tahoma"/>
            <family val="2"/>
            <charset val="204"/>
          </rPr>
          <t xml:space="preserve"> - Enabled</t>
        </r>
      </text>
    </comment>
    <comment ref="AE24" authorId="1" shapeId="0" xr:uid="{00000000-0006-0000-0400-000009000000}">
      <text>
        <r>
          <rPr>
            <b/>
            <sz val="9"/>
            <color indexed="81"/>
            <rFont val="Tahoma"/>
            <family val="2"/>
            <charset val="204"/>
          </rPr>
          <t>1 - LED front turn signal lights (HB/WGN only)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Sergii Litnevskyi</author>
    <author>RePack by Diakov</author>
    <author>Admin</author>
  </authors>
  <commentList>
    <comment ref="AF4" authorId="0" shapeId="0" xr:uid="{1C656DD9-77EC-4FA5-86A6-0D498225D68E}">
      <text>
        <r>
          <rPr>
            <sz val="9"/>
            <color indexed="81"/>
            <rFont val="Tahoma"/>
            <family val="2"/>
            <charset val="204"/>
          </rPr>
          <t xml:space="preserve">Be careful with editing this byte, especially b0! </t>
        </r>
        <r>
          <rPr>
            <b/>
            <sz val="9"/>
            <color indexed="81"/>
            <rFont val="Tahoma"/>
            <family val="2"/>
            <charset val="204"/>
          </rPr>
          <t>Can brick SSU!</t>
        </r>
      </text>
    </comment>
    <comment ref="S6" authorId="1" shapeId="0" xr:uid="{00000000-0006-0000-0500-000001000000}">
      <text>
        <r>
          <rPr>
            <b/>
            <u/>
            <sz val="9"/>
            <color indexed="81"/>
            <rFont val="Tahoma"/>
            <family val="2"/>
            <charset val="204"/>
          </rPr>
          <t>Mazda model</t>
        </r>
        <r>
          <rPr>
            <b/>
            <sz val="9"/>
            <color indexed="81"/>
            <rFont val="Tahoma"/>
            <family val="2"/>
            <charset val="204"/>
          </rPr>
          <t xml:space="preserve">
</t>
        </r>
        <r>
          <rPr>
            <i/>
            <sz val="8"/>
            <color indexed="81"/>
            <rFont val="Tahoma"/>
            <family val="2"/>
            <charset val="204"/>
          </rPr>
          <t>b7b6b5b4 - Value:</t>
        </r>
        <r>
          <rPr>
            <b/>
            <sz val="9"/>
            <color indexed="81"/>
            <rFont val="Tahoma"/>
            <family val="2"/>
            <charset val="204"/>
          </rPr>
          <t xml:space="preserve">
0000 - </t>
        </r>
        <r>
          <rPr>
            <sz val="9"/>
            <color indexed="81"/>
            <rFont val="Tahoma"/>
            <family val="2"/>
            <charset val="204"/>
          </rPr>
          <t>CX-5 KE</t>
        </r>
        <r>
          <rPr>
            <b/>
            <sz val="9"/>
            <color indexed="81"/>
            <rFont val="Tahoma"/>
            <family val="2"/>
            <charset val="204"/>
          </rPr>
          <t xml:space="preserve">
0001 -</t>
        </r>
        <r>
          <rPr>
            <sz val="9"/>
            <color indexed="81"/>
            <rFont val="Tahoma"/>
            <family val="2"/>
            <charset val="204"/>
          </rPr>
          <t xml:space="preserve"> M6</t>
        </r>
        <r>
          <rPr>
            <b/>
            <sz val="9"/>
            <color indexed="81"/>
            <rFont val="Tahoma"/>
            <family val="2"/>
            <charset val="204"/>
          </rPr>
          <t xml:space="preserve">
0010 -</t>
        </r>
        <r>
          <rPr>
            <sz val="9"/>
            <color indexed="81"/>
            <rFont val="Tahoma"/>
            <family val="2"/>
            <charset val="204"/>
          </rPr>
          <t xml:space="preserve"> M3</t>
        </r>
        <r>
          <rPr>
            <b/>
            <sz val="9"/>
            <color indexed="81"/>
            <rFont val="Tahoma"/>
            <family val="2"/>
            <charset val="204"/>
          </rPr>
          <t xml:space="preserve">
0100 -</t>
        </r>
        <r>
          <rPr>
            <sz val="9"/>
            <color indexed="81"/>
            <rFont val="Tahoma"/>
            <family val="2"/>
            <charset val="204"/>
          </rPr>
          <t xml:space="preserve"> M2</t>
        </r>
        <r>
          <rPr>
            <b/>
            <sz val="9"/>
            <color indexed="81"/>
            <rFont val="Tahoma"/>
            <family val="2"/>
            <charset val="204"/>
          </rPr>
          <t xml:space="preserve">
0100 - </t>
        </r>
        <r>
          <rPr>
            <sz val="9"/>
            <color indexed="81"/>
            <rFont val="Tahoma"/>
            <family val="2"/>
            <charset val="204"/>
          </rPr>
          <t>CX-3</t>
        </r>
        <r>
          <rPr>
            <b/>
            <sz val="9"/>
            <color indexed="81"/>
            <rFont val="Tahoma"/>
            <family val="2"/>
            <charset val="204"/>
          </rPr>
          <t xml:space="preserve">
0101 - </t>
        </r>
        <r>
          <rPr>
            <sz val="9"/>
            <color indexed="81"/>
            <rFont val="Tahoma"/>
            <family val="2"/>
            <charset val="204"/>
          </rPr>
          <t>MX-5</t>
        </r>
        <r>
          <rPr>
            <b/>
            <sz val="9"/>
            <color indexed="81"/>
            <rFont val="Tahoma"/>
            <family val="2"/>
            <charset val="204"/>
          </rPr>
          <t xml:space="preserve">
1000 - </t>
        </r>
        <r>
          <rPr>
            <sz val="9"/>
            <color indexed="81"/>
            <rFont val="Tahoma"/>
            <family val="2"/>
            <charset val="204"/>
          </rPr>
          <t>CX-4</t>
        </r>
        <r>
          <rPr>
            <b/>
            <sz val="9"/>
            <color indexed="81"/>
            <rFont val="Tahoma"/>
            <family val="2"/>
            <charset val="204"/>
          </rPr>
          <t xml:space="preserve">
1010 - </t>
        </r>
        <r>
          <rPr>
            <sz val="9"/>
            <color indexed="81"/>
            <rFont val="Tahoma"/>
            <family val="2"/>
            <charset val="204"/>
          </rPr>
          <t>CX-9</t>
        </r>
        <r>
          <rPr>
            <b/>
            <sz val="9"/>
            <color indexed="81"/>
            <rFont val="Tahoma"/>
            <family val="2"/>
            <charset val="204"/>
          </rPr>
          <t xml:space="preserve">
1011 -</t>
        </r>
        <r>
          <rPr>
            <sz val="9"/>
            <color indexed="81"/>
            <rFont val="Tahoma"/>
            <family val="2"/>
            <charset val="204"/>
          </rPr>
          <t xml:space="preserve"> CX-5 KF</t>
        </r>
        <r>
          <rPr>
            <b/>
            <sz val="9"/>
            <color indexed="81"/>
            <rFont val="Tahoma"/>
            <family val="2"/>
            <charset val="204"/>
          </rPr>
          <t xml:space="preserve">
1100 - </t>
        </r>
        <r>
          <rPr>
            <sz val="9"/>
            <color indexed="81"/>
            <rFont val="Tahoma"/>
            <family val="2"/>
            <charset val="204"/>
          </rPr>
          <t>CX-8</t>
        </r>
      </text>
    </comment>
    <comment ref="AA6" authorId="1" shapeId="0" xr:uid="{00000000-0006-0000-0500-000002000000}">
      <text>
        <r>
          <rPr>
            <b/>
            <sz val="9"/>
            <color indexed="81"/>
            <rFont val="Tahoma"/>
            <family val="2"/>
            <charset val="204"/>
          </rPr>
          <t>Advanced Keyless Entry: 0</t>
        </r>
        <r>
          <rPr>
            <sz val="9"/>
            <color indexed="81"/>
            <rFont val="Tahoma"/>
            <family val="2"/>
            <charset val="204"/>
          </rPr>
          <t xml:space="preserve"> - Off</t>
        </r>
        <r>
          <rPr>
            <b/>
            <sz val="9"/>
            <color indexed="81"/>
            <rFont val="Tahoma"/>
            <family val="2"/>
            <charset val="204"/>
          </rPr>
          <t xml:space="preserve">
1</t>
        </r>
        <r>
          <rPr>
            <sz val="9"/>
            <color indexed="81"/>
            <rFont val="Tahoma"/>
            <family val="2"/>
            <charset val="204"/>
          </rPr>
          <t xml:space="preserve"> - On</t>
        </r>
      </text>
    </comment>
    <comment ref="AE6" authorId="1" shapeId="0" xr:uid="{00000000-0006-0000-0500-000003000000}">
      <text>
        <r>
          <rPr>
            <b/>
            <u/>
            <sz val="9"/>
            <color indexed="81"/>
            <rFont val="Tahoma"/>
            <family val="2"/>
            <charset val="204"/>
          </rPr>
          <t>Bodystyle dependant</t>
        </r>
        <r>
          <rPr>
            <b/>
            <sz val="9"/>
            <color indexed="81"/>
            <rFont val="Tahoma"/>
            <family val="2"/>
            <charset val="204"/>
          </rPr>
          <t xml:space="preserve">
</t>
        </r>
        <r>
          <rPr>
            <i/>
            <sz val="9"/>
            <color indexed="81"/>
            <rFont val="Tahoma"/>
            <family val="2"/>
            <charset val="204"/>
          </rPr>
          <t>b7b6b5 - Value:</t>
        </r>
        <r>
          <rPr>
            <b/>
            <sz val="9"/>
            <color indexed="81"/>
            <rFont val="Tahoma"/>
            <family val="2"/>
            <charset val="204"/>
          </rPr>
          <t xml:space="preserve">
000 -</t>
        </r>
        <r>
          <rPr>
            <sz val="9"/>
            <color indexed="81"/>
            <rFont val="Tahoma"/>
            <family val="2"/>
            <charset val="204"/>
          </rPr>
          <t xml:space="preserve"> Sedan;</t>
        </r>
        <r>
          <rPr>
            <b/>
            <sz val="9"/>
            <color indexed="81"/>
            <rFont val="Tahoma"/>
            <family val="2"/>
            <charset val="204"/>
          </rPr>
          <t xml:space="preserve">
001 - </t>
        </r>
        <r>
          <rPr>
            <sz val="9"/>
            <color indexed="81"/>
            <rFont val="Tahoma"/>
            <family val="2"/>
            <charset val="204"/>
          </rPr>
          <t>any in EU;</t>
        </r>
        <r>
          <rPr>
            <b/>
            <sz val="9"/>
            <color indexed="81"/>
            <rFont val="Tahoma"/>
            <family val="2"/>
            <charset val="204"/>
          </rPr>
          <t xml:space="preserve">
100 - </t>
        </r>
        <r>
          <rPr>
            <sz val="9"/>
            <color indexed="81"/>
            <rFont val="Tahoma"/>
            <family val="2"/>
            <charset val="204"/>
          </rPr>
          <t>HB/Wgn</t>
        </r>
      </text>
    </comment>
    <comment ref="AI7" authorId="2" shapeId="0" xr:uid="{9BCB512B-63F6-468A-BB5C-C6C7BF407368}">
      <text>
        <r>
          <rPr>
            <b/>
            <sz val="9"/>
            <color indexed="81"/>
            <rFont val="Tahoma"/>
            <family val="2"/>
            <charset val="204"/>
          </rPr>
          <t>1= --&gt; 720-04-33 B2b1=1 (for M2/CX3/MX5)</t>
        </r>
      </text>
    </comment>
    <comment ref="AA8" authorId="1" shapeId="0" xr:uid="{00000000-0006-0000-0500-000004000000}">
      <text>
        <r>
          <rPr>
            <b/>
            <sz val="9"/>
            <color indexed="81"/>
            <rFont val="Tahoma"/>
            <family val="2"/>
            <charset val="204"/>
          </rPr>
          <t>1=in Market Area 41/South America &amp; if 726-01-01 B3b2=0 for M6 (Headlight Washers - OFF in Market Areas: 31/51)</t>
        </r>
      </text>
    </comment>
    <comment ref="AI9" authorId="2" shapeId="0" xr:uid="{15B11DAC-2013-4FAF-9C8D-420FCA70581A}">
      <text>
        <r>
          <rPr>
            <b/>
            <sz val="9"/>
            <color indexed="81"/>
            <rFont val="Tahoma"/>
            <family val="2"/>
            <charset val="204"/>
          </rPr>
          <t>1=sometimes &amp; only if 720-04-27 B0=10…</t>
        </r>
      </text>
    </comment>
    <comment ref="W10" authorId="1" shapeId="0" xr:uid="{00000000-0006-0000-0500-000005000000}">
      <text>
        <r>
          <rPr>
            <b/>
            <sz val="9"/>
            <color indexed="81"/>
            <rFont val="Tahoma"/>
            <family val="2"/>
            <charset val="204"/>
          </rPr>
          <t xml:space="preserve">Bodystyle
</t>
        </r>
        <r>
          <rPr>
            <i/>
            <sz val="8"/>
            <color indexed="81"/>
            <rFont val="Tahoma"/>
            <family val="2"/>
            <charset val="204"/>
          </rPr>
          <t>b3b2b1 - Value</t>
        </r>
        <r>
          <rPr>
            <b/>
            <sz val="9"/>
            <color indexed="81"/>
            <rFont val="Tahoma"/>
            <family val="2"/>
            <charset val="204"/>
          </rPr>
          <t xml:space="preserve">
000 - </t>
        </r>
        <r>
          <rPr>
            <sz val="9"/>
            <color indexed="81"/>
            <rFont val="Tahoma"/>
            <family val="2"/>
            <charset val="204"/>
          </rPr>
          <t>Sedan</t>
        </r>
        <r>
          <rPr>
            <b/>
            <sz val="9"/>
            <color indexed="81"/>
            <rFont val="Tahoma"/>
            <family val="2"/>
            <charset val="204"/>
          </rPr>
          <t xml:space="preserve">
010 - </t>
        </r>
        <r>
          <rPr>
            <sz val="9"/>
            <color indexed="81"/>
            <rFont val="Tahoma"/>
            <family val="2"/>
            <charset val="204"/>
          </rPr>
          <t>Wagon, HB (M2)</t>
        </r>
        <r>
          <rPr>
            <b/>
            <sz val="9"/>
            <color indexed="81"/>
            <rFont val="Tahoma"/>
            <family val="2"/>
            <charset val="204"/>
          </rPr>
          <t xml:space="preserve">
100 - </t>
        </r>
        <r>
          <rPr>
            <sz val="9"/>
            <color indexed="81"/>
            <rFont val="Tahoma"/>
            <family val="2"/>
            <charset val="204"/>
          </rPr>
          <t>Hatchback</t>
        </r>
      </text>
    </comment>
    <comment ref="AA12" authorId="2" shapeId="0" xr:uid="{C26F7A9C-D1FA-47DF-BCAD-24F4F9910290}">
      <text>
        <r>
          <rPr>
            <b/>
            <sz val="9"/>
            <color indexed="81"/>
            <rFont val="Tahoma"/>
            <family val="2"/>
            <charset val="204"/>
          </rPr>
          <t>1=</t>
        </r>
        <r>
          <rPr>
            <sz val="9"/>
            <color indexed="81"/>
            <rFont val="Tahoma"/>
            <family val="2"/>
            <charset val="204"/>
          </rPr>
          <t>if 720-04-14 B4b5=1;</t>
        </r>
        <r>
          <rPr>
            <b/>
            <sz val="9"/>
            <color indexed="81"/>
            <rFont val="Tahoma"/>
            <family val="2"/>
            <charset val="204"/>
          </rPr>
          <t xml:space="preserve">
0=</t>
        </r>
        <r>
          <rPr>
            <sz val="9"/>
            <color indexed="81"/>
            <rFont val="Tahoma"/>
            <family val="2"/>
            <charset val="204"/>
          </rPr>
          <t>if 720-04-14 B4b5=0</t>
        </r>
      </text>
    </comment>
    <comment ref="AI13" authorId="2" shapeId="0" xr:uid="{0FD4DB84-B85F-4A4F-84DC-B8CDF6DCAF87}">
      <text>
        <r>
          <rPr>
            <b/>
            <sz val="9"/>
            <color indexed="81"/>
            <rFont val="Tahoma"/>
            <family val="2"/>
            <charset val="204"/>
          </rPr>
          <t>1</t>
        </r>
        <r>
          <rPr>
            <sz val="9"/>
            <color indexed="81"/>
            <rFont val="Tahoma"/>
            <family val="2"/>
            <charset val="204"/>
          </rPr>
          <t>- if 720-04-27 B0=3x, 0- if 720-04-27 B0=2x ???</t>
        </r>
        <r>
          <rPr>
            <b/>
            <sz val="9"/>
            <color indexed="81"/>
            <rFont val="Tahoma"/>
            <family val="2"/>
            <charset val="204"/>
          </rPr>
          <t xml:space="preserve">
Be careful with editing this byte, especially b0! Can brick SSU!</t>
        </r>
      </text>
    </comment>
    <comment ref="AI17" authorId="1" shapeId="0" xr:uid="{00000000-0006-0000-0500-000006000000}">
      <text>
        <r>
          <rPr>
            <b/>
            <u/>
            <sz val="9"/>
            <color indexed="81"/>
            <rFont val="Tahoma"/>
            <family val="2"/>
            <charset val="204"/>
          </rPr>
          <t>Model/Drive dependant</t>
        </r>
        <r>
          <rPr>
            <b/>
            <sz val="9"/>
            <color indexed="81"/>
            <rFont val="Tahoma"/>
            <family val="2"/>
            <charset val="204"/>
          </rPr>
          <t xml:space="preserve">
</t>
        </r>
        <r>
          <rPr>
            <i/>
            <sz val="8"/>
            <color indexed="81"/>
            <rFont val="Tahoma"/>
            <family val="2"/>
            <charset val="204"/>
          </rPr>
          <t>b7b6b5b4 - Value:</t>
        </r>
        <r>
          <rPr>
            <b/>
            <sz val="9"/>
            <color indexed="81"/>
            <rFont val="Tahoma"/>
            <family val="2"/>
            <charset val="204"/>
          </rPr>
          <t xml:space="preserve">
0110 - </t>
        </r>
        <r>
          <rPr>
            <sz val="9"/>
            <color indexed="81"/>
            <rFont val="Tahoma"/>
            <family val="2"/>
            <charset val="204"/>
          </rPr>
          <t>M3(LHD);</t>
        </r>
        <r>
          <rPr>
            <b/>
            <sz val="9"/>
            <color indexed="81"/>
            <rFont val="Tahoma"/>
            <family val="2"/>
            <charset val="204"/>
          </rPr>
          <t xml:space="preserve">
0111 - </t>
        </r>
        <r>
          <rPr>
            <sz val="9"/>
            <color indexed="81"/>
            <rFont val="Tahoma"/>
            <family val="2"/>
            <charset val="204"/>
          </rPr>
          <t>M2(LHD),M3(US);</t>
        </r>
        <r>
          <rPr>
            <b/>
            <sz val="9"/>
            <color indexed="81"/>
            <rFont val="Tahoma"/>
            <family val="2"/>
            <charset val="204"/>
          </rPr>
          <t xml:space="preserve">
1000 - </t>
        </r>
        <r>
          <rPr>
            <sz val="9"/>
            <color indexed="81"/>
            <rFont val="Tahoma"/>
            <family val="2"/>
            <charset val="204"/>
          </rPr>
          <t>M6(except US);</t>
        </r>
        <r>
          <rPr>
            <b/>
            <sz val="9"/>
            <color indexed="81"/>
            <rFont val="Tahoma"/>
            <family val="2"/>
            <charset val="204"/>
          </rPr>
          <t xml:space="preserve">
1001 - </t>
        </r>
        <r>
          <rPr>
            <sz val="9"/>
            <color indexed="81"/>
            <rFont val="Tahoma"/>
            <family val="2"/>
            <charset val="204"/>
          </rPr>
          <t>M2(RHD),M6(US)CX3(LHD), MX5(except US),CX5(except US),CX4,CX8,CX9(except US);</t>
        </r>
        <r>
          <rPr>
            <b/>
            <sz val="9"/>
            <color indexed="81"/>
            <rFont val="Tahoma"/>
            <family val="2"/>
            <charset val="204"/>
          </rPr>
          <t xml:space="preserve">
1010 - </t>
        </r>
        <r>
          <rPr>
            <sz val="9"/>
            <color indexed="81"/>
            <rFont val="Tahoma"/>
            <family val="2"/>
            <charset val="204"/>
          </rPr>
          <t xml:space="preserve">M3(RHD), MX5(US), CX3(RHD)+(US), CX5(US), CX9(US) </t>
        </r>
      </text>
    </comment>
    <comment ref="AE18" authorId="1" shapeId="0" xr:uid="{00000000-0006-0000-0500-000007000000}">
      <text>
        <r>
          <rPr>
            <b/>
            <u/>
            <sz val="9"/>
            <color indexed="81"/>
            <rFont val="Tahoma"/>
            <family val="2"/>
            <charset val="204"/>
          </rPr>
          <t>Model/Drive dependant</t>
        </r>
        <r>
          <rPr>
            <b/>
            <sz val="9"/>
            <color indexed="81"/>
            <rFont val="Tahoma"/>
            <family val="2"/>
            <charset val="204"/>
          </rPr>
          <t xml:space="preserve">
</t>
        </r>
        <r>
          <rPr>
            <i/>
            <sz val="8"/>
            <color indexed="81"/>
            <rFont val="Tahoma"/>
            <family val="2"/>
            <charset val="204"/>
          </rPr>
          <t>Value:</t>
        </r>
        <r>
          <rPr>
            <b/>
            <sz val="9"/>
            <color indexed="81"/>
            <rFont val="Tahoma"/>
            <family val="2"/>
            <charset val="204"/>
          </rPr>
          <t xml:space="preserve">
24 - </t>
        </r>
        <r>
          <rPr>
            <sz val="9"/>
            <color indexed="81"/>
            <rFont val="Tahoma"/>
            <family val="2"/>
            <charset val="204"/>
          </rPr>
          <t>M3(LHD);</t>
        </r>
        <r>
          <rPr>
            <b/>
            <sz val="9"/>
            <color indexed="81"/>
            <rFont val="Tahoma"/>
            <family val="2"/>
            <charset val="204"/>
          </rPr>
          <t xml:space="preserve">
25 - </t>
        </r>
        <r>
          <rPr>
            <sz val="9"/>
            <color indexed="81"/>
            <rFont val="Tahoma"/>
            <family val="2"/>
            <charset val="204"/>
          </rPr>
          <t>CX4(LHD);</t>
        </r>
        <r>
          <rPr>
            <b/>
            <sz val="9"/>
            <color indexed="81"/>
            <rFont val="Tahoma"/>
            <family val="2"/>
            <charset val="204"/>
          </rPr>
          <t xml:space="preserve">
26 -</t>
        </r>
        <r>
          <rPr>
            <sz val="9"/>
            <color indexed="81"/>
            <rFont val="Tahoma"/>
            <family val="2"/>
            <charset val="204"/>
          </rPr>
          <t xml:space="preserve"> MX5(except US), CX5KF(except US),CX8(RHD);</t>
        </r>
        <r>
          <rPr>
            <b/>
            <sz val="9"/>
            <color indexed="81"/>
            <rFont val="Tahoma"/>
            <family val="2"/>
            <charset val="204"/>
          </rPr>
          <t xml:space="preserve">
35 -</t>
        </r>
        <r>
          <rPr>
            <sz val="9"/>
            <color indexed="81"/>
            <rFont val="Tahoma"/>
            <family val="2"/>
            <charset val="204"/>
          </rPr>
          <t xml:space="preserve"> M2(LHD),M3(US), CX3(LHD-ISR/NAM);</t>
        </r>
        <r>
          <rPr>
            <b/>
            <sz val="9"/>
            <color indexed="81"/>
            <rFont val="Tahoma"/>
            <family val="2"/>
            <charset val="204"/>
          </rPr>
          <t xml:space="preserve">
37 - </t>
        </r>
        <r>
          <rPr>
            <sz val="9"/>
            <color indexed="81"/>
            <rFont val="Tahoma"/>
            <family val="2"/>
            <charset val="204"/>
          </rPr>
          <t xml:space="preserve">CX9(except US), MX5(US); </t>
        </r>
        <r>
          <rPr>
            <b/>
            <sz val="9"/>
            <color indexed="81"/>
            <rFont val="Tahoma"/>
            <family val="2"/>
            <charset val="204"/>
          </rPr>
          <t xml:space="preserve">
46 - </t>
        </r>
        <r>
          <rPr>
            <sz val="9"/>
            <color indexed="81"/>
            <rFont val="Tahoma"/>
            <family val="2"/>
            <charset val="204"/>
          </rPr>
          <t>M6(except US);</t>
        </r>
        <r>
          <rPr>
            <b/>
            <sz val="9"/>
            <color indexed="81"/>
            <rFont val="Tahoma"/>
            <family val="2"/>
            <charset val="204"/>
          </rPr>
          <t xml:space="preserve">
47 - </t>
        </r>
        <r>
          <rPr>
            <sz val="9"/>
            <color indexed="81"/>
            <rFont val="Tahoma"/>
            <family val="2"/>
            <charset val="204"/>
          </rPr>
          <t>M2(RHD),CX3(LHD), M3(RHD),CX5KF(US), CX5KE(except US);</t>
        </r>
        <r>
          <rPr>
            <b/>
            <sz val="9"/>
            <color indexed="81"/>
            <rFont val="Tahoma"/>
            <family val="2"/>
            <charset val="204"/>
          </rPr>
          <t xml:space="preserve">
48 -</t>
        </r>
        <r>
          <rPr>
            <sz val="9"/>
            <color indexed="81"/>
            <rFont val="Tahoma"/>
            <family val="2"/>
            <charset val="204"/>
          </rPr>
          <t xml:space="preserve"> CX5KE(US),CX9(US);</t>
        </r>
        <r>
          <rPr>
            <b/>
            <sz val="9"/>
            <color indexed="81"/>
            <rFont val="Tahoma"/>
            <family val="2"/>
            <charset val="204"/>
          </rPr>
          <t xml:space="preserve">
57 - </t>
        </r>
        <r>
          <rPr>
            <sz val="9"/>
            <color indexed="81"/>
            <rFont val="Tahoma"/>
            <family val="2"/>
            <charset val="204"/>
          </rPr>
          <t>M6(US);</t>
        </r>
        <r>
          <rPr>
            <b/>
            <sz val="9"/>
            <color indexed="81"/>
            <rFont val="Tahoma"/>
            <family val="2"/>
            <charset val="204"/>
          </rPr>
          <t xml:space="preserve">
58 - </t>
        </r>
        <r>
          <rPr>
            <sz val="9"/>
            <color indexed="81"/>
            <rFont val="Tahoma"/>
            <family val="2"/>
            <charset val="204"/>
          </rPr>
          <t xml:space="preserve">CX3(US); </t>
        </r>
        <r>
          <rPr>
            <b/>
            <sz val="9"/>
            <color indexed="81"/>
            <rFont val="Tahoma"/>
            <family val="2"/>
            <charset val="204"/>
          </rPr>
          <t xml:space="preserve">
79 - </t>
        </r>
        <r>
          <rPr>
            <sz val="9"/>
            <color indexed="81"/>
            <rFont val="Tahoma"/>
            <family val="2"/>
            <charset val="204"/>
          </rPr>
          <t xml:space="preserve">CX3(RHD)
</t>
        </r>
      </text>
    </comment>
    <comment ref="AA19" authorId="1" shapeId="0" xr:uid="{00000000-0006-0000-0500-000008000000}">
      <text>
        <r>
          <rPr>
            <b/>
            <u/>
            <sz val="9"/>
            <color indexed="81"/>
            <rFont val="Tahoma"/>
            <family val="2"/>
            <charset val="204"/>
          </rPr>
          <t>Keyfob type:</t>
        </r>
        <r>
          <rPr>
            <sz val="9"/>
            <color indexed="81"/>
            <rFont val="Tahoma"/>
            <family val="2"/>
            <charset val="204"/>
          </rPr>
          <t xml:space="preserve"> Bodystyle/Drive dependant</t>
        </r>
        <r>
          <rPr>
            <b/>
            <u/>
            <sz val="9"/>
            <color indexed="81"/>
            <rFont val="Tahoma"/>
            <family val="2"/>
            <charset val="204"/>
          </rPr>
          <t xml:space="preserve">
</t>
        </r>
        <r>
          <rPr>
            <sz val="9"/>
            <color indexed="81"/>
            <rFont val="Tahoma"/>
            <family val="2"/>
            <charset val="204"/>
          </rPr>
          <t xml:space="preserve">Value (HEX):
</t>
        </r>
        <r>
          <rPr>
            <b/>
            <sz val="9"/>
            <color indexed="81"/>
            <rFont val="Tahoma"/>
            <family val="2"/>
            <charset val="204"/>
          </rPr>
          <t>01</t>
        </r>
        <r>
          <rPr>
            <sz val="9"/>
            <color indexed="81"/>
            <rFont val="Tahoma"/>
            <family val="2"/>
            <charset val="204"/>
          </rPr>
          <t xml:space="preserve"> - HB/WGN(RHD except AUS);
</t>
        </r>
        <r>
          <rPr>
            <b/>
            <sz val="9"/>
            <color indexed="81"/>
            <rFont val="Tahoma"/>
            <family val="2"/>
            <charset val="204"/>
          </rPr>
          <t>03</t>
        </r>
        <r>
          <rPr>
            <sz val="9"/>
            <color indexed="81"/>
            <rFont val="Tahoma"/>
            <family val="2"/>
            <charset val="204"/>
          </rPr>
          <t xml:space="preserve"> - SD(RHD except AUS);
</t>
        </r>
        <r>
          <rPr>
            <b/>
            <sz val="9"/>
            <color indexed="81"/>
            <rFont val="Tahoma"/>
            <family val="2"/>
            <charset val="204"/>
          </rPr>
          <t>0D</t>
        </r>
        <r>
          <rPr>
            <sz val="9"/>
            <color indexed="81"/>
            <rFont val="Tahoma"/>
            <family val="2"/>
            <charset val="204"/>
          </rPr>
          <t xml:space="preserve"> - WGN(except AUS) only when 731-01-01 B2=C2/C6;
</t>
        </r>
        <r>
          <rPr>
            <b/>
            <sz val="9"/>
            <color indexed="81"/>
            <rFont val="Tahoma"/>
            <family val="2"/>
            <charset val="204"/>
          </rPr>
          <t>06</t>
        </r>
        <r>
          <rPr>
            <sz val="9"/>
            <color indexed="81"/>
            <rFont val="Tahoma"/>
            <family val="2"/>
            <charset val="204"/>
          </rPr>
          <t xml:space="preserve"> - HB/WGN (US only);
</t>
        </r>
        <r>
          <rPr>
            <b/>
            <sz val="9"/>
            <color indexed="81"/>
            <rFont val="Tahoma"/>
            <family val="2"/>
            <charset val="204"/>
          </rPr>
          <t>09</t>
        </r>
        <r>
          <rPr>
            <sz val="9"/>
            <color indexed="81"/>
            <rFont val="Tahoma"/>
            <family val="2"/>
            <charset val="204"/>
          </rPr>
          <t xml:space="preserve"> - 4 Buttons (Open, Close, Trunk, Panic) - SD (US only); 
</t>
        </r>
        <r>
          <rPr>
            <b/>
            <sz val="9"/>
            <color indexed="81"/>
            <rFont val="Tahoma"/>
            <family val="2"/>
            <charset val="204"/>
          </rPr>
          <t>0E</t>
        </r>
        <r>
          <rPr>
            <sz val="9"/>
            <color indexed="81"/>
            <rFont val="Tahoma"/>
            <family val="2"/>
            <charset val="204"/>
          </rPr>
          <t xml:space="preserve"> - WGN (US) only when  731-01-01 B2=D6/DE;
</t>
        </r>
        <r>
          <rPr>
            <b/>
            <sz val="9"/>
            <color indexed="81"/>
            <rFont val="Tahoma"/>
            <family val="2"/>
            <charset val="204"/>
          </rPr>
          <t>18</t>
        </r>
        <r>
          <rPr>
            <sz val="9"/>
            <color indexed="81"/>
            <rFont val="Tahoma"/>
            <family val="2"/>
            <charset val="204"/>
          </rPr>
          <t xml:space="preserve"> - 2 Buttons (Open, Close) - HB/WGN (LHD+AUS/SAfr);
</t>
        </r>
        <r>
          <rPr>
            <b/>
            <sz val="9"/>
            <color indexed="81"/>
            <rFont val="Tahoma"/>
            <family val="2"/>
            <charset val="204"/>
          </rPr>
          <t>19</t>
        </r>
        <r>
          <rPr>
            <sz val="9"/>
            <color indexed="81"/>
            <rFont val="Tahoma"/>
            <family val="2"/>
            <charset val="204"/>
          </rPr>
          <t xml:space="preserve"> - 3 Buttons (Open, Close, Trunk) - SD (LHD+AUS/SAfr);
</t>
        </r>
        <r>
          <rPr>
            <b/>
            <sz val="9"/>
            <color indexed="81"/>
            <rFont val="Tahoma"/>
            <family val="2"/>
            <charset val="204"/>
          </rPr>
          <t>1E</t>
        </r>
        <r>
          <rPr>
            <sz val="9"/>
            <color indexed="81"/>
            <rFont val="Tahoma"/>
            <family val="2"/>
            <charset val="204"/>
          </rPr>
          <t xml:space="preserve"> - WGN (LHD+AUS/UK only when 731-01-01 B2=6x/Ex);
</t>
        </r>
        <r>
          <rPr>
            <b/>
            <sz val="9"/>
            <color indexed="81"/>
            <rFont val="Tahoma"/>
            <family val="2"/>
            <charset val="204"/>
          </rPr>
          <t>21</t>
        </r>
        <r>
          <rPr>
            <sz val="9"/>
            <color indexed="81"/>
            <rFont val="Tahoma"/>
            <family val="2"/>
            <charset val="204"/>
          </rPr>
          <t xml:space="preserve"> - 4 Buttons (Open, Close, Trunk, Intrusion sensor) - SD (EU+UK only when 731-01-01 B2=68/E8/E0/C8);
</t>
        </r>
        <r>
          <rPr>
            <b/>
            <sz val="9"/>
            <color indexed="81"/>
            <rFont val="Tahoma"/>
            <family val="2"/>
            <charset val="204"/>
          </rPr>
          <t>23</t>
        </r>
        <r>
          <rPr>
            <sz val="9"/>
            <color indexed="81"/>
            <rFont val="Tahoma"/>
            <family val="2"/>
            <charset val="204"/>
          </rPr>
          <t xml:space="preserve"> - WGN (EU+UK only when 731-01-01 B2-C2/CA/C6/CE)</t>
        </r>
      </text>
    </comment>
    <comment ref="S20" authorId="1" shapeId="0" xr:uid="{00000000-0006-0000-0500-000009000000}">
      <text>
        <r>
          <rPr>
            <b/>
            <sz val="9"/>
            <color indexed="81"/>
            <rFont val="Tahoma"/>
            <family val="2"/>
            <charset val="204"/>
          </rPr>
          <t>EU only</t>
        </r>
      </text>
    </comment>
    <comment ref="S21" authorId="1" shapeId="0" xr:uid="{00000000-0006-0000-0500-00000A000000}">
      <text>
        <r>
          <rPr>
            <b/>
            <u/>
            <sz val="9"/>
            <color indexed="81"/>
            <rFont val="Tahoma"/>
            <family val="2"/>
            <charset val="204"/>
          </rPr>
          <t>Model/Drive dependant</t>
        </r>
        <r>
          <rPr>
            <b/>
            <sz val="9"/>
            <color indexed="81"/>
            <rFont val="Tahoma"/>
            <family val="2"/>
            <charset val="204"/>
          </rPr>
          <t xml:space="preserve">
</t>
        </r>
        <r>
          <rPr>
            <i/>
            <sz val="8"/>
            <color indexed="81"/>
            <rFont val="Tahoma"/>
            <family val="2"/>
            <charset val="204"/>
          </rPr>
          <t>b3b2b1b0 -Value:</t>
        </r>
        <r>
          <rPr>
            <b/>
            <sz val="9"/>
            <color indexed="81"/>
            <rFont val="Tahoma"/>
            <family val="2"/>
            <charset val="204"/>
          </rPr>
          <t xml:space="preserve">
0110 -</t>
        </r>
        <r>
          <rPr>
            <sz val="9"/>
            <color indexed="81"/>
            <rFont val="Tahoma"/>
            <family val="2"/>
            <charset val="204"/>
          </rPr>
          <t xml:space="preserve"> M2(LHD), M3(LHD);</t>
        </r>
        <r>
          <rPr>
            <b/>
            <sz val="9"/>
            <color indexed="81"/>
            <rFont val="Tahoma"/>
            <family val="2"/>
            <charset val="204"/>
          </rPr>
          <t xml:space="preserve">
0111 -</t>
        </r>
        <r>
          <rPr>
            <sz val="9"/>
            <color indexed="81"/>
            <rFont val="Tahoma"/>
            <family val="2"/>
            <charset val="204"/>
          </rPr>
          <t xml:space="preserve"> M6,M2(RHD), CX3(LHD);</t>
        </r>
        <r>
          <rPr>
            <b/>
            <sz val="9"/>
            <color indexed="81"/>
            <rFont val="Tahoma"/>
            <family val="2"/>
            <charset val="204"/>
          </rPr>
          <t xml:space="preserve">
1000 - </t>
        </r>
        <r>
          <rPr>
            <sz val="9"/>
            <color indexed="81"/>
            <rFont val="Tahoma"/>
            <family val="2"/>
            <charset val="204"/>
          </rPr>
          <t>MX5,CX9,CX5KE, M3(RHD),CX3(RHD);</t>
        </r>
        <r>
          <rPr>
            <b/>
            <sz val="9"/>
            <color indexed="81"/>
            <rFont val="Tahoma"/>
            <family val="2"/>
            <charset val="204"/>
          </rPr>
          <t xml:space="preserve">
1001 - </t>
        </r>
        <r>
          <rPr>
            <sz val="9"/>
            <color indexed="81"/>
            <rFont val="Tahoma"/>
            <family val="2"/>
            <charset val="204"/>
          </rPr>
          <t>CX8,CX5KF(except US);</t>
        </r>
        <r>
          <rPr>
            <b/>
            <sz val="9"/>
            <color indexed="81"/>
            <rFont val="Tahoma"/>
            <family val="2"/>
            <charset val="204"/>
          </rPr>
          <t xml:space="preserve">
1010 - </t>
        </r>
        <r>
          <rPr>
            <sz val="9"/>
            <color indexed="81"/>
            <rFont val="Tahoma"/>
            <family val="2"/>
            <charset val="204"/>
          </rPr>
          <t>CX5KF(US only)</t>
        </r>
      </text>
    </comment>
    <comment ref="S27" authorId="0" shapeId="0" xr:uid="{00000000-0006-0000-0500-00000B000000}">
      <text>
        <r>
          <rPr>
            <sz val="9"/>
            <color indexed="81"/>
            <rFont val="Tahoma"/>
            <family val="2"/>
          </rPr>
          <t>Wireless mode lock/unlock is ONLY displayed on monitor (for example it is possible to configure only display the "unlock Mode"(step-by-step opening) or together with "Lock when leaving car"</t>
        </r>
      </text>
    </comment>
    <comment ref="S29" authorId="0" shapeId="0" xr:uid="{00000000-0006-0000-0500-00000C000000}">
      <text>
        <r>
          <rPr>
            <b/>
            <sz val="9"/>
            <color indexed="81"/>
            <rFont val="Tahoma"/>
            <family val="2"/>
            <charset val="204"/>
          </rPr>
          <t>Door Lock - Walk Away Lock option: 0</t>
        </r>
        <r>
          <rPr>
            <sz val="9"/>
            <color indexed="81"/>
            <rFont val="Tahoma"/>
            <family val="2"/>
            <charset val="204"/>
          </rPr>
          <t xml:space="preserve"> - Enable
</t>
        </r>
        <r>
          <rPr>
            <b/>
            <sz val="9"/>
            <color indexed="81"/>
            <rFont val="Tahoma"/>
            <family val="2"/>
            <charset val="204"/>
          </rPr>
          <t>1</t>
        </r>
        <r>
          <rPr>
            <sz val="9"/>
            <color indexed="81"/>
            <rFont val="Tahoma"/>
            <family val="2"/>
            <charset val="204"/>
          </rPr>
          <t xml:space="preserve"> - Disable</t>
        </r>
      </text>
    </comment>
    <comment ref="S34" authorId="0" shapeId="0" xr:uid="{00000000-0006-0000-0500-00000D000000}">
      <text>
        <r>
          <rPr>
            <b/>
            <sz val="9"/>
            <color indexed="81"/>
            <rFont val="Tahoma"/>
            <family val="2"/>
            <charset val="204"/>
          </rPr>
          <t>Door Lock - Unlock Mode sub-menu: 0</t>
        </r>
        <r>
          <rPr>
            <sz val="9"/>
            <color indexed="81"/>
            <rFont val="Tahoma"/>
            <family val="2"/>
            <charset val="204"/>
          </rPr>
          <t xml:space="preserve"> - Enable
</t>
        </r>
        <r>
          <rPr>
            <b/>
            <sz val="9"/>
            <color indexed="81"/>
            <rFont val="Tahoma"/>
            <family val="2"/>
            <charset val="204"/>
          </rPr>
          <t>1</t>
        </r>
        <r>
          <rPr>
            <sz val="9"/>
            <color indexed="81"/>
            <rFont val="Tahoma"/>
            <family val="2"/>
            <charset val="204"/>
          </rPr>
          <t xml:space="preserve"> - Disable</t>
        </r>
      </text>
    </comment>
    <comment ref="W35" authorId="0" shapeId="0" xr:uid="{00000000-0006-0000-0500-00000E000000}">
      <text>
        <r>
          <rPr>
            <b/>
            <sz val="9"/>
            <color indexed="81"/>
            <rFont val="Tahoma"/>
            <family val="2"/>
            <charset val="204"/>
          </rPr>
          <t>Door Lock - Keyless Lock Beep Volume sub-menu: 
0</t>
        </r>
        <r>
          <rPr>
            <sz val="9"/>
            <color indexed="81"/>
            <rFont val="Tahoma"/>
            <family val="2"/>
            <charset val="204"/>
          </rPr>
          <t xml:space="preserve"> - Enable
</t>
        </r>
        <r>
          <rPr>
            <b/>
            <sz val="9"/>
            <color indexed="81"/>
            <rFont val="Tahoma"/>
            <family val="2"/>
            <charset val="204"/>
          </rPr>
          <t>1</t>
        </r>
        <r>
          <rPr>
            <sz val="9"/>
            <color indexed="81"/>
            <rFont val="Tahoma"/>
            <family val="2"/>
            <charset val="204"/>
          </rPr>
          <t xml:space="preserve"> - Disable</t>
        </r>
      </text>
    </comment>
    <comment ref="S39" authorId="0" shapeId="0" xr:uid="{00000000-0006-0000-0500-00000F000000}">
      <text>
        <r>
          <rPr>
            <b/>
            <sz val="9"/>
            <color indexed="81"/>
            <rFont val="Tahoma"/>
            <family val="2"/>
          </rPr>
          <t xml:space="preserve">"Walk Away Lock" Submenu:
</t>
        </r>
        <r>
          <rPr>
            <i/>
            <sz val="8"/>
            <color indexed="81"/>
            <rFont val="Tahoma"/>
            <family val="2"/>
            <charset val="204"/>
          </rPr>
          <t>b7b6 - Values</t>
        </r>
        <r>
          <rPr>
            <b/>
            <sz val="9"/>
            <color indexed="81"/>
            <rFont val="Tahoma"/>
            <family val="2"/>
          </rPr>
          <t xml:space="preserve">
00</t>
        </r>
        <r>
          <rPr>
            <sz val="9"/>
            <color indexed="81"/>
            <rFont val="Tahoma"/>
            <family val="2"/>
            <charset val="204"/>
          </rPr>
          <t xml:space="preserve"> - Not Equipped</t>
        </r>
        <r>
          <rPr>
            <b/>
            <sz val="9"/>
            <color indexed="81"/>
            <rFont val="Tahoma"/>
            <family val="2"/>
          </rPr>
          <t xml:space="preserve">
01</t>
        </r>
        <r>
          <rPr>
            <sz val="9"/>
            <color indexed="81"/>
            <rFont val="Tahoma"/>
            <family val="2"/>
            <charset val="204"/>
          </rPr>
          <t xml:space="preserve"> - Off</t>
        </r>
        <r>
          <rPr>
            <b/>
            <sz val="9"/>
            <color indexed="81"/>
            <rFont val="Tahoma"/>
            <family val="2"/>
          </rPr>
          <t xml:space="preserve">
10</t>
        </r>
        <r>
          <rPr>
            <sz val="9"/>
            <color indexed="81"/>
            <rFont val="Tahoma"/>
            <family val="2"/>
            <charset val="204"/>
          </rPr>
          <t xml:space="preserve"> - On</t>
        </r>
      </text>
    </comment>
    <comment ref="S41" authorId="0" shapeId="0" xr:uid="{00000000-0006-0000-0500-000010000000}">
      <text>
        <r>
          <rPr>
            <b/>
            <sz val="9"/>
            <color indexed="81"/>
            <rFont val="Tahoma"/>
            <family val="2"/>
          </rPr>
          <t xml:space="preserve">Auto Relock Time:
</t>
        </r>
        <r>
          <rPr>
            <i/>
            <sz val="8"/>
            <color indexed="81"/>
            <rFont val="Tahoma"/>
            <family val="2"/>
            <charset val="204"/>
          </rPr>
          <t>b5b4 -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NA
</t>
        </r>
        <r>
          <rPr>
            <b/>
            <sz val="9"/>
            <color indexed="81"/>
            <rFont val="Tahoma"/>
            <family val="2"/>
            <charset val="204"/>
          </rPr>
          <t>01</t>
        </r>
        <r>
          <rPr>
            <sz val="9"/>
            <color indexed="81"/>
            <rFont val="Tahoma"/>
            <family val="2"/>
            <charset val="204"/>
          </rPr>
          <t xml:space="preserve"> - 30
</t>
        </r>
        <r>
          <rPr>
            <b/>
            <sz val="9"/>
            <color indexed="81"/>
            <rFont val="Tahoma"/>
            <family val="2"/>
            <charset val="204"/>
          </rPr>
          <t>10</t>
        </r>
        <r>
          <rPr>
            <sz val="9"/>
            <color indexed="81"/>
            <rFont val="Tahoma"/>
            <family val="2"/>
            <charset val="204"/>
          </rPr>
          <t xml:space="preserve"> - 60
</t>
        </r>
        <r>
          <rPr>
            <b/>
            <sz val="9"/>
            <color indexed="81"/>
            <rFont val="Tahoma"/>
            <family val="2"/>
            <charset val="204"/>
          </rPr>
          <t>11</t>
        </r>
        <r>
          <rPr>
            <sz val="9"/>
            <color indexed="81"/>
            <rFont val="Tahoma"/>
            <family val="2"/>
            <charset val="204"/>
          </rPr>
          <t xml:space="preserve"> - 90</t>
        </r>
      </text>
    </comment>
    <comment ref="S43" authorId="0" shapeId="0" xr:uid="{00000000-0006-0000-0500-000011000000}">
      <text>
        <r>
          <rPr>
            <b/>
            <sz val="9"/>
            <color indexed="81"/>
            <rFont val="Tahoma"/>
            <family val="2"/>
          </rPr>
          <t xml:space="preserve">"Unlock Mode (with remote)" Submenu:
</t>
        </r>
        <r>
          <rPr>
            <i/>
            <sz val="8"/>
            <color indexed="81"/>
            <rFont val="Tahoma"/>
            <family val="2"/>
            <charset val="204"/>
          </rPr>
          <t>b3b2 - values</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Not Equipped
</t>
        </r>
        <r>
          <rPr>
            <b/>
            <sz val="9"/>
            <color indexed="81"/>
            <rFont val="Tahoma"/>
            <family val="2"/>
            <charset val="204"/>
          </rPr>
          <t>01</t>
        </r>
        <r>
          <rPr>
            <sz val="9"/>
            <color indexed="81"/>
            <rFont val="Tahoma"/>
            <family val="2"/>
            <charset val="204"/>
          </rPr>
          <t xml:space="preserve"> - 1x All doors
</t>
        </r>
        <r>
          <rPr>
            <b/>
            <sz val="9"/>
            <color indexed="81"/>
            <rFont val="Tahoma"/>
            <family val="2"/>
            <charset val="204"/>
          </rPr>
          <t>10</t>
        </r>
        <r>
          <rPr>
            <sz val="9"/>
            <color indexed="81"/>
            <rFont val="Tahoma"/>
            <family val="2"/>
            <charset val="204"/>
          </rPr>
          <t xml:space="preserve"> - 1x Driver door / 2x All doors</t>
        </r>
      </text>
    </comment>
    <comment ref="W44" authorId="0" shapeId="0" xr:uid="{00000000-0006-0000-0500-000012000000}">
      <text>
        <r>
          <rPr>
            <b/>
            <sz val="9"/>
            <color indexed="81"/>
            <rFont val="Tahoma"/>
            <family val="2"/>
          </rPr>
          <t xml:space="preserve">"Keyless lock beep volume" Submenu:
</t>
        </r>
        <r>
          <rPr>
            <i/>
            <sz val="8"/>
            <color indexed="81"/>
            <rFont val="Tahoma"/>
            <family val="2"/>
            <charset val="204"/>
          </rPr>
          <t>b2b1b0 - value</t>
        </r>
        <r>
          <rPr>
            <sz val="9"/>
            <color indexed="81"/>
            <rFont val="Tahoma"/>
            <family val="2"/>
            <charset val="204"/>
          </rPr>
          <t xml:space="preserve">
</t>
        </r>
        <r>
          <rPr>
            <b/>
            <sz val="9"/>
            <color indexed="81"/>
            <rFont val="Tahoma"/>
            <family val="2"/>
            <charset val="204"/>
          </rPr>
          <t>000</t>
        </r>
        <r>
          <rPr>
            <sz val="9"/>
            <color indexed="81"/>
            <rFont val="Tahoma"/>
            <family val="2"/>
            <charset val="204"/>
          </rPr>
          <t xml:space="preserve"> - Not Equipped
</t>
        </r>
        <r>
          <rPr>
            <b/>
            <sz val="9"/>
            <color indexed="81"/>
            <rFont val="Tahoma"/>
            <family val="2"/>
            <charset val="204"/>
          </rPr>
          <t>001</t>
        </r>
        <r>
          <rPr>
            <sz val="9"/>
            <color indexed="81"/>
            <rFont val="Tahoma"/>
            <family val="2"/>
            <charset val="204"/>
          </rPr>
          <t xml:space="preserve"> - Off
</t>
        </r>
        <r>
          <rPr>
            <b/>
            <sz val="9"/>
            <color indexed="81"/>
            <rFont val="Tahoma"/>
            <family val="2"/>
            <charset val="204"/>
          </rPr>
          <t>010</t>
        </r>
        <r>
          <rPr>
            <sz val="9"/>
            <color indexed="81"/>
            <rFont val="Tahoma"/>
            <family val="2"/>
            <charset val="204"/>
          </rPr>
          <t xml:space="preserve"> - Low
</t>
        </r>
        <r>
          <rPr>
            <b/>
            <sz val="9"/>
            <color indexed="81"/>
            <rFont val="Tahoma"/>
            <family val="2"/>
            <charset val="204"/>
          </rPr>
          <t>011</t>
        </r>
        <r>
          <rPr>
            <sz val="9"/>
            <color indexed="81"/>
            <rFont val="Tahoma"/>
            <family val="2"/>
            <charset val="204"/>
          </rPr>
          <t xml:space="preserve"> - Med
</t>
        </r>
        <r>
          <rPr>
            <b/>
            <sz val="9"/>
            <color indexed="81"/>
            <rFont val="Tahoma"/>
            <family val="2"/>
            <charset val="204"/>
          </rPr>
          <t>100</t>
        </r>
        <r>
          <rPr>
            <sz val="9"/>
            <color indexed="81"/>
            <rFont val="Tahoma"/>
            <family val="2"/>
            <charset val="204"/>
          </rPr>
          <t xml:space="preserve"> - High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Sergii Litnevskyi</author>
    <author>RePack by Diakov</author>
  </authors>
  <commentList>
    <comment ref="S6" authorId="0" shapeId="0" xr:uid="{00000000-0006-0000-0700-000001000000}">
      <text>
        <r>
          <rPr>
            <b/>
            <sz val="9"/>
            <color indexed="81"/>
            <rFont val="Tahoma"/>
            <family val="2"/>
            <charset val="204"/>
          </rPr>
          <t>LDWS/LAS/HBC/ALH:</t>
        </r>
        <r>
          <rPr>
            <sz val="9"/>
            <color indexed="81"/>
            <rFont val="Tahoma"/>
            <family val="2"/>
            <charset val="204"/>
          </rPr>
          <t xml:space="preserve">
</t>
        </r>
        <r>
          <rPr>
            <i/>
            <sz val="8"/>
            <color indexed="81"/>
            <rFont val="Tahoma"/>
            <family val="2"/>
            <charset val="204"/>
          </rPr>
          <t>b7b6b5b4 - Value</t>
        </r>
        <r>
          <rPr>
            <sz val="9"/>
            <color indexed="81"/>
            <rFont val="Tahoma"/>
            <family val="2"/>
            <charset val="204"/>
          </rPr>
          <t xml:space="preserve">
</t>
        </r>
        <r>
          <rPr>
            <b/>
            <sz val="9"/>
            <color indexed="81"/>
            <rFont val="Tahoma"/>
            <family val="2"/>
            <charset val="204"/>
          </rPr>
          <t>0000</t>
        </r>
        <r>
          <rPr>
            <sz val="9"/>
            <color indexed="81"/>
            <rFont val="Tahoma"/>
            <family val="2"/>
            <charset val="204"/>
          </rPr>
          <t xml:space="preserve"> - ?
</t>
        </r>
        <r>
          <rPr>
            <b/>
            <sz val="9"/>
            <color indexed="81"/>
            <rFont val="Tahoma"/>
            <family val="2"/>
            <charset val="204"/>
          </rPr>
          <t>0001</t>
        </r>
        <r>
          <rPr>
            <sz val="9"/>
            <color indexed="81"/>
            <rFont val="Tahoma"/>
            <family val="2"/>
            <charset val="204"/>
          </rPr>
          <t xml:space="preserve"> - No LDWS/LAS/HBC/ALH
</t>
        </r>
        <r>
          <rPr>
            <b/>
            <sz val="9"/>
            <color indexed="81"/>
            <rFont val="Tahoma"/>
            <family val="2"/>
            <charset val="204"/>
          </rPr>
          <t>0010</t>
        </r>
        <r>
          <rPr>
            <sz val="9"/>
            <color indexed="81"/>
            <rFont val="Tahoma"/>
            <family val="2"/>
            <charset val="204"/>
          </rPr>
          <t xml:space="preserve"> - LDWS+HBC [FSC Gen 1]
</t>
        </r>
        <r>
          <rPr>
            <b/>
            <sz val="9"/>
            <color indexed="81"/>
            <rFont val="Tahoma"/>
            <family val="2"/>
            <charset val="204"/>
          </rPr>
          <t>0011</t>
        </r>
        <r>
          <rPr>
            <sz val="9"/>
            <color indexed="81"/>
            <rFont val="Tahoma"/>
            <family val="2"/>
            <charset val="204"/>
          </rPr>
          <t xml:space="preserve"> - HBC [?]
</t>
        </r>
        <r>
          <rPr>
            <b/>
            <sz val="9"/>
            <color indexed="81"/>
            <rFont val="Tahoma"/>
            <family val="2"/>
            <charset val="204"/>
          </rPr>
          <t>0100</t>
        </r>
        <r>
          <rPr>
            <sz val="9"/>
            <color indexed="81"/>
            <rFont val="Tahoma"/>
            <family val="2"/>
            <charset val="204"/>
          </rPr>
          <t xml:space="preserve"> - LDWS [FSC Gen 1]
</t>
        </r>
        <r>
          <rPr>
            <b/>
            <sz val="9"/>
            <color indexed="81"/>
            <rFont val="Tahoma"/>
            <family val="2"/>
            <charset val="204"/>
          </rPr>
          <t>0101</t>
        </r>
        <r>
          <rPr>
            <sz val="9"/>
            <color indexed="81"/>
            <rFont val="Tahoma"/>
            <family val="2"/>
            <charset val="204"/>
          </rPr>
          <t xml:space="preserve"> - LDWS+HBC [?]
</t>
        </r>
        <r>
          <rPr>
            <b/>
            <sz val="9"/>
            <color indexed="81"/>
            <rFont val="Tahoma"/>
            <family val="2"/>
            <charset val="204"/>
          </rPr>
          <t>0110</t>
        </r>
        <r>
          <rPr>
            <sz val="9"/>
            <color indexed="81"/>
            <rFont val="Tahoma"/>
            <family val="2"/>
            <charset val="204"/>
          </rPr>
          <t xml:space="preserve"> - ?
</t>
        </r>
        <r>
          <rPr>
            <b/>
            <sz val="9"/>
            <color indexed="81"/>
            <rFont val="Tahoma"/>
            <family val="2"/>
            <charset val="204"/>
          </rPr>
          <t>0111</t>
        </r>
        <r>
          <rPr>
            <sz val="9"/>
            <color indexed="81"/>
            <rFont val="Tahoma"/>
            <family val="2"/>
            <charset val="204"/>
          </rPr>
          <t xml:space="preserve"> - LDWS [?]
</t>
        </r>
        <r>
          <rPr>
            <b/>
            <sz val="9"/>
            <color indexed="81"/>
            <rFont val="Tahoma"/>
            <family val="2"/>
            <charset val="204"/>
          </rPr>
          <t>1000</t>
        </r>
        <r>
          <rPr>
            <sz val="9"/>
            <color indexed="81"/>
            <rFont val="Tahoma"/>
            <family val="2"/>
            <charset val="204"/>
          </rPr>
          <t xml:space="preserve"> - HBC [?]
</t>
        </r>
        <r>
          <rPr>
            <b/>
            <sz val="9"/>
            <color indexed="81"/>
            <rFont val="Tahoma"/>
            <family val="2"/>
            <charset val="204"/>
          </rPr>
          <t>1001</t>
        </r>
        <r>
          <rPr>
            <sz val="9"/>
            <color indexed="81"/>
            <rFont val="Tahoma"/>
            <family val="2"/>
            <charset val="204"/>
          </rPr>
          <t xml:space="preserve"> - LDWS+HBC [FSC Gen 2]
</t>
        </r>
        <r>
          <rPr>
            <b/>
            <sz val="9"/>
            <color indexed="81"/>
            <rFont val="Tahoma"/>
            <family val="2"/>
            <charset val="204"/>
          </rPr>
          <t>1010</t>
        </r>
        <r>
          <rPr>
            <sz val="9"/>
            <color indexed="81"/>
            <rFont val="Tahoma"/>
            <family val="2"/>
            <charset val="204"/>
          </rPr>
          <t xml:space="preserve"> - LDWS+ALH [FSC Gen 1/2]
</t>
        </r>
        <r>
          <rPr>
            <b/>
            <sz val="9"/>
            <color indexed="81"/>
            <rFont val="Tahoma"/>
            <family val="2"/>
            <charset val="204"/>
          </rPr>
          <t>1011</t>
        </r>
        <r>
          <rPr>
            <sz val="9"/>
            <color indexed="81"/>
            <rFont val="Tahoma"/>
            <family val="2"/>
            <charset val="204"/>
          </rPr>
          <t xml:space="preserve"> - LAS+ALH [FSC Gen 1/2]
</t>
        </r>
        <r>
          <rPr>
            <b/>
            <sz val="9"/>
            <color indexed="81"/>
            <rFont val="Tahoma"/>
            <family val="2"/>
            <charset val="204"/>
          </rPr>
          <t>1100</t>
        </r>
        <r>
          <rPr>
            <sz val="9"/>
            <color indexed="81"/>
            <rFont val="Tahoma"/>
            <family val="2"/>
            <charset val="204"/>
          </rPr>
          <t xml:space="preserve"> - LAS+HBC [FSC Gen 1/2]
</t>
        </r>
        <r>
          <rPr>
            <b/>
            <sz val="9"/>
            <color indexed="81"/>
            <rFont val="Tahoma"/>
            <family val="2"/>
            <charset val="204"/>
          </rPr>
          <t>1101</t>
        </r>
        <r>
          <rPr>
            <sz val="9"/>
            <color indexed="81"/>
            <rFont val="Tahoma"/>
            <family val="2"/>
            <charset val="204"/>
          </rPr>
          <t xml:space="preserve"> - LAS [FSC Gen 2]
</t>
        </r>
        <r>
          <rPr>
            <b/>
            <sz val="9"/>
            <color indexed="81"/>
            <rFont val="Tahoma"/>
            <family val="2"/>
            <charset val="204"/>
          </rPr>
          <t>1110</t>
        </r>
        <r>
          <rPr>
            <sz val="9"/>
            <color indexed="81"/>
            <rFont val="Tahoma"/>
            <family val="2"/>
            <charset val="204"/>
          </rPr>
          <t xml:space="preserve"> - ?
</t>
        </r>
        <r>
          <rPr>
            <b/>
            <sz val="9"/>
            <color indexed="81"/>
            <rFont val="Tahoma"/>
            <family val="2"/>
            <charset val="204"/>
          </rPr>
          <t>1111</t>
        </r>
        <r>
          <rPr>
            <sz val="9"/>
            <color indexed="81"/>
            <rFont val="Tahoma"/>
            <family val="2"/>
            <charset val="204"/>
          </rPr>
          <t xml:space="preserve"> - ?</t>
        </r>
      </text>
    </comment>
    <comment ref="AA6" authorId="1" shapeId="0" xr:uid="{00000000-0006-0000-0700-000002000000}">
      <text>
        <r>
          <rPr>
            <b/>
            <sz val="9"/>
            <color indexed="81"/>
            <rFont val="Tahoma"/>
            <family val="2"/>
            <charset val="204"/>
          </rPr>
          <t>RHD/LHD:</t>
        </r>
        <r>
          <rPr>
            <b/>
            <u/>
            <sz val="9"/>
            <color indexed="81"/>
            <rFont val="Tahoma"/>
            <family val="2"/>
            <charset val="204"/>
          </rPr>
          <t xml:space="preserve">
</t>
        </r>
        <r>
          <rPr>
            <i/>
            <sz val="8"/>
            <color indexed="81"/>
            <rFont val="Tahoma"/>
            <family val="2"/>
            <charset val="204"/>
          </rPr>
          <t>b7b6 - Value</t>
        </r>
        <r>
          <rPr>
            <b/>
            <sz val="9"/>
            <color indexed="81"/>
            <rFont val="Tahoma"/>
            <family val="2"/>
            <charset val="204"/>
          </rPr>
          <t xml:space="preserve">
01</t>
        </r>
        <r>
          <rPr>
            <sz val="9"/>
            <color indexed="81"/>
            <rFont val="Tahoma"/>
            <family val="2"/>
            <charset val="204"/>
          </rPr>
          <t xml:space="preserve"> - LHD</t>
        </r>
        <r>
          <rPr>
            <b/>
            <sz val="9"/>
            <color indexed="81"/>
            <rFont val="Tahoma"/>
            <family val="2"/>
            <charset val="204"/>
          </rPr>
          <t xml:space="preserve">
10</t>
        </r>
        <r>
          <rPr>
            <sz val="9"/>
            <color indexed="81"/>
            <rFont val="Tahoma"/>
            <family val="2"/>
            <charset val="204"/>
          </rPr>
          <t xml:space="preserve"> - RHD</t>
        </r>
      </text>
    </comment>
    <comment ref="AE6" authorId="1" shapeId="0" xr:uid="{00000000-0006-0000-0700-000003000000}">
      <text>
        <r>
          <rPr>
            <sz val="9"/>
            <color indexed="81"/>
            <rFont val="Tahoma"/>
            <family val="2"/>
            <charset val="204"/>
          </rPr>
          <t>Japan Market: LDWS minimum operating speed is 40 kmph</t>
        </r>
        <r>
          <rPr>
            <b/>
            <sz val="9"/>
            <color indexed="81"/>
            <rFont val="Tahoma"/>
            <family val="2"/>
            <charset val="204"/>
          </rPr>
          <t xml:space="preserve">
Market area
</t>
        </r>
        <r>
          <rPr>
            <i/>
            <sz val="8"/>
            <color indexed="81"/>
            <rFont val="Tahoma"/>
            <family val="2"/>
            <charset val="204"/>
          </rPr>
          <t>b7b6b5b4 - Value</t>
        </r>
        <r>
          <rPr>
            <b/>
            <sz val="9"/>
            <color indexed="81"/>
            <rFont val="Tahoma"/>
            <family val="2"/>
            <charset val="204"/>
          </rPr>
          <t xml:space="preserve">
0001</t>
        </r>
        <r>
          <rPr>
            <sz val="9"/>
            <color indexed="81"/>
            <rFont val="Tahoma"/>
            <family val="2"/>
            <charset val="204"/>
          </rPr>
          <t xml:space="preserve"> - JP (RHD)
</t>
        </r>
        <r>
          <rPr>
            <b/>
            <sz val="9"/>
            <color indexed="81"/>
            <rFont val="Tahoma"/>
            <family val="2"/>
            <charset val="204"/>
          </rPr>
          <t>0010</t>
        </r>
        <r>
          <rPr>
            <sz val="9"/>
            <color indexed="81"/>
            <rFont val="Tahoma"/>
            <family val="2"/>
            <charset val="204"/>
          </rPr>
          <t xml:space="preserve"> - US/Can (LHD)
</t>
        </r>
        <r>
          <rPr>
            <b/>
            <sz val="9"/>
            <color indexed="81"/>
            <rFont val="Tahoma"/>
            <family val="2"/>
            <charset val="204"/>
          </rPr>
          <t>0011</t>
        </r>
        <r>
          <rPr>
            <sz val="9"/>
            <color indexed="81"/>
            <rFont val="Tahoma"/>
            <family val="2"/>
            <charset val="204"/>
          </rPr>
          <t xml:space="preserve"> - EU (LHD)
</t>
        </r>
        <r>
          <rPr>
            <b/>
            <sz val="9"/>
            <color indexed="81"/>
            <rFont val="Tahoma"/>
            <family val="2"/>
            <charset val="204"/>
          </rPr>
          <t>0100</t>
        </r>
        <r>
          <rPr>
            <sz val="9"/>
            <color indexed="81"/>
            <rFont val="Tahoma"/>
            <family val="2"/>
            <charset val="204"/>
          </rPr>
          <t xml:space="preserve"> - ?
</t>
        </r>
        <r>
          <rPr>
            <b/>
            <sz val="9"/>
            <color indexed="81"/>
            <rFont val="Tahoma"/>
            <family val="2"/>
            <charset val="204"/>
          </rPr>
          <t>0101</t>
        </r>
        <r>
          <rPr>
            <sz val="9"/>
            <color indexed="81"/>
            <rFont val="Tahoma"/>
            <family val="2"/>
            <charset val="204"/>
          </rPr>
          <t xml:space="preserve"> - AUS (RHD)
</t>
        </r>
        <r>
          <rPr>
            <b/>
            <sz val="9"/>
            <color indexed="81"/>
            <rFont val="Tahoma"/>
            <family val="2"/>
            <charset val="204"/>
          </rPr>
          <t>0110</t>
        </r>
        <r>
          <rPr>
            <sz val="9"/>
            <color indexed="81"/>
            <rFont val="Tahoma"/>
            <family val="2"/>
            <charset val="204"/>
          </rPr>
          <t xml:space="preserve"> - Asia (RHD)
</t>
        </r>
        <r>
          <rPr>
            <b/>
            <sz val="9"/>
            <color indexed="81"/>
            <rFont val="Tahoma"/>
            <family val="2"/>
            <charset val="204"/>
          </rPr>
          <t>0111</t>
        </r>
        <r>
          <rPr>
            <sz val="9"/>
            <color indexed="81"/>
            <rFont val="Tahoma"/>
            <family val="2"/>
            <charset val="204"/>
          </rPr>
          <t xml:space="preserve"> - Asia (LHD)
</t>
        </r>
        <r>
          <rPr>
            <b/>
            <sz val="9"/>
            <color indexed="81"/>
            <rFont val="Tahoma"/>
            <family val="2"/>
            <charset val="204"/>
          </rPr>
          <t>1000</t>
        </r>
        <r>
          <rPr>
            <sz val="9"/>
            <color indexed="81"/>
            <rFont val="Tahoma"/>
            <family val="2"/>
            <charset val="204"/>
          </rPr>
          <t xml:space="preserve"> - China (LHD)</t>
        </r>
      </text>
    </comment>
    <comment ref="W8" authorId="0" shapeId="0" xr:uid="{00000000-0006-0000-0700-000004000000}">
      <text>
        <r>
          <rPr>
            <b/>
            <sz val="9"/>
            <color indexed="81"/>
            <rFont val="Tahoma"/>
            <family val="2"/>
            <charset val="204"/>
          </rPr>
          <t>Body type:</t>
        </r>
        <r>
          <rPr>
            <sz val="9"/>
            <color indexed="81"/>
            <rFont val="Tahoma"/>
            <family val="2"/>
            <charset val="204"/>
          </rPr>
          <t xml:space="preserve">
</t>
        </r>
        <r>
          <rPr>
            <i/>
            <sz val="8"/>
            <color indexed="81"/>
            <rFont val="Tahoma"/>
            <family val="2"/>
            <charset val="204"/>
          </rPr>
          <t>b5b4 - Value</t>
        </r>
        <r>
          <rPr>
            <sz val="9"/>
            <color indexed="81"/>
            <rFont val="Tahoma"/>
            <family val="2"/>
            <charset val="204"/>
          </rPr>
          <t xml:space="preserve">
</t>
        </r>
        <r>
          <rPr>
            <b/>
            <sz val="9"/>
            <color indexed="81"/>
            <rFont val="Tahoma"/>
            <family val="2"/>
            <charset val="204"/>
          </rPr>
          <t>01</t>
        </r>
        <r>
          <rPr>
            <sz val="9"/>
            <color indexed="81"/>
            <rFont val="Tahoma"/>
            <family val="2"/>
            <charset val="204"/>
          </rPr>
          <t xml:space="preserve"> - Sedan
</t>
        </r>
        <r>
          <rPr>
            <b/>
            <sz val="9"/>
            <color indexed="81"/>
            <rFont val="Tahoma"/>
            <family val="2"/>
            <charset val="204"/>
          </rPr>
          <t>10</t>
        </r>
        <r>
          <rPr>
            <sz val="9"/>
            <color indexed="81"/>
            <rFont val="Tahoma"/>
            <family val="2"/>
            <charset val="204"/>
          </rPr>
          <t xml:space="preserve"> - Wagon
</t>
        </r>
        <r>
          <rPr>
            <b/>
            <sz val="9"/>
            <color indexed="81"/>
            <rFont val="Tahoma"/>
            <family val="2"/>
            <charset val="204"/>
          </rPr>
          <t>11</t>
        </r>
        <r>
          <rPr>
            <sz val="9"/>
            <color indexed="81"/>
            <rFont val="Tahoma"/>
            <family val="2"/>
            <charset val="204"/>
          </rPr>
          <t xml:space="preserve"> - Hatchback</t>
        </r>
      </text>
    </comment>
    <comment ref="AA8" authorId="1" shapeId="0" xr:uid="{00000000-0006-0000-0700-000005000000}">
      <text>
        <r>
          <rPr>
            <b/>
            <sz val="9"/>
            <color indexed="81"/>
            <rFont val="Tahoma"/>
            <family val="2"/>
            <charset val="204"/>
          </rPr>
          <t xml:space="preserve">4WD:
</t>
        </r>
        <r>
          <rPr>
            <i/>
            <sz val="8"/>
            <color indexed="81"/>
            <rFont val="Tahoma"/>
            <family val="2"/>
            <charset val="204"/>
          </rPr>
          <t>b5b4 - Value</t>
        </r>
        <r>
          <rPr>
            <b/>
            <sz val="9"/>
            <color indexed="81"/>
            <rFont val="Tahoma"/>
            <family val="2"/>
            <charset val="204"/>
          </rPr>
          <t xml:space="preserve">
01</t>
        </r>
        <r>
          <rPr>
            <sz val="9"/>
            <color indexed="81"/>
            <rFont val="Tahoma"/>
            <family val="2"/>
            <charset val="204"/>
          </rPr>
          <t xml:space="preserve"> - all cars w/o 4WD</t>
        </r>
        <r>
          <rPr>
            <b/>
            <sz val="9"/>
            <color indexed="81"/>
            <rFont val="Tahoma"/>
            <family val="2"/>
            <charset val="204"/>
          </rPr>
          <t xml:space="preserve">
10</t>
        </r>
        <r>
          <rPr>
            <sz val="9"/>
            <color indexed="81"/>
            <rFont val="Tahoma"/>
            <family val="2"/>
            <charset val="204"/>
          </rPr>
          <t xml:space="preserve"> - 4WD (only CX5-EU, CX5-JP, M6-JP w/o RVM)</t>
        </r>
      </text>
    </comment>
    <comment ref="S10" authorId="0" shapeId="0" xr:uid="{00000000-0006-0000-0700-000006000000}">
      <text>
        <r>
          <rPr>
            <b/>
            <sz val="9"/>
            <color indexed="81"/>
            <rFont val="Tahoma"/>
            <family val="2"/>
            <charset val="204"/>
          </rPr>
          <t>Car model:</t>
        </r>
        <r>
          <rPr>
            <sz val="9"/>
            <color indexed="81"/>
            <rFont val="Tahoma"/>
            <family val="2"/>
            <charset val="204"/>
          </rPr>
          <t xml:space="preserve">
</t>
        </r>
        <r>
          <rPr>
            <i/>
            <sz val="8"/>
            <color indexed="81"/>
            <rFont val="Tahoma"/>
            <family val="2"/>
            <charset val="204"/>
          </rPr>
          <t>b3b2b1b0 - Value</t>
        </r>
        <r>
          <rPr>
            <sz val="9"/>
            <color indexed="81"/>
            <rFont val="Tahoma"/>
            <family val="2"/>
            <charset val="204"/>
          </rPr>
          <t xml:space="preserve">
</t>
        </r>
        <r>
          <rPr>
            <b/>
            <sz val="9"/>
            <color indexed="81"/>
            <rFont val="Tahoma"/>
            <family val="2"/>
            <charset val="204"/>
          </rPr>
          <t>0001</t>
        </r>
        <r>
          <rPr>
            <sz val="9"/>
            <color indexed="81"/>
            <rFont val="Tahoma"/>
            <family val="2"/>
            <charset val="204"/>
          </rPr>
          <t xml:space="preserve"> - CX-5
</t>
        </r>
        <r>
          <rPr>
            <b/>
            <sz val="9"/>
            <color indexed="81"/>
            <rFont val="Tahoma"/>
            <family val="2"/>
            <charset val="204"/>
          </rPr>
          <t>0010</t>
        </r>
        <r>
          <rPr>
            <sz val="9"/>
            <color indexed="81"/>
            <rFont val="Tahoma"/>
            <family val="2"/>
            <charset val="204"/>
          </rPr>
          <t xml:space="preserve"> - M6
</t>
        </r>
        <r>
          <rPr>
            <b/>
            <sz val="9"/>
            <color indexed="81"/>
            <rFont val="Tahoma"/>
            <family val="2"/>
            <charset val="204"/>
          </rPr>
          <t>0011</t>
        </r>
        <r>
          <rPr>
            <sz val="9"/>
            <color indexed="81"/>
            <rFont val="Tahoma"/>
            <family val="2"/>
            <charset val="204"/>
          </rPr>
          <t xml:space="preserve"> - M3
</t>
        </r>
        <r>
          <rPr>
            <b/>
            <sz val="9"/>
            <color indexed="81"/>
            <rFont val="Tahoma"/>
            <family val="2"/>
            <charset val="204"/>
          </rPr>
          <t>0101</t>
        </r>
        <r>
          <rPr>
            <sz val="9"/>
            <color indexed="81"/>
            <rFont val="Tahoma"/>
            <family val="2"/>
            <charset val="204"/>
          </rPr>
          <t xml:space="preserve"> - M2
</t>
        </r>
        <r>
          <rPr>
            <b/>
            <sz val="9"/>
            <color indexed="81"/>
            <rFont val="Tahoma"/>
            <family val="2"/>
            <charset val="204"/>
          </rPr>
          <t>0110</t>
        </r>
        <r>
          <rPr>
            <sz val="9"/>
            <color indexed="81"/>
            <rFont val="Tahoma"/>
            <family val="2"/>
            <charset val="204"/>
          </rPr>
          <t xml:space="preserve"> - MX-5
</t>
        </r>
        <r>
          <rPr>
            <b/>
            <sz val="9"/>
            <color indexed="81"/>
            <rFont val="Tahoma"/>
            <family val="2"/>
            <charset val="204"/>
          </rPr>
          <t>0111</t>
        </r>
        <r>
          <rPr>
            <sz val="9"/>
            <color indexed="81"/>
            <rFont val="Tahoma"/>
            <family val="2"/>
            <charset val="204"/>
          </rPr>
          <t xml:space="preserve"> - CX-9</t>
        </r>
      </text>
    </comment>
    <comment ref="AA12" authorId="0" shapeId="0" xr:uid="{00000000-0006-0000-0700-000007000000}">
      <text>
        <r>
          <rPr>
            <b/>
            <sz val="9"/>
            <color indexed="81"/>
            <rFont val="Tahoma"/>
            <family val="2"/>
            <charset val="204"/>
          </rPr>
          <t>SBS:</t>
        </r>
        <r>
          <rPr>
            <sz val="9"/>
            <color indexed="81"/>
            <rFont val="Tahoma"/>
            <family val="2"/>
            <charset val="204"/>
          </rPr>
          <t xml:space="preserve">
</t>
        </r>
        <r>
          <rPr>
            <i/>
            <sz val="8"/>
            <color indexed="81"/>
            <rFont val="Tahoma"/>
            <family val="2"/>
            <charset val="204"/>
          </rPr>
          <t>b1b0 - Value</t>
        </r>
        <r>
          <rPr>
            <sz val="9"/>
            <color indexed="81"/>
            <rFont val="Tahoma"/>
            <family val="2"/>
            <charset val="204"/>
          </rPr>
          <t xml:space="preserve">
</t>
        </r>
        <r>
          <rPr>
            <b/>
            <sz val="9"/>
            <color indexed="81"/>
            <rFont val="Tahoma"/>
            <family val="2"/>
            <charset val="204"/>
          </rPr>
          <t>01</t>
        </r>
        <r>
          <rPr>
            <sz val="9"/>
            <color indexed="81"/>
            <rFont val="Tahoma"/>
            <family val="2"/>
            <charset val="204"/>
          </rPr>
          <t xml:space="preserve"> - no SBS
</t>
        </r>
        <r>
          <rPr>
            <b/>
            <sz val="9"/>
            <color indexed="81"/>
            <rFont val="Tahoma"/>
            <family val="2"/>
            <charset val="204"/>
          </rPr>
          <t>10</t>
        </r>
        <r>
          <rPr>
            <sz val="9"/>
            <color indexed="81"/>
            <rFont val="Tahoma"/>
            <family val="2"/>
            <charset val="204"/>
          </rPr>
          <t xml:space="preserve"> - SBS</t>
        </r>
      </text>
    </comment>
    <comment ref="S17" authorId="0" shapeId="0" xr:uid="{00000000-0006-0000-0700-000008000000}">
      <text>
        <r>
          <rPr>
            <b/>
            <sz val="9"/>
            <color indexed="81"/>
            <rFont val="Tahoma"/>
            <family val="2"/>
            <charset val="204"/>
          </rPr>
          <t>Default Safety - LDWS - Timing:</t>
        </r>
        <r>
          <rPr>
            <sz val="9"/>
            <color indexed="81"/>
            <rFont val="Tahoma"/>
            <family val="2"/>
            <charset val="204"/>
          </rPr>
          <t xml:space="preserve">
</t>
        </r>
        <r>
          <rPr>
            <i/>
            <sz val="8"/>
            <color indexed="81"/>
            <rFont val="Tahoma"/>
            <family val="2"/>
            <charset val="204"/>
          </rPr>
          <t>b7b6b5 - Value</t>
        </r>
        <r>
          <rPr>
            <sz val="9"/>
            <color indexed="81"/>
            <rFont val="Tahoma"/>
            <family val="2"/>
            <charset val="204"/>
          </rPr>
          <t xml:space="preserve">
</t>
        </r>
        <r>
          <rPr>
            <b/>
            <sz val="9"/>
            <color indexed="81"/>
            <rFont val="Tahoma"/>
            <family val="2"/>
            <charset val="204"/>
          </rPr>
          <t>001</t>
        </r>
        <r>
          <rPr>
            <sz val="9"/>
            <color indexed="81"/>
            <rFont val="Tahoma"/>
            <family val="2"/>
            <charset val="204"/>
          </rPr>
          <t xml:space="preserve"> - Adaptive
</t>
        </r>
        <r>
          <rPr>
            <b/>
            <sz val="9"/>
            <color indexed="81"/>
            <rFont val="Tahoma"/>
            <family val="2"/>
            <charset val="204"/>
          </rPr>
          <t>010</t>
        </r>
        <r>
          <rPr>
            <sz val="9"/>
            <color indexed="81"/>
            <rFont val="Tahoma"/>
            <family val="2"/>
            <charset val="204"/>
          </rPr>
          <t xml:space="preserve"> - Early
</t>
        </r>
        <r>
          <rPr>
            <b/>
            <sz val="9"/>
            <color indexed="81"/>
            <rFont val="Tahoma"/>
            <family val="2"/>
            <charset val="204"/>
          </rPr>
          <t>011</t>
        </r>
        <r>
          <rPr>
            <sz val="9"/>
            <color indexed="81"/>
            <rFont val="Tahoma"/>
            <family val="2"/>
            <charset val="204"/>
          </rPr>
          <t xml:space="preserve"> - Medium
</t>
        </r>
        <r>
          <rPr>
            <b/>
            <sz val="9"/>
            <color indexed="81"/>
            <rFont val="Tahoma"/>
            <family val="2"/>
            <charset val="204"/>
          </rPr>
          <t>100</t>
        </r>
        <r>
          <rPr>
            <sz val="9"/>
            <color indexed="81"/>
            <rFont val="Tahoma"/>
            <family val="2"/>
            <charset val="204"/>
          </rPr>
          <t xml:space="preserve"> - Late
</t>
        </r>
        <r>
          <rPr>
            <b/>
            <sz val="9"/>
            <color indexed="81"/>
            <rFont val="Tahoma"/>
            <family val="2"/>
            <charset val="204"/>
          </rPr>
          <t>LAS - Intervention Timing:</t>
        </r>
        <r>
          <rPr>
            <sz val="9"/>
            <color indexed="81"/>
            <rFont val="Tahoma"/>
            <family val="2"/>
            <charset val="204"/>
          </rPr>
          <t xml:space="preserve">
</t>
        </r>
        <r>
          <rPr>
            <i/>
            <sz val="8"/>
            <color indexed="81"/>
            <rFont val="Tahoma"/>
            <family val="2"/>
            <charset val="204"/>
          </rPr>
          <t>b7b6b5 - Value</t>
        </r>
        <r>
          <rPr>
            <sz val="9"/>
            <color indexed="81"/>
            <rFont val="Tahoma"/>
            <family val="2"/>
            <charset val="204"/>
          </rPr>
          <t xml:space="preserve">
</t>
        </r>
        <r>
          <rPr>
            <b/>
            <sz val="9"/>
            <color indexed="81"/>
            <rFont val="Tahoma"/>
            <family val="2"/>
            <charset val="204"/>
          </rPr>
          <t>000</t>
        </r>
        <r>
          <rPr>
            <sz val="9"/>
            <color indexed="81"/>
            <rFont val="Tahoma"/>
            <family val="2"/>
            <charset val="204"/>
          </rPr>
          <t xml:space="preserve"> - Late
</t>
        </r>
        <r>
          <rPr>
            <b/>
            <sz val="9"/>
            <color indexed="81"/>
            <rFont val="Tahoma"/>
            <family val="2"/>
            <charset val="204"/>
          </rPr>
          <t>010</t>
        </r>
        <r>
          <rPr>
            <sz val="9"/>
            <color indexed="81"/>
            <rFont val="Tahoma"/>
            <family val="2"/>
            <charset val="204"/>
          </rPr>
          <t xml:space="preserve"> - Early</t>
        </r>
      </text>
    </comment>
    <comment ref="W17" authorId="0" shapeId="0" xr:uid="{00000000-0006-0000-0700-000009000000}">
      <text>
        <r>
          <rPr>
            <b/>
            <sz val="9"/>
            <color indexed="81"/>
            <rFont val="Tahoma"/>
            <family val="2"/>
            <charset val="204"/>
          </rPr>
          <t>HBC</t>
        </r>
        <r>
          <rPr>
            <sz val="9"/>
            <color indexed="81"/>
            <rFont val="Tahoma"/>
            <family val="2"/>
            <charset val="204"/>
          </rPr>
          <t xml:space="preserve"> (Default Setting):
</t>
        </r>
        <r>
          <rPr>
            <i/>
            <sz val="8"/>
            <color indexed="81"/>
            <rFont val="Tahoma"/>
            <family val="2"/>
            <charset val="204"/>
          </rPr>
          <t>b7b6 - Value</t>
        </r>
        <r>
          <rPr>
            <sz val="9"/>
            <color indexed="81"/>
            <rFont val="Tahoma"/>
            <family val="2"/>
            <charset val="204"/>
          </rPr>
          <t xml:space="preserve">
</t>
        </r>
        <r>
          <rPr>
            <b/>
            <sz val="9"/>
            <color indexed="81"/>
            <rFont val="Tahoma"/>
            <family val="2"/>
            <charset val="204"/>
          </rPr>
          <t>10</t>
        </r>
        <r>
          <rPr>
            <sz val="9"/>
            <color indexed="81"/>
            <rFont val="Tahoma"/>
            <family val="2"/>
            <charset val="204"/>
          </rPr>
          <t xml:space="preserve"> - On
</t>
        </r>
        <r>
          <rPr>
            <b/>
            <sz val="9"/>
            <color indexed="81"/>
            <rFont val="Tahoma"/>
            <family val="2"/>
            <charset val="204"/>
          </rPr>
          <t>01</t>
        </r>
        <r>
          <rPr>
            <sz val="9"/>
            <color indexed="81"/>
            <rFont val="Tahoma"/>
            <family val="2"/>
            <charset val="204"/>
          </rPr>
          <t xml:space="preserve"> - Off</t>
        </r>
      </text>
    </comment>
    <comment ref="AI19" authorId="0" shapeId="0" xr:uid="{00000000-0006-0000-0700-00000A000000}">
      <text>
        <r>
          <rPr>
            <b/>
            <sz val="9"/>
            <color indexed="81"/>
            <rFont val="Tahoma"/>
            <family val="2"/>
            <charset val="204"/>
          </rPr>
          <t>LAS Intervention:
0</t>
        </r>
        <r>
          <rPr>
            <sz val="9"/>
            <color indexed="81"/>
            <rFont val="Tahoma"/>
            <family val="2"/>
            <charset val="204"/>
          </rPr>
          <t xml:space="preserve"> - Off
</t>
        </r>
        <r>
          <rPr>
            <b/>
            <sz val="9"/>
            <color indexed="81"/>
            <rFont val="Tahoma"/>
            <family val="2"/>
            <charset val="204"/>
          </rPr>
          <t>1</t>
        </r>
        <r>
          <rPr>
            <sz val="9"/>
            <color indexed="81"/>
            <rFont val="Tahoma"/>
            <family val="2"/>
            <charset val="204"/>
          </rPr>
          <t xml:space="preserve"> - On</t>
        </r>
      </text>
    </comment>
    <comment ref="S20" authorId="0" shapeId="0" xr:uid="{00000000-0006-0000-0700-00000B000000}">
      <text>
        <r>
          <rPr>
            <b/>
            <sz val="9"/>
            <color indexed="81"/>
            <rFont val="Tahoma"/>
            <family val="2"/>
            <charset val="204"/>
          </rPr>
          <t>Default Safety - LDWS - Warning:</t>
        </r>
        <r>
          <rPr>
            <sz val="9"/>
            <color indexed="81"/>
            <rFont val="Tahoma"/>
            <family val="2"/>
            <charset val="204"/>
          </rPr>
          <t xml:space="preserve">
</t>
        </r>
        <r>
          <rPr>
            <i/>
            <sz val="8"/>
            <color indexed="81"/>
            <rFont val="Tahoma"/>
            <family val="2"/>
            <charset val="204"/>
          </rPr>
          <t>b4b3b2 - Value</t>
        </r>
        <r>
          <rPr>
            <sz val="9"/>
            <color indexed="81"/>
            <rFont val="Tahoma"/>
            <family val="2"/>
            <charset val="204"/>
          </rPr>
          <t xml:space="preserve">
</t>
        </r>
        <r>
          <rPr>
            <b/>
            <sz val="9"/>
            <color indexed="81"/>
            <rFont val="Tahoma"/>
            <family val="2"/>
            <charset val="204"/>
          </rPr>
          <t>000</t>
        </r>
        <r>
          <rPr>
            <sz val="9"/>
            <color indexed="81"/>
            <rFont val="Tahoma"/>
            <family val="2"/>
            <charset val="204"/>
          </rPr>
          <t xml:space="preserve"> - Often
</t>
        </r>
        <r>
          <rPr>
            <b/>
            <sz val="9"/>
            <color indexed="81"/>
            <rFont val="Tahoma"/>
            <family val="2"/>
            <charset val="204"/>
          </rPr>
          <t>010</t>
        </r>
        <r>
          <rPr>
            <sz val="9"/>
            <color indexed="81"/>
            <rFont val="Tahoma"/>
            <family val="2"/>
            <charset val="204"/>
          </rPr>
          <t xml:space="preserve"> - Med
</t>
        </r>
        <r>
          <rPr>
            <b/>
            <sz val="9"/>
            <color indexed="81"/>
            <rFont val="Tahoma"/>
            <family val="2"/>
            <charset val="204"/>
          </rPr>
          <t>100</t>
        </r>
        <r>
          <rPr>
            <sz val="9"/>
            <color indexed="81"/>
            <rFont val="Tahoma"/>
            <family val="2"/>
            <charset val="204"/>
          </rPr>
          <t xml:space="preserve"> - Rare
</t>
        </r>
        <r>
          <rPr>
            <b/>
            <sz val="9"/>
            <color indexed="81"/>
            <rFont val="Tahoma"/>
            <family val="2"/>
            <charset val="204"/>
          </rPr>
          <t>LAS - Sensitivity:</t>
        </r>
        <r>
          <rPr>
            <sz val="9"/>
            <color indexed="81"/>
            <rFont val="Tahoma"/>
            <family val="2"/>
            <charset val="204"/>
          </rPr>
          <t xml:space="preserve">
</t>
        </r>
        <r>
          <rPr>
            <i/>
            <sz val="8"/>
            <color indexed="81"/>
            <rFont val="Tahoma"/>
            <family val="2"/>
            <charset val="204"/>
          </rPr>
          <t>b4b3b2 - Value</t>
        </r>
        <r>
          <rPr>
            <sz val="9"/>
            <color indexed="81"/>
            <rFont val="Tahoma"/>
            <family val="2"/>
            <charset val="204"/>
          </rPr>
          <t xml:space="preserve">
</t>
        </r>
        <r>
          <rPr>
            <b/>
            <sz val="9"/>
            <color indexed="81"/>
            <rFont val="Tahoma"/>
            <family val="2"/>
            <charset val="204"/>
          </rPr>
          <t>001</t>
        </r>
        <r>
          <rPr>
            <sz val="9"/>
            <color indexed="81"/>
            <rFont val="Tahoma"/>
            <family val="2"/>
            <charset val="204"/>
          </rPr>
          <t xml:space="preserve"> - High
</t>
        </r>
        <r>
          <rPr>
            <b/>
            <sz val="9"/>
            <color indexed="81"/>
            <rFont val="Tahoma"/>
            <family val="2"/>
            <charset val="204"/>
          </rPr>
          <t>011</t>
        </r>
        <r>
          <rPr>
            <sz val="9"/>
            <color indexed="81"/>
            <rFont val="Tahoma"/>
            <family val="2"/>
            <charset val="204"/>
          </rPr>
          <t xml:space="preserve"> - Med
</t>
        </r>
        <r>
          <rPr>
            <b/>
            <sz val="9"/>
            <color indexed="81"/>
            <rFont val="Tahoma"/>
            <family val="2"/>
            <charset val="204"/>
          </rPr>
          <t>100</t>
        </r>
        <r>
          <rPr>
            <sz val="9"/>
            <color indexed="81"/>
            <rFont val="Tahoma"/>
            <family val="2"/>
            <charset val="204"/>
          </rPr>
          <t xml:space="preserve"> - Low</t>
        </r>
      </text>
    </comment>
    <comment ref="W23" authorId="1" shapeId="0" xr:uid="{E18A2A47-7479-4927-AC86-076AC356977C}">
      <text>
        <r>
          <rPr>
            <b/>
            <u/>
            <sz val="9"/>
            <color indexed="81"/>
            <rFont val="Tahoma"/>
            <family val="2"/>
            <charset val="204"/>
          </rPr>
          <t>HBC (if b7=1)</t>
        </r>
        <r>
          <rPr>
            <b/>
            <sz val="9"/>
            <color indexed="81"/>
            <rFont val="Tahoma"/>
            <family val="2"/>
            <charset val="204"/>
          </rPr>
          <t xml:space="preserve">
</t>
        </r>
        <r>
          <rPr>
            <b/>
            <i/>
            <sz val="9"/>
            <color indexed="81"/>
            <rFont val="Tahoma"/>
            <family val="2"/>
            <charset val="204"/>
          </rPr>
          <t>b1b0 - Value:</t>
        </r>
        <r>
          <rPr>
            <b/>
            <sz val="9"/>
            <color indexed="81"/>
            <rFont val="Tahoma"/>
            <family val="2"/>
            <charset val="204"/>
          </rPr>
          <t xml:space="preserve">
10 =</t>
        </r>
        <r>
          <rPr>
            <sz val="9"/>
            <color indexed="81"/>
            <rFont val="Tahoma"/>
            <family val="2"/>
            <charset val="204"/>
          </rPr>
          <t xml:space="preserve"> (JPN only) + (CX5KE-LHD);</t>
        </r>
        <r>
          <rPr>
            <b/>
            <sz val="9"/>
            <color indexed="81"/>
            <rFont val="Tahoma"/>
            <family val="2"/>
            <charset val="204"/>
          </rPr>
          <t xml:space="preserve">
01 =</t>
        </r>
        <r>
          <rPr>
            <sz val="9"/>
            <color indexed="81"/>
            <rFont val="Tahoma"/>
            <family val="2"/>
            <charset val="204"/>
          </rPr>
          <t xml:space="preserve"> LHD + AUS/ASIA + [CX5KE-RHD(except AUS)]
</t>
        </r>
      </text>
    </comment>
    <comment ref="S50" authorId="0" shapeId="0" xr:uid="{00000000-0006-0000-0700-00000C000000}">
      <text>
        <r>
          <rPr>
            <b/>
            <sz val="9"/>
            <color indexed="81"/>
            <rFont val="Tahoma"/>
            <family val="2"/>
            <charset val="204"/>
          </rPr>
          <t>Safety - LDWS - Timing:</t>
        </r>
        <r>
          <rPr>
            <sz val="9"/>
            <color indexed="81"/>
            <rFont val="Tahoma"/>
            <family val="2"/>
            <charset val="204"/>
          </rPr>
          <t xml:space="preserve">
</t>
        </r>
        <r>
          <rPr>
            <i/>
            <sz val="8"/>
            <color indexed="81"/>
            <rFont val="Tahoma"/>
            <family val="2"/>
            <charset val="204"/>
          </rPr>
          <t>b7b6b5 - Value</t>
        </r>
        <r>
          <rPr>
            <sz val="9"/>
            <color indexed="81"/>
            <rFont val="Tahoma"/>
            <family val="2"/>
            <charset val="204"/>
          </rPr>
          <t xml:space="preserve">
</t>
        </r>
        <r>
          <rPr>
            <b/>
            <sz val="9"/>
            <color indexed="81"/>
            <rFont val="Tahoma"/>
            <family val="2"/>
            <charset val="204"/>
          </rPr>
          <t>001</t>
        </r>
        <r>
          <rPr>
            <sz val="9"/>
            <color indexed="81"/>
            <rFont val="Tahoma"/>
            <family val="2"/>
            <charset val="204"/>
          </rPr>
          <t xml:space="preserve"> - Adaptive
</t>
        </r>
        <r>
          <rPr>
            <b/>
            <sz val="9"/>
            <color indexed="81"/>
            <rFont val="Tahoma"/>
            <family val="2"/>
            <charset val="204"/>
          </rPr>
          <t>010</t>
        </r>
        <r>
          <rPr>
            <sz val="9"/>
            <color indexed="81"/>
            <rFont val="Tahoma"/>
            <family val="2"/>
            <charset val="204"/>
          </rPr>
          <t xml:space="preserve"> - Early
</t>
        </r>
        <r>
          <rPr>
            <b/>
            <sz val="9"/>
            <color indexed="81"/>
            <rFont val="Tahoma"/>
            <family val="2"/>
            <charset val="204"/>
          </rPr>
          <t>011</t>
        </r>
        <r>
          <rPr>
            <sz val="9"/>
            <color indexed="81"/>
            <rFont val="Tahoma"/>
            <family val="2"/>
            <charset val="204"/>
          </rPr>
          <t xml:space="preserve"> - Medium
</t>
        </r>
        <r>
          <rPr>
            <b/>
            <sz val="9"/>
            <color indexed="81"/>
            <rFont val="Tahoma"/>
            <family val="2"/>
            <charset val="204"/>
          </rPr>
          <t>100</t>
        </r>
        <r>
          <rPr>
            <sz val="9"/>
            <color indexed="81"/>
            <rFont val="Tahoma"/>
            <family val="2"/>
            <charset val="204"/>
          </rPr>
          <t xml:space="preserve"> - Late
</t>
        </r>
        <r>
          <rPr>
            <b/>
            <sz val="9"/>
            <color indexed="81"/>
            <rFont val="Tahoma"/>
            <family val="2"/>
            <charset val="204"/>
          </rPr>
          <t>LAS - Intervention Timing:</t>
        </r>
        <r>
          <rPr>
            <sz val="9"/>
            <color indexed="81"/>
            <rFont val="Tahoma"/>
            <family val="2"/>
            <charset val="204"/>
          </rPr>
          <t xml:space="preserve">
</t>
        </r>
        <r>
          <rPr>
            <i/>
            <sz val="8"/>
            <color indexed="81"/>
            <rFont val="Tahoma"/>
            <family val="2"/>
            <charset val="204"/>
          </rPr>
          <t>b7b6b5 - Value</t>
        </r>
        <r>
          <rPr>
            <sz val="9"/>
            <color indexed="81"/>
            <rFont val="Tahoma"/>
            <family val="2"/>
            <charset val="204"/>
          </rPr>
          <t xml:space="preserve">
</t>
        </r>
        <r>
          <rPr>
            <b/>
            <sz val="9"/>
            <color indexed="81"/>
            <rFont val="Tahoma"/>
            <family val="2"/>
            <charset val="204"/>
          </rPr>
          <t>000</t>
        </r>
        <r>
          <rPr>
            <sz val="9"/>
            <color indexed="81"/>
            <rFont val="Tahoma"/>
            <family val="2"/>
            <charset val="204"/>
          </rPr>
          <t xml:space="preserve"> - Late
</t>
        </r>
        <r>
          <rPr>
            <b/>
            <sz val="9"/>
            <color indexed="81"/>
            <rFont val="Tahoma"/>
            <family val="2"/>
            <charset val="204"/>
          </rPr>
          <t>010</t>
        </r>
        <r>
          <rPr>
            <sz val="9"/>
            <color indexed="81"/>
            <rFont val="Tahoma"/>
            <family val="2"/>
            <charset val="204"/>
          </rPr>
          <t xml:space="preserve"> - Early</t>
        </r>
      </text>
    </comment>
    <comment ref="W50" authorId="0" shapeId="0" xr:uid="{00000000-0006-0000-0700-00000D000000}">
      <text>
        <r>
          <rPr>
            <b/>
            <sz val="9"/>
            <color indexed="81"/>
            <rFont val="Tahoma"/>
            <family val="2"/>
            <charset val="204"/>
          </rPr>
          <t>Settings - HBC:</t>
        </r>
        <r>
          <rPr>
            <sz val="9"/>
            <color indexed="81"/>
            <rFont val="Tahoma"/>
            <family val="2"/>
            <charset val="204"/>
          </rPr>
          <t xml:space="preserve">
</t>
        </r>
        <r>
          <rPr>
            <i/>
            <sz val="8"/>
            <color indexed="81"/>
            <rFont val="Tahoma"/>
            <family val="2"/>
            <charset val="204"/>
          </rPr>
          <t>b7b6 - Value</t>
        </r>
        <r>
          <rPr>
            <sz val="9"/>
            <color indexed="81"/>
            <rFont val="Tahoma"/>
            <family val="2"/>
            <charset val="204"/>
          </rPr>
          <t xml:space="preserve">
</t>
        </r>
        <r>
          <rPr>
            <b/>
            <sz val="9"/>
            <color indexed="81"/>
            <rFont val="Tahoma"/>
            <family val="2"/>
            <charset val="204"/>
          </rPr>
          <t>10</t>
        </r>
        <r>
          <rPr>
            <sz val="9"/>
            <color indexed="81"/>
            <rFont val="Tahoma"/>
            <family val="2"/>
            <charset val="204"/>
          </rPr>
          <t xml:space="preserve"> - On
</t>
        </r>
        <r>
          <rPr>
            <b/>
            <sz val="9"/>
            <color indexed="81"/>
            <rFont val="Tahoma"/>
            <family val="2"/>
            <charset val="204"/>
          </rPr>
          <t>01</t>
        </r>
        <r>
          <rPr>
            <sz val="9"/>
            <color indexed="81"/>
            <rFont val="Tahoma"/>
            <family val="2"/>
            <charset val="204"/>
          </rPr>
          <t xml:space="preserve"> - Off</t>
        </r>
      </text>
    </comment>
    <comment ref="AI52" authorId="0" shapeId="0" xr:uid="{00000000-0006-0000-0700-00000E000000}">
      <text>
        <r>
          <rPr>
            <b/>
            <sz val="9"/>
            <color indexed="81"/>
            <rFont val="Tahoma"/>
            <family val="2"/>
            <charset val="204"/>
          </rPr>
          <t>LAS Intervention:
0</t>
        </r>
        <r>
          <rPr>
            <sz val="9"/>
            <color indexed="81"/>
            <rFont val="Tahoma"/>
            <family val="2"/>
            <charset val="204"/>
          </rPr>
          <t xml:space="preserve"> - Off
</t>
        </r>
        <r>
          <rPr>
            <b/>
            <sz val="9"/>
            <color indexed="81"/>
            <rFont val="Tahoma"/>
            <family val="2"/>
            <charset val="204"/>
          </rPr>
          <t>1</t>
        </r>
        <r>
          <rPr>
            <sz val="9"/>
            <color indexed="81"/>
            <rFont val="Tahoma"/>
            <family val="2"/>
            <charset val="204"/>
          </rPr>
          <t xml:space="preserve"> - On</t>
        </r>
      </text>
    </comment>
    <comment ref="S53" authorId="0" shapeId="0" xr:uid="{00000000-0006-0000-0700-00000F000000}">
      <text>
        <r>
          <rPr>
            <b/>
            <sz val="9"/>
            <color indexed="81"/>
            <rFont val="Tahoma"/>
            <family val="2"/>
            <charset val="204"/>
          </rPr>
          <t>Safety - LDWS - Warning:</t>
        </r>
        <r>
          <rPr>
            <sz val="9"/>
            <color indexed="81"/>
            <rFont val="Tahoma"/>
            <family val="2"/>
            <charset val="204"/>
          </rPr>
          <t xml:space="preserve">
</t>
        </r>
        <r>
          <rPr>
            <i/>
            <sz val="8"/>
            <color indexed="81"/>
            <rFont val="Tahoma"/>
            <family val="2"/>
            <charset val="204"/>
          </rPr>
          <t>b4b3b2 - Value</t>
        </r>
        <r>
          <rPr>
            <sz val="9"/>
            <color indexed="81"/>
            <rFont val="Tahoma"/>
            <family val="2"/>
            <charset val="204"/>
          </rPr>
          <t xml:space="preserve">
</t>
        </r>
        <r>
          <rPr>
            <b/>
            <sz val="9"/>
            <color indexed="81"/>
            <rFont val="Tahoma"/>
            <family val="2"/>
            <charset val="204"/>
          </rPr>
          <t>000</t>
        </r>
        <r>
          <rPr>
            <sz val="9"/>
            <color indexed="81"/>
            <rFont val="Tahoma"/>
            <family val="2"/>
            <charset val="204"/>
          </rPr>
          <t xml:space="preserve"> - Often
</t>
        </r>
        <r>
          <rPr>
            <b/>
            <sz val="9"/>
            <color indexed="81"/>
            <rFont val="Tahoma"/>
            <family val="2"/>
            <charset val="204"/>
          </rPr>
          <t>010</t>
        </r>
        <r>
          <rPr>
            <sz val="9"/>
            <color indexed="81"/>
            <rFont val="Tahoma"/>
            <family val="2"/>
            <charset val="204"/>
          </rPr>
          <t xml:space="preserve"> - Med
</t>
        </r>
        <r>
          <rPr>
            <b/>
            <sz val="9"/>
            <color indexed="81"/>
            <rFont val="Tahoma"/>
            <family val="2"/>
            <charset val="204"/>
          </rPr>
          <t>100</t>
        </r>
        <r>
          <rPr>
            <sz val="9"/>
            <color indexed="81"/>
            <rFont val="Tahoma"/>
            <family val="2"/>
            <charset val="204"/>
          </rPr>
          <t xml:space="preserve"> - Rare
</t>
        </r>
        <r>
          <rPr>
            <b/>
            <sz val="9"/>
            <color indexed="81"/>
            <rFont val="Tahoma"/>
            <family val="2"/>
            <charset val="204"/>
          </rPr>
          <t>LAS - Sensitivity:</t>
        </r>
        <r>
          <rPr>
            <sz val="9"/>
            <color indexed="81"/>
            <rFont val="Tahoma"/>
            <family val="2"/>
            <charset val="204"/>
          </rPr>
          <t xml:space="preserve">
</t>
        </r>
        <r>
          <rPr>
            <i/>
            <sz val="8"/>
            <color indexed="81"/>
            <rFont val="Tahoma"/>
            <family val="2"/>
            <charset val="204"/>
          </rPr>
          <t>b4b3b2 - Value</t>
        </r>
        <r>
          <rPr>
            <sz val="9"/>
            <color indexed="81"/>
            <rFont val="Tahoma"/>
            <family val="2"/>
            <charset val="204"/>
          </rPr>
          <t xml:space="preserve">
</t>
        </r>
        <r>
          <rPr>
            <b/>
            <sz val="9"/>
            <color indexed="81"/>
            <rFont val="Tahoma"/>
            <family val="2"/>
            <charset val="204"/>
          </rPr>
          <t>001</t>
        </r>
        <r>
          <rPr>
            <sz val="9"/>
            <color indexed="81"/>
            <rFont val="Tahoma"/>
            <family val="2"/>
            <charset val="204"/>
          </rPr>
          <t xml:space="preserve"> - High
</t>
        </r>
        <r>
          <rPr>
            <b/>
            <sz val="9"/>
            <color indexed="81"/>
            <rFont val="Tahoma"/>
            <family val="2"/>
            <charset val="204"/>
          </rPr>
          <t>011</t>
        </r>
        <r>
          <rPr>
            <sz val="9"/>
            <color indexed="81"/>
            <rFont val="Tahoma"/>
            <family val="2"/>
            <charset val="204"/>
          </rPr>
          <t xml:space="preserve"> - Med
</t>
        </r>
        <r>
          <rPr>
            <b/>
            <sz val="9"/>
            <color indexed="81"/>
            <rFont val="Tahoma"/>
            <family val="2"/>
            <charset val="204"/>
          </rPr>
          <t>100</t>
        </r>
        <r>
          <rPr>
            <sz val="9"/>
            <color indexed="81"/>
            <rFont val="Tahoma"/>
            <family val="2"/>
            <charset val="204"/>
          </rPr>
          <t xml:space="preserve"> - Low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Sergii Litnevskyi</author>
  </authors>
  <commentList>
    <comment ref="W6" authorId="0" shapeId="0" xr:uid="{00000000-0006-0000-0800-000001000000}">
      <text>
        <r>
          <rPr>
            <b/>
            <sz val="9"/>
            <color indexed="81"/>
            <rFont val="Tahoma"/>
            <family val="2"/>
            <charset val="204"/>
          </rPr>
          <t>HBC:</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Disabled
</t>
        </r>
        <r>
          <rPr>
            <b/>
            <sz val="9"/>
            <color indexed="81"/>
            <rFont val="Tahoma"/>
            <family val="2"/>
            <charset val="204"/>
          </rPr>
          <t>1</t>
        </r>
        <r>
          <rPr>
            <sz val="9"/>
            <color indexed="81"/>
            <rFont val="Tahoma"/>
            <family val="2"/>
            <charset val="204"/>
          </rPr>
          <t xml:space="preserve"> - Enabled</t>
        </r>
      </text>
    </comment>
    <comment ref="AA6" authorId="0" shapeId="0" xr:uid="{4DD060E2-ED10-4A15-B37D-26F0F6787639}">
      <text>
        <r>
          <rPr>
            <b/>
            <sz val="9"/>
            <color indexed="81"/>
            <rFont val="Tahoma"/>
            <family val="2"/>
            <charset val="204"/>
          </rPr>
          <t>SCBS-F:</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Disabled
</t>
        </r>
        <r>
          <rPr>
            <b/>
            <sz val="9"/>
            <color indexed="81"/>
            <rFont val="Tahoma"/>
            <family val="2"/>
            <charset val="204"/>
          </rPr>
          <t>1</t>
        </r>
        <r>
          <rPr>
            <sz val="9"/>
            <color indexed="81"/>
            <rFont val="Tahoma"/>
            <family val="2"/>
            <charset val="204"/>
          </rPr>
          <t xml:space="preserve"> - Enabled</t>
        </r>
      </text>
    </comment>
    <comment ref="S7" authorId="0" shapeId="0" xr:uid="{00000000-0006-0000-0800-000002000000}">
      <text>
        <r>
          <rPr>
            <b/>
            <sz val="9"/>
            <color indexed="81"/>
            <rFont val="Tahoma"/>
            <family val="2"/>
            <charset val="204"/>
          </rPr>
          <t>LDWS:</t>
        </r>
        <r>
          <rPr>
            <sz val="9"/>
            <color indexed="81"/>
            <rFont val="Tahoma"/>
            <family val="2"/>
            <charset val="204"/>
          </rPr>
          <t xml:space="preserve">
</t>
        </r>
        <r>
          <rPr>
            <i/>
            <sz val="8"/>
            <color indexed="81"/>
            <rFont val="Tahoma"/>
            <family val="2"/>
            <charset val="204"/>
          </rPr>
          <t>b6b5 -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Disabled
</t>
        </r>
        <r>
          <rPr>
            <b/>
            <sz val="9"/>
            <color indexed="81"/>
            <rFont val="Tahoma"/>
            <family val="2"/>
            <charset val="204"/>
          </rPr>
          <t>11</t>
        </r>
        <r>
          <rPr>
            <sz val="9"/>
            <color indexed="81"/>
            <rFont val="Tahoma"/>
            <family val="2"/>
            <charset val="204"/>
          </rPr>
          <t xml:space="preserve"> - Enabled</t>
        </r>
      </text>
    </comment>
    <comment ref="AI7" authorId="0" shapeId="0" xr:uid="{00000000-0006-0000-0800-000003000000}">
      <text>
        <r>
          <rPr>
            <b/>
            <sz val="9"/>
            <color indexed="81"/>
            <rFont val="Tahoma"/>
            <family val="2"/>
            <charset val="204"/>
          </rPr>
          <t>LAS:</t>
        </r>
        <r>
          <rPr>
            <sz val="9"/>
            <color indexed="81"/>
            <rFont val="Tahoma"/>
            <family val="2"/>
            <charset val="204"/>
          </rPr>
          <t xml:space="preserve">
</t>
        </r>
        <r>
          <rPr>
            <i/>
            <sz val="8"/>
            <color indexed="81"/>
            <rFont val="Tahoma"/>
            <family val="2"/>
            <charset val="204"/>
          </rPr>
          <t>b6b5b4 - Value</t>
        </r>
        <r>
          <rPr>
            <sz val="9"/>
            <color indexed="81"/>
            <rFont val="Tahoma"/>
            <family val="2"/>
            <charset val="204"/>
          </rPr>
          <t xml:space="preserve">
</t>
        </r>
        <r>
          <rPr>
            <b/>
            <sz val="9"/>
            <color indexed="81"/>
            <rFont val="Tahoma"/>
            <family val="2"/>
            <charset val="204"/>
          </rPr>
          <t>000</t>
        </r>
        <r>
          <rPr>
            <sz val="9"/>
            <color indexed="81"/>
            <rFont val="Tahoma"/>
            <family val="2"/>
            <charset val="204"/>
          </rPr>
          <t xml:space="preserve"> - Disabled
</t>
        </r>
        <r>
          <rPr>
            <b/>
            <sz val="9"/>
            <color indexed="81"/>
            <rFont val="Tahoma"/>
            <family val="2"/>
            <charset val="204"/>
          </rPr>
          <t>111</t>
        </r>
        <r>
          <rPr>
            <sz val="9"/>
            <color indexed="81"/>
            <rFont val="Tahoma"/>
            <family val="2"/>
            <charset val="204"/>
          </rPr>
          <t xml:space="preserve"> - Enabled</t>
        </r>
      </text>
    </comment>
    <comment ref="AA9" authorId="0" shapeId="0" xr:uid="{D137BD10-0767-40AC-8BB5-92E2DFD15324}">
      <text>
        <r>
          <rPr>
            <b/>
            <sz val="9"/>
            <color indexed="81"/>
            <rFont val="Tahoma"/>
            <family val="2"/>
            <charset val="204"/>
          </rPr>
          <t>SCBS-F:</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Disabled
</t>
        </r>
        <r>
          <rPr>
            <b/>
            <sz val="9"/>
            <color indexed="81"/>
            <rFont val="Tahoma"/>
            <family val="2"/>
            <charset val="204"/>
          </rPr>
          <t>1</t>
        </r>
        <r>
          <rPr>
            <sz val="9"/>
            <color indexed="81"/>
            <rFont val="Tahoma"/>
            <family val="2"/>
            <charset val="204"/>
          </rPr>
          <t xml:space="preserve"> - Enabled</t>
        </r>
      </text>
    </comment>
    <comment ref="S10" authorId="0" shapeId="0" xr:uid="{00000000-0006-0000-0800-000004000000}">
      <text>
        <r>
          <rPr>
            <b/>
            <sz val="9"/>
            <color indexed="81"/>
            <rFont val="Tahoma"/>
            <family val="2"/>
            <charset val="204"/>
          </rPr>
          <t>LDWS:</t>
        </r>
        <r>
          <rPr>
            <sz val="9"/>
            <color indexed="81"/>
            <rFont val="Tahoma"/>
            <family val="2"/>
            <charset val="204"/>
          </rPr>
          <t xml:space="preserve">
</t>
        </r>
        <r>
          <rPr>
            <i/>
            <sz val="8"/>
            <color indexed="81"/>
            <rFont val="Tahoma"/>
            <family val="2"/>
            <charset val="204"/>
          </rPr>
          <t>b3b2 -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Disabled
</t>
        </r>
        <r>
          <rPr>
            <b/>
            <sz val="9"/>
            <color indexed="81"/>
            <rFont val="Tahoma"/>
            <family val="2"/>
            <charset val="204"/>
          </rPr>
          <t>11</t>
        </r>
        <r>
          <rPr>
            <sz val="9"/>
            <color indexed="81"/>
            <rFont val="Tahoma"/>
            <family val="2"/>
            <charset val="204"/>
          </rPr>
          <t xml:space="preserve"> - Enabled</t>
        </r>
      </text>
    </comment>
    <comment ref="AI12" authorId="0" shapeId="0" xr:uid="{00000000-0006-0000-0800-000005000000}">
      <text>
        <r>
          <rPr>
            <b/>
            <sz val="9"/>
            <color indexed="81"/>
            <rFont val="Tahoma"/>
            <family val="2"/>
            <charset val="204"/>
          </rPr>
          <t>LAS</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Disabled
</t>
        </r>
        <r>
          <rPr>
            <b/>
            <sz val="9"/>
            <color indexed="81"/>
            <rFont val="Tahoma"/>
            <family val="2"/>
            <charset val="204"/>
          </rPr>
          <t>1</t>
        </r>
        <r>
          <rPr>
            <sz val="9"/>
            <color indexed="81"/>
            <rFont val="Tahoma"/>
            <family val="2"/>
            <charset val="204"/>
          </rPr>
          <t xml:space="preserve"> - Enabled</t>
        </r>
      </text>
    </comment>
    <comment ref="S17" authorId="0" shapeId="0" xr:uid="{00000000-0006-0000-0800-000006000000}">
      <text>
        <r>
          <rPr>
            <b/>
            <sz val="9"/>
            <color indexed="81"/>
            <rFont val="Tahoma"/>
            <family val="2"/>
            <charset val="204"/>
          </rPr>
          <t>LAS</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Disabled
</t>
        </r>
        <r>
          <rPr>
            <b/>
            <sz val="9"/>
            <color indexed="81"/>
            <rFont val="Tahoma"/>
            <family val="2"/>
            <charset val="204"/>
          </rPr>
          <t>1</t>
        </r>
        <r>
          <rPr>
            <sz val="9"/>
            <color indexed="81"/>
            <rFont val="Tahoma"/>
            <family val="2"/>
            <charset val="204"/>
          </rPr>
          <t xml:space="preserve"> - Enabled</t>
        </r>
      </text>
    </comment>
    <comment ref="AI19" authorId="0" shapeId="0" xr:uid="{60A0E2A0-3097-448E-A7DB-EAE095BFE159}">
      <text>
        <r>
          <rPr>
            <b/>
            <sz val="9"/>
            <color indexed="81"/>
            <rFont val="Tahoma"/>
            <family val="2"/>
            <charset val="204"/>
          </rPr>
          <t xml:space="preserve">TSR: 
</t>
        </r>
        <r>
          <rPr>
            <i/>
            <sz val="8"/>
            <color indexed="81"/>
            <rFont val="Tahoma"/>
            <family val="2"/>
          </rPr>
          <t>b5b4 - Value</t>
        </r>
        <r>
          <rPr>
            <b/>
            <sz val="9"/>
            <color indexed="81"/>
            <rFont val="Tahoma"/>
            <family val="2"/>
            <charset val="204"/>
          </rPr>
          <t xml:space="preserve">
00</t>
        </r>
        <r>
          <rPr>
            <sz val="9"/>
            <color indexed="81"/>
            <rFont val="Tahoma"/>
            <family val="2"/>
          </rPr>
          <t xml:space="preserve"> - Enabled US</t>
        </r>
        <r>
          <rPr>
            <b/>
            <sz val="9"/>
            <color indexed="81"/>
            <rFont val="Tahoma"/>
            <family val="2"/>
            <charset val="204"/>
          </rPr>
          <t xml:space="preserve">
01</t>
        </r>
        <r>
          <rPr>
            <sz val="9"/>
            <color indexed="81"/>
            <rFont val="Tahoma"/>
            <family val="2"/>
          </rPr>
          <t xml:space="preserve"> - Disabled</t>
        </r>
        <r>
          <rPr>
            <b/>
            <sz val="9"/>
            <color indexed="81"/>
            <rFont val="Tahoma"/>
            <family val="2"/>
            <charset val="204"/>
          </rPr>
          <t xml:space="preserve">
10</t>
        </r>
        <r>
          <rPr>
            <sz val="9"/>
            <color indexed="81"/>
            <rFont val="Tahoma"/>
            <family val="2"/>
          </rPr>
          <t xml:space="preserve"> - Enabled EU</t>
        </r>
        <r>
          <rPr>
            <b/>
            <sz val="9"/>
            <color indexed="81"/>
            <rFont val="Tahoma"/>
            <family val="2"/>
            <charset val="204"/>
          </rPr>
          <t xml:space="preserve">
11</t>
        </r>
        <r>
          <rPr>
            <sz val="9"/>
            <color indexed="81"/>
            <rFont val="Tahoma"/>
            <family val="2"/>
          </rPr>
          <t xml:space="preserve"> - Disabled</t>
        </r>
      </text>
    </comment>
    <comment ref="S22" authorId="0" shapeId="0" xr:uid="{00000000-0006-0000-0800-000008000000}">
      <text>
        <r>
          <rPr>
            <b/>
            <sz val="9"/>
            <color indexed="81"/>
            <rFont val="Tahoma"/>
            <family val="2"/>
            <charset val="204"/>
          </rPr>
          <t>LAS</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Disabled
</t>
        </r>
        <r>
          <rPr>
            <b/>
            <sz val="9"/>
            <color indexed="81"/>
            <rFont val="Tahoma"/>
            <family val="2"/>
            <charset val="204"/>
          </rPr>
          <t>1</t>
        </r>
        <r>
          <rPr>
            <sz val="9"/>
            <color indexed="81"/>
            <rFont val="Tahoma"/>
            <family val="2"/>
            <charset val="204"/>
          </rPr>
          <t xml:space="preserve"> - Enabled</t>
        </r>
      </text>
    </comment>
    <comment ref="W50" authorId="0" shapeId="0" xr:uid="{00000000-0006-0000-0800-000009000000}">
      <text>
        <r>
          <rPr>
            <b/>
            <sz val="9"/>
            <color indexed="81"/>
            <rFont val="Tahoma"/>
            <family val="2"/>
            <charset val="204"/>
          </rPr>
          <t>HBC:</t>
        </r>
        <r>
          <rPr>
            <sz val="9"/>
            <color indexed="81"/>
            <rFont val="Tahoma"/>
            <family val="2"/>
            <charset val="204"/>
          </rPr>
          <t xml:space="preserve">
</t>
        </r>
        <r>
          <rPr>
            <i/>
            <sz val="8"/>
            <color indexed="81"/>
            <rFont val="Tahoma"/>
            <family val="2"/>
            <charset val="204"/>
          </rPr>
          <t>b7b6 - Value</t>
        </r>
        <r>
          <rPr>
            <sz val="9"/>
            <color indexed="81"/>
            <rFont val="Tahoma"/>
            <family val="2"/>
            <charset val="204"/>
          </rPr>
          <t xml:space="preserve">
</t>
        </r>
        <r>
          <rPr>
            <b/>
            <sz val="9"/>
            <color indexed="81"/>
            <rFont val="Tahoma"/>
            <family val="2"/>
            <charset val="204"/>
          </rPr>
          <t>10</t>
        </r>
        <r>
          <rPr>
            <sz val="9"/>
            <color indexed="81"/>
            <rFont val="Tahoma"/>
            <family val="2"/>
            <charset val="204"/>
          </rPr>
          <t xml:space="preserve"> - On
</t>
        </r>
        <r>
          <rPr>
            <b/>
            <sz val="9"/>
            <color indexed="81"/>
            <rFont val="Tahoma"/>
            <family val="2"/>
            <charset val="204"/>
          </rPr>
          <t>01</t>
        </r>
        <r>
          <rPr>
            <sz val="9"/>
            <color indexed="81"/>
            <rFont val="Tahoma"/>
            <family val="2"/>
            <charset val="204"/>
          </rPr>
          <t xml:space="preserve"> - Off</t>
        </r>
      </text>
    </comment>
    <comment ref="AA50" authorId="0" shapeId="0" xr:uid="{00000000-0006-0000-0800-00000A000000}">
      <text>
        <r>
          <rPr>
            <b/>
            <sz val="9"/>
            <color indexed="81"/>
            <rFont val="Tahoma"/>
            <family val="2"/>
            <charset val="204"/>
          </rPr>
          <t>SCBS-F:</t>
        </r>
        <r>
          <rPr>
            <sz val="9"/>
            <color indexed="81"/>
            <rFont val="Tahoma"/>
            <family val="2"/>
            <charset val="204"/>
          </rPr>
          <t xml:space="preserve">
</t>
        </r>
        <r>
          <rPr>
            <i/>
            <sz val="8"/>
            <color indexed="81"/>
            <rFont val="Tahoma"/>
            <family val="2"/>
            <charset val="204"/>
          </rPr>
          <t>b7b6 - Value</t>
        </r>
        <r>
          <rPr>
            <sz val="9"/>
            <color indexed="81"/>
            <rFont val="Tahoma"/>
            <family val="2"/>
            <charset val="204"/>
          </rPr>
          <t xml:space="preserve">
</t>
        </r>
        <r>
          <rPr>
            <b/>
            <sz val="9"/>
            <color indexed="81"/>
            <rFont val="Tahoma"/>
            <family val="2"/>
            <charset val="204"/>
          </rPr>
          <t>10</t>
        </r>
        <r>
          <rPr>
            <sz val="9"/>
            <color indexed="81"/>
            <rFont val="Tahoma"/>
            <family val="2"/>
            <charset val="204"/>
          </rPr>
          <t xml:space="preserve"> - On
</t>
        </r>
        <r>
          <rPr>
            <b/>
            <sz val="9"/>
            <color indexed="81"/>
            <rFont val="Tahoma"/>
            <family val="2"/>
            <charset val="204"/>
          </rPr>
          <t>01</t>
        </r>
        <r>
          <rPr>
            <sz val="9"/>
            <color indexed="81"/>
            <rFont val="Tahoma"/>
            <family val="2"/>
            <charset val="204"/>
          </rPr>
          <t xml:space="preserve"> - Off</t>
        </r>
      </text>
    </comment>
    <comment ref="AA53" authorId="0" shapeId="0" xr:uid="{00000000-0006-0000-0800-00000B000000}">
      <text>
        <r>
          <rPr>
            <b/>
            <sz val="9"/>
            <color indexed="81"/>
            <rFont val="Tahoma"/>
            <family val="2"/>
            <charset val="204"/>
          </rPr>
          <t>SCBS-F Warning Distance:</t>
        </r>
        <r>
          <rPr>
            <i/>
            <sz val="8"/>
            <color indexed="81"/>
            <rFont val="Tahoma"/>
            <family val="2"/>
            <charset val="204"/>
          </rPr>
          <t xml:space="preserve">
b4b3 - Value</t>
        </r>
        <r>
          <rPr>
            <sz val="9"/>
            <color indexed="81"/>
            <rFont val="Tahoma"/>
            <family val="2"/>
            <charset val="204"/>
          </rPr>
          <t xml:space="preserve">
</t>
        </r>
        <r>
          <rPr>
            <b/>
            <sz val="9"/>
            <color indexed="81"/>
            <rFont val="Tahoma"/>
            <family val="2"/>
            <charset val="204"/>
          </rPr>
          <t>01</t>
        </r>
        <r>
          <rPr>
            <sz val="9"/>
            <color indexed="81"/>
            <rFont val="Tahoma"/>
            <family val="2"/>
            <charset val="204"/>
          </rPr>
          <t xml:space="preserve"> - Far
</t>
        </r>
        <r>
          <rPr>
            <b/>
            <sz val="9"/>
            <color indexed="81"/>
            <rFont val="Tahoma"/>
            <family val="2"/>
            <charset val="204"/>
          </rPr>
          <t>10</t>
        </r>
        <r>
          <rPr>
            <sz val="9"/>
            <color indexed="81"/>
            <rFont val="Tahoma"/>
            <family val="2"/>
            <charset val="204"/>
          </rPr>
          <t xml:space="preserve"> - Med
</t>
        </r>
        <r>
          <rPr>
            <b/>
            <sz val="9"/>
            <color indexed="81"/>
            <rFont val="Tahoma"/>
            <family val="2"/>
            <charset val="204"/>
          </rPr>
          <t>11</t>
        </r>
        <r>
          <rPr>
            <sz val="9"/>
            <color indexed="81"/>
            <rFont val="Tahoma"/>
            <family val="2"/>
            <charset val="204"/>
          </rPr>
          <t xml:space="preserve"> - Near</t>
        </r>
      </text>
    </comment>
    <comment ref="AI53" authorId="0" shapeId="0" xr:uid="{00000000-0006-0000-0800-00000C000000}">
      <text>
        <r>
          <rPr>
            <b/>
            <sz val="9"/>
            <color indexed="81"/>
            <rFont val="Tahoma"/>
            <family val="2"/>
            <charset val="204"/>
          </rPr>
          <t>LDWS Alert:</t>
        </r>
        <r>
          <rPr>
            <sz val="9"/>
            <color indexed="81"/>
            <rFont val="Tahoma"/>
            <family val="2"/>
            <charset val="204"/>
          </rPr>
          <t xml:space="preserve">
</t>
        </r>
        <r>
          <rPr>
            <i/>
            <sz val="8"/>
            <color indexed="81"/>
            <rFont val="Tahoma"/>
            <family val="2"/>
            <charset val="204"/>
          </rPr>
          <t>b4b3 - Value</t>
        </r>
        <r>
          <rPr>
            <sz val="9"/>
            <color indexed="81"/>
            <rFont val="Tahoma"/>
            <family val="2"/>
            <charset val="204"/>
          </rPr>
          <t xml:space="preserve">
</t>
        </r>
        <r>
          <rPr>
            <b/>
            <sz val="9"/>
            <color indexed="81"/>
            <rFont val="Tahoma"/>
            <family val="2"/>
            <charset val="204"/>
          </rPr>
          <t>10</t>
        </r>
        <r>
          <rPr>
            <sz val="9"/>
            <color indexed="81"/>
            <rFont val="Tahoma"/>
            <family val="2"/>
            <charset val="204"/>
          </rPr>
          <t xml:space="preserve"> - On
</t>
        </r>
        <r>
          <rPr>
            <b/>
            <sz val="9"/>
            <color indexed="81"/>
            <rFont val="Tahoma"/>
            <family val="2"/>
            <charset val="204"/>
          </rPr>
          <t>01</t>
        </r>
        <r>
          <rPr>
            <sz val="9"/>
            <color indexed="81"/>
            <rFont val="Tahoma"/>
            <family val="2"/>
            <charset val="204"/>
          </rPr>
          <t xml:space="preserve"> - Off</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Sergii Litnevskyi</author>
    <author>RePack by Diakov</author>
    <author>Admin</author>
  </authors>
  <commentList>
    <comment ref="A3" authorId="0" shapeId="0" xr:uid="{BE7062B1-879F-4552-A3B1-99E12CE58B4F}">
      <text>
        <r>
          <rPr>
            <sz val="9"/>
            <color indexed="81"/>
            <rFont val="Tahoma"/>
            <family val="2"/>
            <charset val="204"/>
          </rPr>
          <t>Paste whole IC module backup from FORScan here. Various length of 720-01 blocks are supported.</t>
        </r>
      </text>
    </comment>
    <comment ref="S6" authorId="0" shapeId="0" xr:uid="{E8483144-8C02-47DF-9724-936B92773BAB}">
      <text>
        <r>
          <rPr>
            <b/>
            <sz val="9"/>
            <color indexed="81"/>
            <rFont val="Tahoma"/>
            <family val="2"/>
            <charset val="204"/>
          </rPr>
          <t xml:space="preserve">Rear seatbelt indicator and beep after unfastening: </t>
        </r>
        <r>
          <rPr>
            <sz val="9"/>
            <color indexed="81"/>
            <rFont val="Tahoma"/>
            <family val="2"/>
            <charset val="204"/>
          </rPr>
          <t>0 - Disabled / 1 - Enabled</t>
        </r>
      </text>
    </comment>
    <comment ref="AA7" authorId="0" shapeId="0" xr:uid="{AB3D94A3-E89B-4CC7-A622-54E3783DCE9E}">
      <text>
        <r>
          <rPr>
            <b/>
            <sz val="9"/>
            <color indexed="81"/>
            <rFont val="Tahoma"/>
            <family val="2"/>
            <charset val="204"/>
          </rPr>
          <t xml:space="preserve">Driver seatbelt beeper 
(at 20+ kmph when unfastened): 
</t>
        </r>
        <r>
          <rPr>
            <sz val="9"/>
            <color indexed="81"/>
            <rFont val="Tahoma"/>
            <family val="2"/>
            <charset val="204"/>
          </rPr>
          <t>0 - Disabled / 1 - Enabled</t>
        </r>
      </text>
    </comment>
    <comment ref="AE7" authorId="0" shapeId="0" xr:uid="{FADC49E0-0D72-4BD9-9F1F-3349A4EA6DF2}">
      <text>
        <r>
          <rPr>
            <b/>
            <sz val="9"/>
            <color indexed="81"/>
            <rFont val="Tahoma"/>
            <family val="2"/>
          </rPr>
          <t>Fuel Consumption Units</t>
        </r>
        <r>
          <rPr>
            <sz val="9"/>
            <color indexed="81"/>
            <rFont val="Tahoma"/>
            <family val="2"/>
          </rPr>
          <t xml:space="preserve">: </t>
        </r>
        <r>
          <rPr>
            <b/>
            <sz val="9"/>
            <color indexed="81"/>
            <rFont val="Tahoma"/>
            <family val="2"/>
          </rPr>
          <t>0</t>
        </r>
        <r>
          <rPr>
            <sz val="9"/>
            <color indexed="81"/>
            <rFont val="Tahoma"/>
            <family val="2"/>
          </rPr>
          <t xml:space="preserve"> - L/100 Km; </t>
        </r>
        <r>
          <rPr>
            <b/>
            <sz val="9"/>
            <color indexed="81"/>
            <rFont val="Tahoma"/>
            <family val="2"/>
          </rPr>
          <t>1</t>
        </r>
        <r>
          <rPr>
            <sz val="9"/>
            <color indexed="81"/>
            <rFont val="Tahoma"/>
            <family val="2"/>
          </rPr>
          <t xml:space="preserve"> - MPG
Tested on Mazda 6 GJ</t>
        </r>
      </text>
    </comment>
    <comment ref="W8" authorId="0" shapeId="0" xr:uid="{B53B968A-B7F9-44CC-B0E1-EDFBD7DF8890}">
      <text>
        <r>
          <rPr>
            <b/>
            <sz val="9"/>
            <color indexed="81"/>
            <rFont val="Tahoma"/>
            <family val="2"/>
            <charset val="204"/>
          </rPr>
          <t xml:space="preserve">Low Level Windshield Washer Fluid indicator: </t>
        </r>
        <r>
          <rPr>
            <sz val="9"/>
            <color indexed="81"/>
            <rFont val="Tahoma"/>
            <family val="2"/>
            <charset val="204"/>
          </rPr>
          <t>0 - Disabled / 1 - Enabled</t>
        </r>
      </text>
    </comment>
    <comment ref="AA8" authorId="0" shapeId="0" xr:uid="{E87F6E7E-622C-4FA8-89B4-0503C366131B}">
      <text>
        <r>
          <rPr>
            <b/>
            <sz val="9"/>
            <color indexed="81"/>
            <rFont val="Tahoma"/>
            <family val="2"/>
            <charset val="204"/>
          </rPr>
          <t xml:space="preserve">Passenger seatbelt beeper
(at 20+ kmph when unfastened):
</t>
        </r>
        <r>
          <rPr>
            <sz val="9"/>
            <color indexed="81"/>
            <rFont val="Tahoma"/>
            <family val="2"/>
            <charset val="204"/>
          </rPr>
          <t>0 - Disabled / 1 - Enabled</t>
        </r>
      </text>
    </comment>
    <comment ref="AE8" authorId="0" shapeId="0" xr:uid="{3D0D1215-2672-499A-A07C-F97330C2F766}">
      <text>
        <r>
          <rPr>
            <b/>
            <sz val="9"/>
            <color indexed="81"/>
            <rFont val="Tahoma"/>
            <family val="2"/>
            <charset val="204"/>
          </rPr>
          <t xml:space="preserve">Parking Brake:
</t>
        </r>
        <r>
          <rPr>
            <i/>
            <sz val="8"/>
            <color indexed="81"/>
            <rFont val="Tahoma"/>
            <family val="2"/>
            <charset val="204"/>
          </rPr>
          <t xml:space="preserve">b5b4 - Value
</t>
        </r>
        <r>
          <rPr>
            <b/>
            <sz val="9"/>
            <color indexed="81"/>
            <rFont val="Tahoma"/>
            <family val="2"/>
            <charset val="204"/>
          </rPr>
          <t>10</t>
        </r>
        <r>
          <rPr>
            <sz val="9"/>
            <color indexed="81"/>
            <rFont val="Tahoma"/>
            <family val="2"/>
            <charset val="204"/>
          </rPr>
          <t xml:space="preserve"> - Mechanical
</t>
        </r>
        <r>
          <rPr>
            <b/>
            <sz val="9"/>
            <color indexed="81"/>
            <rFont val="Tahoma"/>
            <family val="2"/>
            <charset val="204"/>
          </rPr>
          <t>11</t>
        </r>
        <r>
          <rPr>
            <sz val="9"/>
            <color indexed="81"/>
            <rFont val="Tahoma"/>
            <family val="2"/>
            <charset val="204"/>
          </rPr>
          <t xml:space="preserve"> - Electric (EPB)</t>
        </r>
      </text>
    </comment>
    <comment ref="S10" authorId="0" shapeId="0" xr:uid="{1D012EDD-E8B4-4D90-BB7E-CA797C2AE102}">
      <text>
        <r>
          <rPr>
            <b/>
            <sz val="9"/>
            <color indexed="81"/>
            <rFont val="Tahoma"/>
            <family val="2"/>
            <charset val="204"/>
          </rPr>
          <t xml:space="preserve">Changes inscriptions in IC;
Activates region-specific functions.
Region code:
</t>
        </r>
        <r>
          <rPr>
            <i/>
            <sz val="8"/>
            <color indexed="81"/>
            <rFont val="Tahoma"/>
            <family val="2"/>
            <charset val="204"/>
          </rPr>
          <t>b3b2b1 - Value</t>
        </r>
        <r>
          <rPr>
            <sz val="9"/>
            <color indexed="81"/>
            <rFont val="Tahoma"/>
            <family val="2"/>
            <charset val="204"/>
          </rPr>
          <t xml:space="preserve">
JMZ (JPN/UK): </t>
        </r>
        <r>
          <rPr>
            <b/>
            <sz val="9"/>
            <color indexed="81"/>
            <rFont val="Tahoma"/>
            <family val="2"/>
            <charset val="204"/>
          </rPr>
          <t xml:space="preserve">000,
</t>
        </r>
        <r>
          <rPr>
            <sz val="9"/>
            <color indexed="81"/>
            <rFont val="Tahoma"/>
            <family val="2"/>
            <charset val="204"/>
          </rPr>
          <t xml:space="preserve">JMZ (EU): </t>
        </r>
        <r>
          <rPr>
            <b/>
            <sz val="9"/>
            <color indexed="81"/>
            <rFont val="Tahoma"/>
            <family val="2"/>
            <charset val="204"/>
          </rPr>
          <t xml:space="preserve">001,
</t>
        </r>
        <r>
          <rPr>
            <sz val="9"/>
            <color indexed="81"/>
            <rFont val="Tahoma"/>
            <family val="2"/>
            <charset val="204"/>
          </rPr>
          <t xml:space="preserve">JM1 (US): </t>
        </r>
        <r>
          <rPr>
            <b/>
            <sz val="9"/>
            <color indexed="81"/>
            <rFont val="Tahoma"/>
            <family val="2"/>
            <charset val="204"/>
          </rPr>
          <t xml:space="preserve">010,
</t>
        </r>
        <r>
          <rPr>
            <sz val="9"/>
            <color indexed="81"/>
            <rFont val="Tahoma"/>
            <family val="2"/>
            <charset val="204"/>
          </rPr>
          <t xml:space="preserve">JM3 (CAN): </t>
        </r>
        <r>
          <rPr>
            <b/>
            <sz val="9"/>
            <color indexed="81"/>
            <rFont val="Tahoma"/>
            <family val="2"/>
            <charset val="204"/>
          </rPr>
          <t xml:space="preserve">011,
</t>
        </r>
        <r>
          <rPr>
            <sz val="9"/>
            <color indexed="81"/>
            <rFont val="Tahoma"/>
            <family val="2"/>
            <charset val="204"/>
          </rPr>
          <t xml:space="preserve">JM0 (AUS): </t>
        </r>
        <r>
          <rPr>
            <b/>
            <sz val="9"/>
            <color indexed="81"/>
            <rFont val="Tahoma"/>
            <family val="2"/>
            <charset val="204"/>
          </rPr>
          <t xml:space="preserve">100,
</t>
        </r>
        <r>
          <rPr>
            <sz val="9"/>
            <color indexed="81"/>
            <rFont val="Tahoma"/>
            <family val="2"/>
            <charset val="204"/>
          </rPr>
          <t xml:space="preserve">JM7 (Asia/S.America): </t>
        </r>
        <r>
          <rPr>
            <b/>
            <sz val="9"/>
            <color indexed="81"/>
            <rFont val="Tahoma"/>
            <family val="2"/>
            <charset val="204"/>
          </rPr>
          <t xml:space="preserve">101,
</t>
        </r>
        <r>
          <rPr>
            <sz val="9"/>
            <color indexed="81"/>
            <rFont val="Tahoma"/>
            <family val="2"/>
            <charset val="204"/>
          </rPr>
          <t xml:space="preserve">(CHN): </t>
        </r>
        <r>
          <rPr>
            <b/>
            <sz val="9"/>
            <color indexed="81"/>
            <rFont val="Tahoma"/>
            <family val="2"/>
            <charset val="204"/>
          </rPr>
          <t xml:space="preserve">110,
</t>
        </r>
        <r>
          <rPr>
            <sz val="9"/>
            <color indexed="81"/>
            <rFont val="Tahoma"/>
            <family val="2"/>
            <charset val="204"/>
          </rPr>
          <t xml:space="preserve">JM7 (Saudi): </t>
        </r>
        <r>
          <rPr>
            <b/>
            <sz val="9"/>
            <color indexed="81"/>
            <rFont val="Tahoma"/>
            <family val="2"/>
            <charset val="204"/>
          </rPr>
          <t>111</t>
        </r>
      </text>
    </comment>
    <comment ref="AA10" authorId="0" shapeId="0" xr:uid="{D0AFDC0E-9514-4B7F-A7E1-D3B59AE701BF}">
      <text>
        <r>
          <rPr>
            <b/>
            <sz val="9"/>
            <color indexed="81"/>
            <rFont val="Tahoma"/>
            <family val="2"/>
            <charset val="204"/>
          </rPr>
          <t xml:space="preserve">Speed Sound Alarm
(Using info button on steering wheel): 
</t>
        </r>
        <r>
          <rPr>
            <sz val="9"/>
            <color indexed="81"/>
            <rFont val="Tahoma"/>
            <family val="2"/>
            <charset val="204"/>
          </rPr>
          <t>0 - Disabled / 1 - Enabled</t>
        </r>
      </text>
    </comment>
    <comment ref="AA11" authorId="1" shapeId="0" xr:uid="{55069863-A8CB-4298-9567-D502D8DEB2D7}">
      <text>
        <r>
          <rPr>
            <b/>
            <u/>
            <sz val="9"/>
            <color indexed="81"/>
            <rFont val="Tahoma"/>
            <family val="2"/>
            <charset val="204"/>
          </rPr>
          <t>BF11=</t>
        </r>
        <r>
          <rPr>
            <b/>
            <sz val="9"/>
            <color indexed="81"/>
            <rFont val="Tahoma"/>
            <family val="2"/>
            <charset val="204"/>
          </rPr>
          <t xml:space="preserve">
</t>
        </r>
        <r>
          <rPr>
            <i/>
            <sz val="9"/>
            <color indexed="81"/>
            <rFont val="Tahoma"/>
            <family val="2"/>
            <charset val="204"/>
          </rPr>
          <t>b2b1- Value:</t>
        </r>
        <r>
          <rPr>
            <b/>
            <sz val="9"/>
            <color indexed="81"/>
            <rFont val="Tahoma"/>
            <family val="2"/>
            <charset val="204"/>
          </rPr>
          <t xml:space="preserve">
00 - </t>
        </r>
        <r>
          <rPr>
            <sz val="9"/>
            <color indexed="81"/>
            <rFont val="Tahoma"/>
            <family val="2"/>
            <charset val="204"/>
          </rPr>
          <t>BF11=000000000000,</t>
        </r>
        <r>
          <rPr>
            <b/>
            <sz val="9"/>
            <color indexed="81"/>
            <rFont val="Tahoma"/>
            <family val="2"/>
            <charset val="204"/>
          </rPr>
          <t xml:space="preserve">
01 - </t>
        </r>
        <r>
          <rPr>
            <sz val="9"/>
            <color indexed="81"/>
            <rFont val="Tahoma"/>
            <family val="2"/>
            <charset val="204"/>
          </rPr>
          <t>BF11&gt;000000000000,</t>
        </r>
        <r>
          <rPr>
            <b/>
            <sz val="9"/>
            <color indexed="81"/>
            <rFont val="Tahoma"/>
            <family val="2"/>
            <charset val="204"/>
          </rPr>
          <t xml:space="preserve">
10 - </t>
        </r>
        <r>
          <rPr>
            <sz val="9"/>
            <color indexed="81"/>
            <rFont val="Tahoma"/>
            <family val="2"/>
            <charset val="204"/>
          </rPr>
          <t>BF11=000000000000 (JP only)</t>
        </r>
      </text>
    </comment>
    <comment ref="AA13" authorId="0" shapeId="0" xr:uid="{F60031D8-B8B7-40D3-9A64-78A0D132258B}">
      <text>
        <r>
          <rPr>
            <b/>
            <sz val="9"/>
            <color indexed="81"/>
            <rFont val="Tahoma"/>
            <family val="2"/>
            <charset val="204"/>
          </rPr>
          <t>Ambient Temperature Warning Alarm (Ice mark and sound alarm when outside temperature is &lt;5°C): 0</t>
        </r>
        <r>
          <rPr>
            <sz val="9"/>
            <color indexed="81"/>
            <rFont val="Tahoma"/>
            <family val="2"/>
            <charset val="204"/>
          </rPr>
          <t xml:space="preserve"> - Disabled / </t>
        </r>
        <r>
          <rPr>
            <b/>
            <sz val="9"/>
            <color indexed="81"/>
            <rFont val="Tahoma"/>
            <family val="2"/>
            <charset val="204"/>
          </rPr>
          <t xml:space="preserve">1 </t>
        </r>
        <r>
          <rPr>
            <sz val="9"/>
            <color indexed="81"/>
            <rFont val="Tahoma"/>
            <family val="2"/>
            <charset val="204"/>
          </rPr>
          <t>- Enabled</t>
        </r>
      </text>
    </comment>
    <comment ref="W17" authorId="1" shapeId="0" xr:uid="{D56D10D6-63A9-4FBE-9EEE-9B7331722885}">
      <text>
        <r>
          <rPr>
            <b/>
            <u/>
            <sz val="9"/>
            <color indexed="81"/>
            <rFont val="Tahoma"/>
            <family val="2"/>
            <charset val="204"/>
          </rPr>
          <t>Fuel Type</t>
        </r>
        <r>
          <rPr>
            <b/>
            <sz val="9"/>
            <color indexed="81"/>
            <rFont val="Tahoma"/>
            <family val="2"/>
            <charset val="204"/>
          </rPr>
          <t xml:space="preserve">
</t>
        </r>
        <r>
          <rPr>
            <i/>
            <sz val="9"/>
            <color indexed="81"/>
            <rFont val="Tahoma"/>
            <family val="2"/>
            <charset val="204"/>
          </rPr>
          <t>b7b6b5b4 - Value:</t>
        </r>
        <r>
          <rPr>
            <b/>
            <sz val="9"/>
            <color indexed="81"/>
            <rFont val="Tahoma"/>
            <family val="2"/>
            <charset val="204"/>
          </rPr>
          <t xml:space="preserve">
00= </t>
        </r>
        <r>
          <rPr>
            <sz val="9"/>
            <color indexed="81"/>
            <rFont val="Tahoma"/>
            <family val="2"/>
            <charset val="204"/>
          </rPr>
          <t>P;</t>
        </r>
        <r>
          <rPr>
            <b/>
            <sz val="9"/>
            <color indexed="81"/>
            <rFont val="Tahoma"/>
            <family val="2"/>
            <charset val="204"/>
          </rPr>
          <t xml:space="preserve">
01= </t>
        </r>
        <r>
          <rPr>
            <sz val="9"/>
            <color indexed="81"/>
            <rFont val="Tahoma"/>
            <family val="2"/>
            <charset val="204"/>
          </rPr>
          <t>D;</t>
        </r>
        <r>
          <rPr>
            <b/>
            <sz val="9"/>
            <color indexed="81"/>
            <rFont val="Tahoma"/>
            <family val="2"/>
            <charset val="204"/>
          </rPr>
          <t xml:space="preserve">
10= </t>
        </r>
        <r>
          <rPr>
            <sz val="9"/>
            <color indexed="81"/>
            <rFont val="Tahoma"/>
            <family val="2"/>
            <charset val="204"/>
          </rPr>
          <t>P;</t>
        </r>
        <r>
          <rPr>
            <b/>
            <sz val="9"/>
            <color indexed="81"/>
            <rFont val="Tahoma"/>
            <family val="2"/>
            <charset val="204"/>
          </rPr>
          <t xml:space="preserve">
11= </t>
        </r>
        <r>
          <rPr>
            <sz val="9"/>
            <color indexed="81"/>
            <rFont val="Tahoma"/>
            <family val="2"/>
            <charset val="204"/>
          </rPr>
          <t>P</t>
        </r>
      </text>
    </comment>
    <comment ref="W105" authorId="0" shapeId="0" xr:uid="{57E6A76F-7F11-403B-9A07-CA7CE824300B}">
      <text>
        <r>
          <rPr>
            <b/>
            <sz val="9"/>
            <color indexed="81"/>
            <rFont val="Tahoma"/>
            <family val="2"/>
            <charset val="204"/>
          </rPr>
          <t>SBS Volume:</t>
        </r>
        <r>
          <rPr>
            <sz val="9"/>
            <color indexed="81"/>
            <rFont val="Tahoma"/>
            <family val="2"/>
            <charset val="204"/>
          </rPr>
          <t xml:space="preserve">
</t>
        </r>
        <r>
          <rPr>
            <i/>
            <sz val="8"/>
            <color indexed="81"/>
            <rFont val="Tahoma"/>
            <family val="2"/>
            <charset val="204"/>
          </rPr>
          <t>b7b6 -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NA
</t>
        </r>
        <r>
          <rPr>
            <b/>
            <sz val="9"/>
            <color indexed="81"/>
            <rFont val="Tahoma"/>
            <family val="2"/>
            <charset val="204"/>
          </rPr>
          <t>01</t>
        </r>
        <r>
          <rPr>
            <sz val="9"/>
            <color indexed="81"/>
            <rFont val="Tahoma"/>
            <family val="2"/>
            <charset val="204"/>
          </rPr>
          <t xml:space="preserve"> - Off
</t>
        </r>
        <r>
          <rPr>
            <b/>
            <sz val="9"/>
            <color indexed="81"/>
            <rFont val="Tahoma"/>
            <family val="2"/>
            <charset val="204"/>
          </rPr>
          <t>10</t>
        </r>
        <r>
          <rPr>
            <sz val="9"/>
            <color indexed="81"/>
            <rFont val="Tahoma"/>
            <family val="2"/>
            <charset val="204"/>
          </rPr>
          <t xml:space="preserve"> - Low
</t>
        </r>
        <r>
          <rPr>
            <b/>
            <sz val="9"/>
            <color indexed="81"/>
            <rFont val="Tahoma"/>
            <family val="2"/>
            <charset val="204"/>
          </rPr>
          <t>11</t>
        </r>
        <r>
          <rPr>
            <sz val="9"/>
            <color indexed="81"/>
            <rFont val="Tahoma"/>
            <family val="2"/>
            <charset val="204"/>
          </rPr>
          <t xml:space="preserve"> - High
</t>
        </r>
      </text>
    </comment>
    <comment ref="AA105" authorId="0" shapeId="0" xr:uid="{15DBDF61-D21B-4300-864F-4A05D8E0EC63}">
      <text>
        <r>
          <rPr>
            <b/>
            <sz val="9"/>
            <color indexed="81"/>
            <rFont val="Tahoma"/>
            <family val="2"/>
            <charset val="204"/>
          </rPr>
          <t>Adaptive headligts (AFS):</t>
        </r>
        <r>
          <rPr>
            <sz val="9"/>
            <color indexed="81"/>
            <rFont val="Tahoma"/>
            <family val="2"/>
            <charset val="204"/>
          </rPr>
          <t xml:space="preserve">
</t>
        </r>
        <r>
          <rPr>
            <i/>
            <sz val="8"/>
            <color indexed="81"/>
            <rFont val="Tahoma"/>
            <family val="2"/>
            <charset val="204"/>
          </rPr>
          <t>b7b6 - Value</t>
        </r>
        <r>
          <rPr>
            <sz val="9"/>
            <color indexed="81"/>
            <rFont val="Tahoma"/>
            <family val="2"/>
            <charset val="204"/>
          </rPr>
          <t xml:space="preserve">
</t>
        </r>
        <r>
          <rPr>
            <b/>
            <sz val="9"/>
            <color indexed="81"/>
            <rFont val="Tahoma"/>
            <family val="2"/>
            <charset val="204"/>
          </rPr>
          <t>10</t>
        </r>
        <r>
          <rPr>
            <sz val="9"/>
            <color indexed="81"/>
            <rFont val="Tahoma"/>
            <family val="2"/>
            <charset val="204"/>
          </rPr>
          <t xml:space="preserve"> - On 
</t>
        </r>
        <r>
          <rPr>
            <b/>
            <sz val="9"/>
            <color indexed="81"/>
            <rFont val="Tahoma"/>
            <family val="2"/>
            <charset val="204"/>
          </rPr>
          <t>01</t>
        </r>
        <r>
          <rPr>
            <sz val="9"/>
            <color indexed="81"/>
            <rFont val="Tahoma"/>
            <family val="2"/>
            <charset val="204"/>
          </rPr>
          <t xml:space="preserve"> - Off</t>
        </r>
      </text>
    </comment>
    <comment ref="S107" authorId="0" shapeId="0" xr:uid="{4E8D2DFA-0780-4649-A399-243CD4424301}">
      <text>
        <r>
          <rPr>
            <b/>
            <sz val="9"/>
            <color indexed="81"/>
            <rFont val="Tahoma"/>
            <family val="2"/>
            <charset val="204"/>
          </rPr>
          <t xml:space="preserve">Lighting - Light On Vol:
</t>
        </r>
        <r>
          <rPr>
            <i/>
            <sz val="8"/>
            <color indexed="81"/>
            <rFont val="Tahoma"/>
            <family val="2"/>
            <charset val="204"/>
          </rPr>
          <t>b5b4 - Value</t>
        </r>
        <r>
          <rPr>
            <b/>
            <sz val="9"/>
            <color indexed="81"/>
            <rFont val="Tahoma"/>
            <family val="2"/>
            <charset val="204"/>
          </rPr>
          <t xml:space="preserve">
00</t>
        </r>
        <r>
          <rPr>
            <sz val="9"/>
            <color indexed="81"/>
            <rFont val="Tahoma"/>
            <family val="2"/>
            <charset val="204"/>
          </rPr>
          <t xml:space="preserve"> - NA</t>
        </r>
        <r>
          <rPr>
            <b/>
            <sz val="9"/>
            <color indexed="81"/>
            <rFont val="Tahoma"/>
            <family val="2"/>
            <charset val="204"/>
          </rPr>
          <t xml:space="preserve">
01</t>
        </r>
        <r>
          <rPr>
            <sz val="9"/>
            <color indexed="81"/>
            <rFont val="Tahoma"/>
            <family val="2"/>
            <charset val="204"/>
          </rPr>
          <t xml:space="preserve"> - Off</t>
        </r>
        <r>
          <rPr>
            <b/>
            <sz val="9"/>
            <color indexed="81"/>
            <rFont val="Tahoma"/>
            <family val="2"/>
            <charset val="204"/>
          </rPr>
          <t xml:space="preserve">
10</t>
        </r>
        <r>
          <rPr>
            <sz val="9"/>
            <color indexed="81"/>
            <rFont val="Tahoma"/>
            <family val="2"/>
            <charset val="204"/>
          </rPr>
          <t xml:space="preserve"> - Low</t>
        </r>
        <r>
          <rPr>
            <b/>
            <sz val="9"/>
            <color indexed="81"/>
            <rFont val="Tahoma"/>
            <family val="2"/>
            <charset val="204"/>
          </rPr>
          <t xml:space="preserve">
11</t>
        </r>
        <r>
          <rPr>
            <sz val="9"/>
            <color indexed="81"/>
            <rFont val="Tahoma"/>
            <family val="2"/>
            <charset val="204"/>
          </rPr>
          <t xml:space="preserve"> - High</t>
        </r>
      </text>
    </comment>
    <comment ref="W107" authorId="0" shapeId="0" xr:uid="{210008CE-3ABD-46E6-ADAB-E83945CC06F9}">
      <text>
        <r>
          <rPr>
            <b/>
            <sz val="9"/>
            <color indexed="81"/>
            <rFont val="Tahoma"/>
            <family val="2"/>
            <charset val="204"/>
          </rPr>
          <t>RVM Volume:</t>
        </r>
        <r>
          <rPr>
            <sz val="9"/>
            <color indexed="81"/>
            <rFont val="Tahoma"/>
            <family val="2"/>
            <charset val="204"/>
          </rPr>
          <t xml:space="preserve">
</t>
        </r>
        <r>
          <rPr>
            <i/>
            <sz val="8"/>
            <color indexed="81"/>
            <rFont val="Tahoma"/>
            <family val="2"/>
            <charset val="204"/>
          </rPr>
          <t>b5b4 -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NA
</t>
        </r>
        <r>
          <rPr>
            <b/>
            <sz val="9"/>
            <color indexed="81"/>
            <rFont val="Tahoma"/>
            <family val="2"/>
            <charset val="204"/>
          </rPr>
          <t>01</t>
        </r>
        <r>
          <rPr>
            <sz val="9"/>
            <color indexed="81"/>
            <rFont val="Tahoma"/>
            <family val="2"/>
            <charset val="204"/>
          </rPr>
          <t xml:space="preserve"> - Off
</t>
        </r>
        <r>
          <rPr>
            <b/>
            <sz val="9"/>
            <color indexed="81"/>
            <rFont val="Tahoma"/>
            <family val="2"/>
            <charset val="204"/>
          </rPr>
          <t>10</t>
        </r>
        <r>
          <rPr>
            <sz val="9"/>
            <color indexed="81"/>
            <rFont val="Tahoma"/>
            <family val="2"/>
            <charset val="204"/>
          </rPr>
          <t xml:space="preserve"> - Low
</t>
        </r>
        <r>
          <rPr>
            <b/>
            <sz val="9"/>
            <color indexed="81"/>
            <rFont val="Tahoma"/>
            <family val="2"/>
            <charset val="204"/>
          </rPr>
          <t>11</t>
        </r>
        <r>
          <rPr>
            <sz val="9"/>
            <color indexed="81"/>
            <rFont val="Tahoma"/>
            <family val="2"/>
            <charset val="204"/>
          </rPr>
          <t xml:space="preserve"> - High</t>
        </r>
      </text>
    </comment>
    <comment ref="AA107" authorId="0" shapeId="0" xr:uid="{4FF88D62-0B82-4751-BBC9-D57D833DD2CD}">
      <text>
        <r>
          <rPr>
            <b/>
            <sz val="9"/>
            <color indexed="81"/>
            <rFont val="Tahoma"/>
            <family val="2"/>
            <charset val="204"/>
          </rPr>
          <t>Sync Average and Trip A:</t>
        </r>
        <r>
          <rPr>
            <sz val="9"/>
            <color indexed="81"/>
            <rFont val="Tahoma"/>
            <family val="2"/>
            <charset val="204"/>
          </rPr>
          <t xml:space="preserve">
</t>
        </r>
        <r>
          <rPr>
            <i/>
            <sz val="8"/>
            <color indexed="81"/>
            <rFont val="Tahoma"/>
            <family val="2"/>
            <charset val="204"/>
          </rPr>
          <t>b5b4 -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NA
</t>
        </r>
        <r>
          <rPr>
            <b/>
            <sz val="9"/>
            <color indexed="81"/>
            <rFont val="Tahoma"/>
            <family val="2"/>
            <charset val="204"/>
          </rPr>
          <t>01</t>
        </r>
        <r>
          <rPr>
            <sz val="9"/>
            <color indexed="81"/>
            <rFont val="Tahoma"/>
            <family val="2"/>
            <charset val="204"/>
          </rPr>
          <t xml:space="preserve"> - Off
</t>
        </r>
        <r>
          <rPr>
            <b/>
            <sz val="9"/>
            <color indexed="81"/>
            <rFont val="Tahoma"/>
            <family val="2"/>
            <charset val="204"/>
          </rPr>
          <t>10</t>
        </r>
        <r>
          <rPr>
            <sz val="9"/>
            <color indexed="81"/>
            <rFont val="Tahoma"/>
            <family val="2"/>
            <charset val="204"/>
          </rPr>
          <t xml:space="preserve"> - On</t>
        </r>
      </text>
    </comment>
    <comment ref="S109" authorId="0" shapeId="0" xr:uid="{AABB1FAB-14A2-45E2-A794-521369304896}">
      <text>
        <r>
          <rPr>
            <b/>
            <sz val="9"/>
            <color indexed="81"/>
            <rFont val="Tahoma"/>
            <family val="2"/>
            <charset val="204"/>
          </rPr>
          <t xml:space="preserve">LDWS/LAS Warning type:
</t>
        </r>
        <r>
          <rPr>
            <i/>
            <sz val="8"/>
            <color indexed="81"/>
            <rFont val="Tahoma"/>
            <family val="2"/>
            <charset val="204"/>
          </rPr>
          <t>b3b2 - Value</t>
        </r>
        <r>
          <rPr>
            <b/>
            <sz val="9"/>
            <color indexed="81"/>
            <rFont val="Tahoma"/>
            <family val="2"/>
            <charset val="204"/>
          </rPr>
          <t xml:space="preserve">
00</t>
        </r>
        <r>
          <rPr>
            <sz val="9"/>
            <color indexed="81"/>
            <rFont val="Tahoma"/>
            <family val="2"/>
            <charset val="204"/>
          </rPr>
          <t xml:space="preserve"> - Beep </t>
        </r>
        <r>
          <rPr>
            <b/>
            <sz val="9"/>
            <color indexed="81"/>
            <rFont val="Tahoma"/>
            <family val="2"/>
            <charset val="204"/>
          </rPr>
          <t xml:space="preserve">
10</t>
        </r>
        <r>
          <rPr>
            <sz val="9"/>
            <color indexed="81"/>
            <rFont val="Tahoma"/>
            <family val="2"/>
            <charset val="204"/>
          </rPr>
          <t xml:space="preserve"> - Rumble </t>
        </r>
        <r>
          <rPr>
            <b/>
            <sz val="9"/>
            <color indexed="81"/>
            <rFont val="Tahoma"/>
            <family val="2"/>
            <charset val="204"/>
          </rPr>
          <t xml:space="preserve">
11</t>
        </r>
        <r>
          <rPr>
            <sz val="9"/>
            <color indexed="81"/>
            <rFont val="Tahoma"/>
            <family val="2"/>
            <charset val="204"/>
          </rPr>
          <t xml:space="preserve"> - Vibration (LAS only)</t>
        </r>
      </text>
    </comment>
    <comment ref="W109" authorId="0" shapeId="0" xr:uid="{A07575B5-3CCA-4972-9FA7-F724C464E1FE}">
      <text>
        <r>
          <rPr>
            <b/>
            <sz val="9"/>
            <color indexed="81"/>
            <rFont val="Tahoma"/>
            <family val="2"/>
            <charset val="204"/>
          </rPr>
          <t>LDWS Volume:</t>
        </r>
        <r>
          <rPr>
            <sz val="9"/>
            <color indexed="81"/>
            <rFont val="Tahoma"/>
            <family val="2"/>
            <charset val="204"/>
          </rPr>
          <t xml:space="preserve">
</t>
        </r>
        <r>
          <rPr>
            <i/>
            <sz val="8"/>
            <color indexed="81"/>
            <rFont val="Tahoma"/>
            <family val="2"/>
            <charset val="204"/>
          </rPr>
          <t>b3b2 -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NA
</t>
        </r>
        <r>
          <rPr>
            <b/>
            <sz val="9"/>
            <color indexed="81"/>
            <rFont val="Tahoma"/>
            <family val="2"/>
            <charset val="204"/>
          </rPr>
          <t>01</t>
        </r>
        <r>
          <rPr>
            <sz val="9"/>
            <color indexed="81"/>
            <rFont val="Tahoma"/>
            <family val="2"/>
            <charset val="204"/>
          </rPr>
          <t xml:space="preserve"> - Volume 1
</t>
        </r>
        <r>
          <rPr>
            <b/>
            <sz val="9"/>
            <color indexed="81"/>
            <rFont val="Tahoma"/>
            <family val="2"/>
            <charset val="204"/>
          </rPr>
          <t>10</t>
        </r>
        <r>
          <rPr>
            <sz val="9"/>
            <color indexed="81"/>
            <rFont val="Tahoma"/>
            <family val="2"/>
            <charset val="204"/>
          </rPr>
          <t xml:space="preserve"> - Volume 2
</t>
        </r>
        <r>
          <rPr>
            <b/>
            <sz val="9"/>
            <color indexed="81"/>
            <rFont val="Tahoma"/>
            <family val="2"/>
            <charset val="204"/>
          </rPr>
          <t>11</t>
        </r>
        <r>
          <rPr>
            <sz val="9"/>
            <color indexed="81"/>
            <rFont val="Tahoma"/>
            <family val="2"/>
            <charset val="204"/>
          </rPr>
          <t xml:space="preserve"> - Volume 3</t>
        </r>
      </text>
    </comment>
    <comment ref="S111" authorId="0" shapeId="0" xr:uid="{0DA4B190-6B0D-4E42-A4A0-1B23D5A24EF2}">
      <text>
        <r>
          <rPr>
            <b/>
            <sz val="9"/>
            <color indexed="81"/>
            <rFont val="Tahoma"/>
            <family val="2"/>
            <charset val="204"/>
          </rPr>
          <t>Turn - Indicator Volume:</t>
        </r>
        <r>
          <rPr>
            <sz val="9"/>
            <color indexed="81"/>
            <rFont val="Tahoma"/>
            <family val="2"/>
            <charset val="204"/>
          </rPr>
          <t xml:space="preserve">
</t>
        </r>
        <r>
          <rPr>
            <i/>
            <sz val="8"/>
            <color indexed="81"/>
            <rFont val="Tahoma"/>
            <family val="2"/>
            <charset val="204"/>
          </rPr>
          <t>b1b0 -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NA
</t>
        </r>
        <r>
          <rPr>
            <b/>
            <sz val="9"/>
            <color indexed="81"/>
            <rFont val="Tahoma"/>
            <family val="2"/>
            <charset val="204"/>
          </rPr>
          <t>01</t>
        </r>
        <r>
          <rPr>
            <sz val="9"/>
            <color indexed="81"/>
            <rFont val="Tahoma"/>
            <family val="2"/>
            <charset val="204"/>
          </rPr>
          <t xml:space="preserve"> - Low
</t>
        </r>
        <r>
          <rPr>
            <b/>
            <sz val="9"/>
            <color indexed="81"/>
            <rFont val="Tahoma"/>
            <family val="2"/>
            <charset val="204"/>
          </rPr>
          <t>10</t>
        </r>
        <r>
          <rPr>
            <sz val="9"/>
            <color indexed="81"/>
            <rFont val="Tahoma"/>
            <family val="2"/>
            <charset val="204"/>
          </rPr>
          <t xml:space="preserve"> - High</t>
        </r>
      </text>
    </comment>
    <comment ref="W111" authorId="0" shapeId="0" xr:uid="{864CDAD4-9D75-458E-8B00-DE64D02F29F6}">
      <text>
        <r>
          <rPr>
            <b/>
            <sz val="9"/>
            <color indexed="81"/>
            <rFont val="Tahoma"/>
            <family val="2"/>
            <charset val="204"/>
          </rPr>
          <t xml:space="preserve">BSM Volume:
</t>
        </r>
        <r>
          <rPr>
            <i/>
            <sz val="8"/>
            <color indexed="81"/>
            <rFont val="Tahoma"/>
            <family val="2"/>
            <charset val="204"/>
          </rPr>
          <t>b1b0 - Value</t>
        </r>
        <r>
          <rPr>
            <b/>
            <sz val="9"/>
            <color indexed="81"/>
            <rFont val="Tahoma"/>
            <family val="2"/>
            <charset val="204"/>
          </rPr>
          <t xml:space="preserve">
00</t>
        </r>
        <r>
          <rPr>
            <sz val="9"/>
            <color indexed="81"/>
            <rFont val="Tahoma"/>
            <family val="2"/>
            <charset val="204"/>
          </rPr>
          <t xml:space="preserve"> - NA</t>
        </r>
        <r>
          <rPr>
            <b/>
            <sz val="9"/>
            <color indexed="81"/>
            <rFont val="Tahoma"/>
            <family val="2"/>
            <charset val="204"/>
          </rPr>
          <t xml:space="preserve">
01</t>
        </r>
        <r>
          <rPr>
            <sz val="9"/>
            <color indexed="81"/>
            <rFont val="Tahoma"/>
            <family val="2"/>
            <charset val="204"/>
          </rPr>
          <t xml:space="preserve"> - Off</t>
        </r>
        <r>
          <rPr>
            <b/>
            <sz val="9"/>
            <color indexed="81"/>
            <rFont val="Tahoma"/>
            <family val="2"/>
            <charset val="204"/>
          </rPr>
          <t xml:space="preserve">
10</t>
        </r>
        <r>
          <rPr>
            <sz val="9"/>
            <color indexed="81"/>
            <rFont val="Tahoma"/>
            <family val="2"/>
            <charset val="204"/>
          </rPr>
          <t xml:space="preserve"> - Low</t>
        </r>
        <r>
          <rPr>
            <b/>
            <sz val="9"/>
            <color indexed="81"/>
            <rFont val="Tahoma"/>
            <family val="2"/>
            <charset val="204"/>
          </rPr>
          <t xml:space="preserve">
11</t>
        </r>
        <r>
          <rPr>
            <sz val="9"/>
            <color indexed="81"/>
            <rFont val="Tahoma"/>
            <family val="2"/>
            <charset val="204"/>
          </rPr>
          <t xml:space="preserve"> - High</t>
        </r>
      </text>
    </comment>
    <comment ref="AE195" authorId="0" shapeId="0" xr:uid="{9D881E2C-C09F-43F2-8686-7B7374BFDD0E}">
      <text>
        <r>
          <rPr>
            <b/>
            <sz val="9"/>
            <color indexed="81"/>
            <rFont val="Tahoma"/>
            <family val="2"/>
            <charset val="204"/>
          </rPr>
          <t xml:space="preserve">CMU - Test Screen - 95
Steering Wheel Location:
</t>
        </r>
        <r>
          <rPr>
            <i/>
            <sz val="8"/>
            <color indexed="81"/>
            <rFont val="Tahoma"/>
            <family val="2"/>
          </rPr>
          <t>b5b4 - Value</t>
        </r>
        <r>
          <rPr>
            <b/>
            <sz val="9"/>
            <color indexed="81"/>
            <rFont val="Tahoma"/>
            <family val="2"/>
            <charset val="204"/>
          </rPr>
          <t xml:space="preserve">
01</t>
        </r>
        <r>
          <rPr>
            <sz val="9"/>
            <color indexed="81"/>
            <rFont val="Tahoma"/>
            <family val="2"/>
          </rPr>
          <t xml:space="preserve"> - Left Hand Drive</t>
        </r>
        <r>
          <rPr>
            <b/>
            <sz val="9"/>
            <color indexed="81"/>
            <rFont val="Tahoma"/>
            <family val="2"/>
            <charset val="204"/>
          </rPr>
          <t xml:space="preserve">
10</t>
        </r>
        <r>
          <rPr>
            <sz val="9"/>
            <color indexed="81"/>
            <rFont val="Tahoma"/>
            <family val="2"/>
          </rPr>
          <t xml:space="preserve"> - Right Hand Drive</t>
        </r>
      </text>
    </comment>
    <comment ref="AE198" authorId="0" shapeId="0" xr:uid="{5F7E046B-B003-4667-9039-5FE0B1DE3B78}">
      <text>
        <r>
          <rPr>
            <b/>
            <sz val="9"/>
            <color indexed="81"/>
            <rFont val="Tahoma"/>
            <family val="2"/>
            <charset val="204"/>
          </rPr>
          <t>TCM:</t>
        </r>
        <r>
          <rPr>
            <sz val="9"/>
            <color indexed="81"/>
            <rFont val="Tahoma"/>
            <family val="2"/>
            <charset val="204"/>
          </rPr>
          <t xml:space="preserve">
</t>
        </r>
        <r>
          <rPr>
            <i/>
            <sz val="8"/>
            <color indexed="81"/>
            <rFont val="Tahoma"/>
            <family val="2"/>
            <charset val="204"/>
          </rPr>
          <t>b2b1 - Value</t>
        </r>
        <r>
          <rPr>
            <sz val="9"/>
            <color indexed="81"/>
            <rFont val="Tahoma"/>
            <family val="2"/>
            <charset val="204"/>
          </rPr>
          <t xml:space="preserve">
</t>
        </r>
        <r>
          <rPr>
            <b/>
            <sz val="9"/>
            <color indexed="81"/>
            <rFont val="Tahoma"/>
            <family val="2"/>
            <charset val="204"/>
          </rPr>
          <t>01</t>
        </r>
        <r>
          <rPr>
            <sz val="9"/>
            <color indexed="81"/>
            <rFont val="Tahoma"/>
            <family val="2"/>
            <charset val="204"/>
          </rPr>
          <t xml:space="preserve"> - Manual
</t>
        </r>
        <r>
          <rPr>
            <b/>
            <sz val="9"/>
            <color indexed="81"/>
            <rFont val="Tahoma"/>
            <family val="2"/>
            <charset val="204"/>
          </rPr>
          <t>10</t>
        </r>
        <r>
          <rPr>
            <sz val="9"/>
            <color indexed="81"/>
            <rFont val="Tahoma"/>
            <family val="2"/>
            <charset val="204"/>
          </rPr>
          <t xml:space="preserve"> - Auto</t>
        </r>
      </text>
    </comment>
    <comment ref="AA199" authorId="0" shapeId="0" xr:uid="{EA9CEEED-126D-46D6-B486-BF0FEB7532BD}">
      <text>
        <r>
          <rPr>
            <b/>
            <sz val="9"/>
            <color indexed="81"/>
            <rFont val="Tahoma"/>
            <family val="2"/>
          </rPr>
          <t xml:space="preserve">CMU - Test Screen - 95
Body Style:
</t>
        </r>
        <r>
          <rPr>
            <i/>
            <sz val="8"/>
            <color indexed="81"/>
            <rFont val="Tahoma"/>
            <family val="2"/>
          </rPr>
          <t>b1b0 - Value</t>
        </r>
        <r>
          <rPr>
            <b/>
            <sz val="9"/>
            <color indexed="81"/>
            <rFont val="Tahoma"/>
            <family val="2"/>
          </rPr>
          <t xml:space="preserve">
00 - </t>
        </r>
        <r>
          <rPr>
            <sz val="9"/>
            <color indexed="81"/>
            <rFont val="Tahoma"/>
            <family val="2"/>
          </rPr>
          <t>4SD</t>
        </r>
        <r>
          <rPr>
            <b/>
            <sz val="9"/>
            <color indexed="81"/>
            <rFont val="Tahoma"/>
            <family val="2"/>
          </rPr>
          <t xml:space="preserve">
01 - </t>
        </r>
        <r>
          <rPr>
            <sz val="9"/>
            <color indexed="81"/>
            <rFont val="Tahoma"/>
            <family val="2"/>
          </rPr>
          <t>5HB</t>
        </r>
        <r>
          <rPr>
            <b/>
            <sz val="9"/>
            <color indexed="81"/>
            <rFont val="Tahoma"/>
            <family val="2"/>
          </rPr>
          <t xml:space="preserve">
10 - </t>
        </r>
        <r>
          <rPr>
            <sz val="9"/>
            <color indexed="81"/>
            <rFont val="Tahoma"/>
            <family val="2"/>
          </rPr>
          <t>??? (MX-5 only)</t>
        </r>
      </text>
    </comment>
    <comment ref="AI203" authorId="0" shapeId="0" xr:uid="{FFC25ECB-194D-42D7-8C73-F95E907D89D2}">
      <text>
        <r>
          <rPr>
            <sz val="9"/>
            <color indexed="81"/>
            <rFont val="Tahoma"/>
            <family val="2"/>
          </rPr>
          <t>If you changed wheel size and your car's speedometer reports incorrect speed comparing to GPS</t>
        </r>
      </text>
    </comment>
    <comment ref="W214" authorId="0" shapeId="0" xr:uid="{E01DDA2D-7137-4920-B3AF-57FC8EEFE896}">
      <text>
        <r>
          <rPr>
            <b/>
            <sz val="9"/>
            <color indexed="81"/>
            <rFont val="Tahoma"/>
            <family val="2"/>
          </rPr>
          <t>(Do not change anything below)</t>
        </r>
      </text>
    </comment>
    <comment ref="S226" authorId="0" shapeId="0" xr:uid="{8C7FE9D0-2F34-4C34-A156-8DD26090629B}">
      <text>
        <r>
          <rPr>
            <b/>
            <sz val="9"/>
            <color indexed="81"/>
            <rFont val="Tahoma"/>
            <family val="2"/>
            <charset val="204"/>
          </rPr>
          <t xml:space="preserve">CMU - Test Screen - 95
Destination:
</t>
        </r>
        <r>
          <rPr>
            <i/>
            <sz val="8"/>
            <color indexed="81"/>
            <rFont val="Tahoma"/>
            <family val="2"/>
          </rPr>
          <t>HEX - b7b6b5b4b3b2b1b0 - Value</t>
        </r>
        <r>
          <rPr>
            <b/>
            <sz val="9"/>
            <color indexed="81"/>
            <rFont val="Tahoma"/>
            <family val="2"/>
            <charset val="204"/>
          </rPr>
          <t xml:space="preserve">
11 - 00010001 - </t>
        </r>
        <r>
          <rPr>
            <sz val="9"/>
            <color indexed="81"/>
            <rFont val="Tahoma"/>
            <family val="2"/>
          </rPr>
          <t>Japan</t>
        </r>
        <r>
          <rPr>
            <b/>
            <sz val="9"/>
            <color indexed="81"/>
            <rFont val="Tahoma"/>
            <family val="2"/>
            <charset val="204"/>
          </rPr>
          <t xml:space="preserve">
14 - 00010100 - </t>
        </r>
        <r>
          <rPr>
            <sz val="9"/>
            <color indexed="81"/>
            <rFont val="Tahoma"/>
            <family val="2"/>
          </rPr>
          <t>Japan</t>
        </r>
        <r>
          <rPr>
            <b/>
            <sz val="9"/>
            <color indexed="81"/>
            <rFont val="Tahoma"/>
            <family val="2"/>
            <charset val="204"/>
          </rPr>
          <t xml:space="preserve">
21 - 00100001 - </t>
        </r>
        <r>
          <rPr>
            <sz val="9"/>
            <color indexed="81"/>
            <rFont val="Tahoma"/>
            <family val="2"/>
          </rPr>
          <t>North America</t>
        </r>
        <r>
          <rPr>
            <b/>
            <sz val="9"/>
            <color indexed="81"/>
            <rFont val="Tahoma"/>
            <family val="2"/>
            <charset val="204"/>
          </rPr>
          <t xml:space="preserve">
24 - 00100100 - </t>
        </r>
        <r>
          <rPr>
            <sz val="9"/>
            <color indexed="81"/>
            <rFont val="Tahoma"/>
            <family val="2"/>
          </rPr>
          <t>North America 4WD</t>
        </r>
        <r>
          <rPr>
            <b/>
            <sz val="9"/>
            <color indexed="81"/>
            <rFont val="Tahoma"/>
            <family val="2"/>
            <charset val="204"/>
          </rPr>
          <t xml:space="preserve">
31 - 00110001 - </t>
        </r>
        <r>
          <rPr>
            <sz val="9"/>
            <color indexed="81"/>
            <rFont val="Tahoma"/>
            <family val="2"/>
          </rPr>
          <t>EU</t>
        </r>
        <r>
          <rPr>
            <b/>
            <sz val="9"/>
            <color indexed="81"/>
            <rFont val="Tahoma"/>
            <family val="2"/>
            <charset val="204"/>
          </rPr>
          <t xml:space="preserve">
34 - 00110100 - </t>
        </r>
        <r>
          <rPr>
            <sz val="9"/>
            <color indexed="81"/>
            <rFont val="Tahoma"/>
            <family val="2"/>
          </rPr>
          <t>EU 4WD</t>
        </r>
        <r>
          <rPr>
            <b/>
            <sz val="9"/>
            <color indexed="81"/>
            <rFont val="Tahoma"/>
            <family val="2"/>
            <charset val="204"/>
          </rPr>
          <t xml:space="preserve">
41 - 01000001 - </t>
        </r>
        <r>
          <rPr>
            <sz val="9"/>
            <color indexed="81"/>
            <rFont val="Tahoma"/>
            <family val="2"/>
          </rPr>
          <t>UK w/TPMS</t>
        </r>
        <r>
          <rPr>
            <b/>
            <sz val="9"/>
            <color indexed="81"/>
            <rFont val="Tahoma"/>
            <family val="2"/>
            <charset val="204"/>
          </rPr>
          <t xml:space="preserve">
44 - 01000100 - </t>
        </r>
        <r>
          <rPr>
            <sz val="9"/>
            <color indexed="81"/>
            <rFont val="Tahoma"/>
            <family val="2"/>
          </rPr>
          <t>UK w/TPMS 4WD</t>
        </r>
        <r>
          <rPr>
            <b/>
            <sz val="9"/>
            <color indexed="81"/>
            <rFont val="Tahoma"/>
            <family val="2"/>
            <charset val="204"/>
          </rPr>
          <t xml:space="preserve">
51 - 01010001 - </t>
        </r>
        <r>
          <rPr>
            <sz val="9"/>
            <color indexed="81"/>
            <rFont val="Tahoma"/>
            <family val="2"/>
          </rPr>
          <t>ADR</t>
        </r>
        <r>
          <rPr>
            <b/>
            <sz val="9"/>
            <color indexed="81"/>
            <rFont val="Tahoma"/>
            <family val="2"/>
            <charset val="204"/>
          </rPr>
          <t xml:space="preserve">
54 - 01010100 -</t>
        </r>
        <r>
          <rPr>
            <sz val="9"/>
            <color indexed="81"/>
            <rFont val="Tahoma"/>
            <family val="2"/>
          </rPr>
          <t xml:space="preserve"> ADR 4WD</t>
        </r>
        <r>
          <rPr>
            <b/>
            <sz val="9"/>
            <color indexed="81"/>
            <rFont val="Tahoma"/>
            <family val="2"/>
            <charset val="204"/>
          </rPr>
          <t xml:space="preserve">
61 - 01100001 - </t>
        </r>
        <r>
          <rPr>
            <sz val="9"/>
            <color indexed="81"/>
            <rFont val="Tahoma"/>
            <family val="2"/>
          </rPr>
          <t>GNRL_RHD</t>
        </r>
        <r>
          <rPr>
            <b/>
            <sz val="9"/>
            <color indexed="81"/>
            <rFont val="Tahoma"/>
            <family val="2"/>
            <charset val="204"/>
          </rPr>
          <t xml:space="preserve">
64 - 01100100 - </t>
        </r>
        <r>
          <rPr>
            <sz val="9"/>
            <color indexed="81"/>
            <rFont val="Tahoma"/>
            <family val="2"/>
          </rPr>
          <t>GNRL_RHD 4WD</t>
        </r>
        <r>
          <rPr>
            <b/>
            <sz val="9"/>
            <color indexed="81"/>
            <rFont val="Tahoma"/>
            <family val="2"/>
            <charset val="204"/>
          </rPr>
          <t xml:space="preserve">
71 - 01110001 - </t>
        </r>
        <r>
          <rPr>
            <sz val="9"/>
            <color indexed="81"/>
            <rFont val="Tahoma"/>
            <family val="2"/>
          </rPr>
          <t>GNRL_LHD</t>
        </r>
        <r>
          <rPr>
            <b/>
            <sz val="9"/>
            <color indexed="81"/>
            <rFont val="Tahoma"/>
            <family val="2"/>
            <charset val="204"/>
          </rPr>
          <t xml:space="preserve">
74 - 01110100 - </t>
        </r>
        <r>
          <rPr>
            <sz val="9"/>
            <color indexed="81"/>
            <rFont val="Tahoma"/>
            <family val="2"/>
          </rPr>
          <t>GNRL_LHD 4WD</t>
        </r>
        <r>
          <rPr>
            <b/>
            <sz val="9"/>
            <color indexed="81"/>
            <rFont val="Tahoma"/>
            <family val="2"/>
            <charset val="204"/>
          </rPr>
          <t xml:space="preserve">
81 - 10000001 - </t>
        </r>
        <r>
          <rPr>
            <sz val="9"/>
            <color indexed="81"/>
            <rFont val="Tahoma"/>
            <family val="2"/>
          </rPr>
          <t>China</t>
        </r>
        <r>
          <rPr>
            <b/>
            <sz val="9"/>
            <color indexed="81"/>
            <rFont val="Tahoma"/>
            <family val="2"/>
            <charset val="204"/>
          </rPr>
          <t xml:space="preserve">
84 - 10000100 - </t>
        </r>
        <r>
          <rPr>
            <sz val="9"/>
            <color indexed="81"/>
            <rFont val="Tahoma"/>
            <family val="2"/>
          </rPr>
          <t>China 4WD
b4 is related to A/C Eco mode</t>
        </r>
      </text>
    </comment>
    <comment ref="AE243" authorId="0" shapeId="0" xr:uid="{797937A1-92B2-474D-9652-FC56A01AD2F1}">
      <text>
        <r>
          <rPr>
            <b/>
            <sz val="9"/>
            <color indexed="81"/>
            <rFont val="Tahoma"/>
            <family val="2"/>
            <charset val="204"/>
          </rPr>
          <t>EPB: 
1</t>
        </r>
        <r>
          <rPr>
            <sz val="9"/>
            <color indexed="81"/>
            <rFont val="Tahoma"/>
            <family val="2"/>
            <charset val="204"/>
          </rPr>
          <t xml:space="preserve"> - Present
</t>
        </r>
        <r>
          <rPr>
            <b/>
            <sz val="9"/>
            <color indexed="81"/>
            <rFont val="Tahoma"/>
            <family val="2"/>
            <charset val="204"/>
          </rPr>
          <t>0</t>
        </r>
        <r>
          <rPr>
            <sz val="9"/>
            <color indexed="81"/>
            <rFont val="Tahoma"/>
            <family val="2"/>
            <charset val="204"/>
          </rPr>
          <t xml:space="preserve"> - Not Present</t>
        </r>
      </text>
    </comment>
    <comment ref="W260" authorId="0" shapeId="0" xr:uid="{52A2D7D1-C6EC-4D9D-9A05-FA68FD596D29}">
      <text>
        <r>
          <rPr>
            <b/>
            <sz val="9"/>
            <color indexed="81"/>
            <rFont val="Tahoma"/>
            <family val="2"/>
            <charset val="204"/>
          </rPr>
          <t>Headlights:</t>
        </r>
        <r>
          <rPr>
            <sz val="9"/>
            <color indexed="81"/>
            <rFont val="Tahoma"/>
            <family val="2"/>
            <charset val="204"/>
          </rPr>
          <t xml:space="preserve">
</t>
        </r>
        <r>
          <rPr>
            <i/>
            <sz val="8"/>
            <color indexed="81"/>
            <rFont val="Tahoma"/>
            <family val="2"/>
            <charset val="204"/>
          </rPr>
          <t>b6b5b4 - Value</t>
        </r>
        <r>
          <rPr>
            <sz val="9"/>
            <color indexed="81"/>
            <rFont val="Tahoma"/>
            <family val="2"/>
            <charset val="204"/>
          </rPr>
          <t xml:space="preserve">
</t>
        </r>
        <r>
          <rPr>
            <b/>
            <sz val="9"/>
            <color indexed="81"/>
            <rFont val="Tahoma"/>
            <family val="2"/>
            <charset val="204"/>
          </rPr>
          <t>001</t>
        </r>
        <r>
          <rPr>
            <sz val="9"/>
            <color indexed="81"/>
            <rFont val="Tahoma"/>
            <family val="2"/>
            <charset val="204"/>
          </rPr>
          <t xml:space="preserve"> - Halogen
</t>
        </r>
        <r>
          <rPr>
            <b/>
            <sz val="9"/>
            <color indexed="81"/>
            <rFont val="Tahoma"/>
            <family val="2"/>
            <charset val="204"/>
          </rPr>
          <t>010</t>
        </r>
        <r>
          <rPr>
            <sz val="9"/>
            <color indexed="81"/>
            <rFont val="Tahoma"/>
            <family val="2"/>
            <charset val="204"/>
          </rPr>
          <t xml:space="preserve"> - Xenon/LED
</t>
        </r>
        <r>
          <rPr>
            <b/>
            <sz val="9"/>
            <color indexed="81"/>
            <rFont val="Tahoma"/>
            <family val="2"/>
            <charset val="204"/>
          </rPr>
          <t>011</t>
        </r>
        <r>
          <rPr>
            <sz val="9"/>
            <color indexed="81"/>
            <rFont val="Tahoma"/>
            <family val="2"/>
            <charset val="204"/>
          </rPr>
          <t xml:space="preserve"> - Xenon/LED+AFS
</t>
        </r>
        <r>
          <rPr>
            <b/>
            <sz val="9"/>
            <color indexed="81"/>
            <rFont val="Tahoma"/>
            <family val="2"/>
            <charset val="204"/>
          </rPr>
          <t>100</t>
        </r>
        <r>
          <rPr>
            <sz val="9"/>
            <color indexed="81"/>
            <rFont val="Tahoma"/>
            <family val="2"/>
            <charset val="204"/>
          </rPr>
          <t xml:space="preserve"> - ALH (LED+ADB)</t>
        </r>
      </text>
    </comment>
    <comment ref="AE265" authorId="0" shapeId="0" xr:uid="{39F01876-5D64-4445-9C9F-C0BBB83FD6E3}">
      <text>
        <r>
          <rPr>
            <b/>
            <sz val="9"/>
            <color indexed="81"/>
            <rFont val="Tahoma"/>
            <family val="2"/>
            <charset val="204"/>
          </rPr>
          <t xml:space="preserve">Headlight Levelling:
</t>
        </r>
        <r>
          <rPr>
            <i/>
            <sz val="8"/>
            <color indexed="81"/>
            <rFont val="Tahoma"/>
            <family val="2"/>
          </rPr>
          <t>b1b0 - Value</t>
        </r>
        <r>
          <rPr>
            <sz val="9"/>
            <color indexed="81"/>
            <rFont val="Tahoma"/>
            <family val="2"/>
          </rPr>
          <t xml:space="preserve">
</t>
        </r>
        <r>
          <rPr>
            <b/>
            <sz val="9"/>
            <color indexed="81"/>
            <rFont val="Tahoma"/>
            <family val="2"/>
          </rPr>
          <t>00</t>
        </r>
        <r>
          <rPr>
            <sz val="9"/>
            <color indexed="81"/>
            <rFont val="Tahoma"/>
            <family val="2"/>
          </rPr>
          <t xml:space="preserve"> - No/Manual Type
</t>
        </r>
        <r>
          <rPr>
            <b/>
            <sz val="9"/>
            <color indexed="81"/>
            <rFont val="Tahoma"/>
            <family val="2"/>
          </rPr>
          <t>01</t>
        </r>
        <r>
          <rPr>
            <sz val="9"/>
            <color indexed="81"/>
            <rFont val="Tahoma"/>
            <family val="2"/>
          </rPr>
          <t xml:space="preserve"> - Auto Type [???]
</t>
        </r>
        <r>
          <rPr>
            <b/>
            <sz val="9"/>
            <color indexed="81"/>
            <rFont val="Tahoma"/>
            <family val="2"/>
          </rPr>
          <t>10</t>
        </r>
        <r>
          <rPr>
            <sz val="9"/>
            <color indexed="81"/>
            <rFont val="Tahoma"/>
            <family val="2"/>
          </rPr>
          <t xml:space="preserve"> - Auto Type [???]
</t>
        </r>
        <r>
          <rPr>
            <b/>
            <sz val="9"/>
            <color indexed="81"/>
            <rFont val="Tahoma"/>
            <family val="2"/>
          </rPr>
          <t>11</t>
        </r>
        <r>
          <rPr>
            <sz val="9"/>
            <color indexed="81"/>
            <rFont val="Tahoma"/>
            <family val="2"/>
          </rPr>
          <t xml:space="preserve"> - Auto Type [???]</t>
        </r>
      </text>
    </comment>
    <comment ref="AA282" authorId="0" shapeId="0" xr:uid="{06E93779-A723-4323-98B8-DADF02F859E7}">
      <text>
        <r>
          <rPr>
            <b/>
            <sz val="9"/>
            <color indexed="81"/>
            <rFont val="Tahoma"/>
            <family val="2"/>
            <charset val="204"/>
          </rPr>
          <t xml:space="preserve">SCBS-R:
</t>
        </r>
        <r>
          <rPr>
            <i/>
            <sz val="8"/>
            <color indexed="81"/>
            <rFont val="Tahoma"/>
            <family val="2"/>
            <charset val="204"/>
          </rPr>
          <t>b6b5 - Value</t>
        </r>
        <r>
          <rPr>
            <b/>
            <sz val="9"/>
            <color indexed="81"/>
            <rFont val="Tahoma"/>
            <family val="2"/>
            <charset val="204"/>
          </rPr>
          <t xml:space="preserve">
00</t>
        </r>
        <r>
          <rPr>
            <sz val="9"/>
            <color indexed="81"/>
            <rFont val="Tahoma"/>
            <family val="2"/>
            <charset val="204"/>
          </rPr>
          <t xml:space="preserve"> - Off (W/Parking overlays Off)</t>
        </r>
        <r>
          <rPr>
            <b/>
            <sz val="9"/>
            <color indexed="81"/>
            <rFont val="Tahoma"/>
            <family val="2"/>
            <charset val="204"/>
          </rPr>
          <t xml:space="preserve">
01</t>
        </r>
        <r>
          <rPr>
            <sz val="9"/>
            <color indexed="81"/>
            <rFont val="Tahoma"/>
            <family val="2"/>
            <charset val="204"/>
          </rPr>
          <t xml:space="preserve"> - Off (W/Parking overlays On)</t>
        </r>
        <r>
          <rPr>
            <b/>
            <sz val="9"/>
            <color indexed="81"/>
            <rFont val="Tahoma"/>
            <family val="2"/>
            <charset val="204"/>
          </rPr>
          <t xml:space="preserve">
10</t>
        </r>
        <r>
          <rPr>
            <sz val="9"/>
            <color indexed="81"/>
            <rFont val="Tahoma"/>
            <family val="2"/>
            <charset val="204"/>
          </rPr>
          <t xml:space="preserve"> - On (W/Parking overlays On)</t>
        </r>
      </text>
    </comment>
    <comment ref="S285" authorId="0" shapeId="0" xr:uid="{46C0C083-087E-4D42-B684-F7FD9B362D6C}">
      <text>
        <r>
          <rPr>
            <b/>
            <sz val="9"/>
            <color indexed="81"/>
            <rFont val="Tahoma"/>
            <family val="2"/>
            <charset val="204"/>
          </rPr>
          <t xml:space="preserve">LAS (LKA):
</t>
        </r>
        <r>
          <rPr>
            <i/>
            <sz val="8"/>
            <color indexed="81"/>
            <rFont val="Tahoma"/>
            <family val="2"/>
            <charset val="204"/>
          </rPr>
          <t>b3b2b1 - Value</t>
        </r>
        <r>
          <rPr>
            <b/>
            <sz val="9"/>
            <color indexed="81"/>
            <rFont val="Tahoma"/>
            <family val="2"/>
            <charset val="204"/>
          </rPr>
          <t xml:space="preserve">
000</t>
        </r>
        <r>
          <rPr>
            <sz val="9"/>
            <color indexed="81"/>
            <rFont val="Tahoma"/>
            <family val="2"/>
            <charset val="204"/>
          </rPr>
          <t xml:space="preserve"> - Disabled</t>
        </r>
        <r>
          <rPr>
            <b/>
            <sz val="9"/>
            <color indexed="81"/>
            <rFont val="Tahoma"/>
            <family val="2"/>
            <charset val="204"/>
          </rPr>
          <t xml:space="preserve">
001</t>
        </r>
        <r>
          <rPr>
            <sz val="9"/>
            <color indexed="81"/>
            <rFont val="Tahoma"/>
            <family val="2"/>
            <charset val="204"/>
          </rPr>
          <t xml:space="preserve"> - Enabled (M2, M3 [LHD], CX-5 [RHD], CX-8 [RHD], M6-WGN [LHD 2018-2020], M6-SDN [LHD 2015-2017])</t>
        </r>
        <r>
          <rPr>
            <b/>
            <sz val="9"/>
            <color indexed="81"/>
            <rFont val="Tahoma"/>
            <family val="2"/>
            <charset val="204"/>
          </rPr>
          <t xml:space="preserve">
010</t>
        </r>
        <r>
          <rPr>
            <sz val="9"/>
            <color indexed="81"/>
            <rFont val="Tahoma"/>
            <family val="2"/>
            <charset val="204"/>
          </rPr>
          <t xml:space="preserve"> - Enabled (M3 [RHD], CX-5 [LHD], CX-8 [LHD], M6-SDN [LHD 2018-2020], M6-WGN [LHD 2016-2017])</t>
        </r>
        <r>
          <rPr>
            <b/>
            <sz val="9"/>
            <color indexed="81"/>
            <rFont val="Tahoma"/>
            <family val="2"/>
            <charset val="204"/>
          </rPr>
          <t xml:space="preserve">
011</t>
        </r>
        <r>
          <rPr>
            <sz val="9"/>
            <color indexed="81"/>
            <rFont val="Tahoma"/>
            <family val="2"/>
            <charset val="204"/>
          </rPr>
          <t xml:space="preserve"> - Enabled (CX-9 [RHD], M6-WGN [RHD 2018-2020], M6-SDN [RHD 2015-2017])</t>
        </r>
        <r>
          <rPr>
            <b/>
            <sz val="9"/>
            <color indexed="81"/>
            <rFont val="Tahoma"/>
            <family val="2"/>
            <charset val="204"/>
          </rPr>
          <t xml:space="preserve">
100</t>
        </r>
        <r>
          <rPr>
            <sz val="9"/>
            <color indexed="81"/>
            <rFont val="Tahoma"/>
            <family val="2"/>
            <charset val="204"/>
          </rPr>
          <t xml:space="preserve"> - Enabled (CX-9 [LHD], M6-WGN [RHD 2015-2017], M6-SDN [RHD 2018-2020])</t>
        </r>
      </text>
    </comment>
    <comment ref="AA285" authorId="0" shapeId="0" xr:uid="{58E08EC3-AC98-4A0F-935E-13B6DE4F2232}">
      <text>
        <r>
          <rPr>
            <b/>
            <sz val="9"/>
            <color indexed="81"/>
            <rFont val="Tahoma"/>
            <family val="2"/>
            <charset val="204"/>
          </rPr>
          <t>Parking sensors:</t>
        </r>
        <r>
          <rPr>
            <sz val="9"/>
            <color indexed="81"/>
            <rFont val="Tahoma"/>
            <family val="2"/>
            <charset val="204"/>
          </rPr>
          <t xml:space="preserve">
</t>
        </r>
        <r>
          <rPr>
            <i/>
            <sz val="8"/>
            <color indexed="81"/>
            <rFont val="Tahoma"/>
            <family val="2"/>
            <charset val="204"/>
          </rPr>
          <t>b3b2 - Value</t>
        </r>
        <r>
          <rPr>
            <sz val="9"/>
            <color indexed="81"/>
            <rFont val="Tahoma"/>
            <family val="2"/>
            <charset val="204"/>
          </rPr>
          <t xml:space="preserve">
</t>
        </r>
        <r>
          <rPr>
            <b/>
            <sz val="9"/>
            <color indexed="81"/>
            <rFont val="Tahoma"/>
            <family val="2"/>
            <charset val="204"/>
          </rPr>
          <t>00</t>
        </r>
        <r>
          <rPr>
            <sz val="9"/>
            <color indexed="81"/>
            <rFont val="Tahoma"/>
            <family val="2"/>
            <charset val="204"/>
          </rPr>
          <t xml:space="preserve"> - w/o parking sensors
</t>
        </r>
        <r>
          <rPr>
            <b/>
            <sz val="9"/>
            <color indexed="81"/>
            <rFont val="Tahoma"/>
            <family val="2"/>
            <charset val="204"/>
          </rPr>
          <t>01</t>
        </r>
        <r>
          <rPr>
            <sz val="9"/>
            <color indexed="81"/>
            <rFont val="Tahoma"/>
            <family val="2"/>
            <charset val="204"/>
          </rPr>
          <t xml:space="preserve"> - Rear (w/o button &amp; overlay)
</t>
        </r>
        <r>
          <rPr>
            <b/>
            <sz val="9"/>
            <color indexed="81"/>
            <rFont val="Tahoma"/>
            <family val="2"/>
            <charset val="204"/>
          </rPr>
          <t>11</t>
        </r>
        <r>
          <rPr>
            <sz val="9"/>
            <color indexed="81"/>
            <rFont val="Tahoma"/>
            <family val="2"/>
            <charset val="204"/>
          </rPr>
          <t xml:space="preserve"> - Front &amp; Rear (with button &amp; overlay)
2017/18 (FSC 2gen) model and others:
</t>
        </r>
        <r>
          <rPr>
            <b/>
            <sz val="9"/>
            <color indexed="81"/>
            <rFont val="Tahoma"/>
            <family val="2"/>
            <charset val="204"/>
          </rPr>
          <t>00</t>
        </r>
        <r>
          <rPr>
            <sz val="9"/>
            <color indexed="81"/>
            <rFont val="Tahoma"/>
            <family val="2"/>
            <charset val="204"/>
          </rPr>
          <t xml:space="preserve"> - Rear (w/o button &amp; overlay)
</t>
        </r>
        <r>
          <rPr>
            <b/>
            <sz val="9"/>
            <color indexed="81"/>
            <rFont val="Tahoma"/>
            <family val="2"/>
            <charset val="204"/>
          </rPr>
          <t>01</t>
        </r>
        <r>
          <rPr>
            <sz val="9"/>
            <color indexed="81"/>
            <rFont val="Tahoma"/>
            <family val="2"/>
            <charset val="204"/>
          </rPr>
          <t xml:space="preserve"> - Front &amp; Rear (with button &amp; overlay)
</t>
        </r>
        <r>
          <rPr>
            <b/>
            <sz val="9"/>
            <color indexed="81"/>
            <rFont val="Tahoma"/>
            <family val="2"/>
            <charset val="204"/>
          </rPr>
          <t>See SCBS-R values too for more info!!!</t>
        </r>
      </text>
    </comment>
    <comment ref="AA292" authorId="0" shapeId="0" xr:uid="{9C76DDDD-2E59-455D-9213-AA525ABADE75}">
      <text>
        <r>
          <rPr>
            <b/>
            <sz val="9"/>
            <color indexed="81"/>
            <rFont val="Tahoma"/>
            <family val="2"/>
            <charset val="204"/>
          </rPr>
          <t>FOW/SBS/DRSS/MRCC</t>
        </r>
        <r>
          <rPr>
            <sz val="9"/>
            <color indexed="81"/>
            <rFont val="Tahoma"/>
            <family val="2"/>
            <charset val="204"/>
          </rPr>
          <t xml:space="preserve">
</t>
        </r>
        <r>
          <rPr>
            <i/>
            <sz val="8"/>
            <color indexed="81"/>
            <rFont val="Tahoma"/>
            <family val="2"/>
            <charset val="204"/>
          </rPr>
          <t>b7b6b5b4 - Value</t>
        </r>
        <r>
          <rPr>
            <sz val="9"/>
            <color indexed="81"/>
            <rFont val="Tahoma"/>
            <family val="2"/>
            <charset val="204"/>
          </rPr>
          <t xml:space="preserve">
</t>
        </r>
        <r>
          <rPr>
            <b/>
            <sz val="9"/>
            <color indexed="81"/>
            <rFont val="Tahoma"/>
            <family val="2"/>
            <charset val="204"/>
          </rPr>
          <t>0000</t>
        </r>
        <r>
          <rPr>
            <sz val="9"/>
            <color indexed="81"/>
            <rFont val="Tahoma"/>
            <family val="2"/>
            <charset val="204"/>
          </rPr>
          <t xml:space="preserve"> - Wrong conf.
</t>
        </r>
        <r>
          <rPr>
            <b/>
            <sz val="9"/>
            <color indexed="81"/>
            <rFont val="Tahoma"/>
            <family val="2"/>
            <charset val="204"/>
          </rPr>
          <t>0001</t>
        </r>
        <r>
          <rPr>
            <sz val="9"/>
            <color indexed="81"/>
            <rFont val="Tahoma"/>
            <family val="2"/>
            <charset val="204"/>
          </rPr>
          <t xml:space="preserve"> - no SBS/FOW/DRSS/MRCC
</t>
        </r>
        <r>
          <rPr>
            <b/>
            <sz val="9"/>
            <color indexed="81"/>
            <rFont val="Tahoma"/>
            <family val="2"/>
            <charset val="204"/>
          </rPr>
          <t>0010</t>
        </r>
        <r>
          <rPr>
            <sz val="9"/>
            <color indexed="81"/>
            <rFont val="Tahoma"/>
            <family val="2"/>
            <charset val="204"/>
          </rPr>
          <t xml:space="preserve"> - SBS/MRCC
</t>
        </r>
        <r>
          <rPr>
            <b/>
            <sz val="9"/>
            <color indexed="81"/>
            <rFont val="Tahoma"/>
            <family val="2"/>
            <charset val="204"/>
          </rPr>
          <t>0011</t>
        </r>
        <r>
          <rPr>
            <sz val="9"/>
            <color indexed="81"/>
            <rFont val="Tahoma"/>
            <family val="2"/>
            <charset val="204"/>
          </rPr>
          <t xml:space="preserve"> - MRCC
</t>
        </r>
        <r>
          <rPr>
            <b/>
            <sz val="9"/>
            <color indexed="81"/>
            <rFont val="Tahoma"/>
            <family val="2"/>
            <charset val="204"/>
          </rPr>
          <t>0100</t>
        </r>
        <r>
          <rPr>
            <sz val="9"/>
            <color indexed="81"/>
            <rFont val="Tahoma"/>
            <family val="2"/>
            <charset val="204"/>
          </rPr>
          <t xml:space="preserve"> - SBS
</t>
        </r>
        <r>
          <rPr>
            <b/>
            <sz val="9"/>
            <color indexed="81"/>
            <rFont val="Tahoma"/>
            <family val="2"/>
            <charset val="204"/>
          </rPr>
          <t>0101</t>
        </r>
        <r>
          <rPr>
            <sz val="9"/>
            <color indexed="81"/>
            <rFont val="Tahoma"/>
            <family val="2"/>
            <charset val="204"/>
          </rPr>
          <t xml:space="preserve"> - FOW
</t>
        </r>
        <r>
          <rPr>
            <b/>
            <sz val="9"/>
            <color indexed="81"/>
            <rFont val="Tahoma"/>
            <family val="2"/>
            <charset val="204"/>
          </rPr>
          <t>0110</t>
        </r>
        <r>
          <rPr>
            <sz val="9"/>
            <color indexed="81"/>
            <rFont val="Tahoma"/>
            <family val="2"/>
            <charset val="204"/>
          </rPr>
          <t xml:space="preserve"> - DRSS
</t>
        </r>
        <r>
          <rPr>
            <b/>
            <sz val="9"/>
            <color indexed="81"/>
            <rFont val="Tahoma"/>
            <family val="2"/>
            <charset val="204"/>
          </rPr>
          <t>0111</t>
        </r>
        <r>
          <rPr>
            <sz val="9"/>
            <color indexed="81"/>
            <rFont val="Tahoma"/>
            <family val="2"/>
            <charset val="204"/>
          </rPr>
          <t xml:space="preserve"> - SBS/DRSS/MRCC
</t>
        </r>
        <r>
          <rPr>
            <b/>
            <sz val="9"/>
            <color indexed="81"/>
            <rFont val="Tahoma"/>
            <family val="2"/>
            <charset val="204"/>
          </rPr>
          <t>1000</t>
        </r>
        <r>
          <rPr>
            <sz val="9"/>
            <color indexed="81"/>
            <rFont val="Tahoma"/>
            <family val="2"/>
            <charset val="204"/>
          </rPr>
          <t xml:space="preserve"> - FOW/DRSS/MRCC
</t>
        </r>
        <r>
          <rPr>
            <b/>
            <sz val="9"/>
            <color indexed="81"/>
            <rFont val="Tahoma"/>
            <family val="2"/>
            <charset val="204"/>
          </rPr>
          <t>1001</t>
        </r>
        <r>
          <rPr>
            <sz val="9"/>
            <color indexed="81"/>
            <rFont val="Tahoma"/>
            <family val="2"/>
            <charset val="204"/>
          </rPr>
          <t xml:space="preserve"> - FOW/MRCC
</t>
        </r>
        <r>
          <rPr>
            <b/>
            <sz val="9"/>
            <color indexed="81"/>
            <rFont val="Tahoma"/>
            <family val="2"/>
            <charset val="204"/>
          </rPr>
          <t>1010</t>
        </r>
        <r>
          <rPr>
            <sz val="9"/>
            <color indexed="81"/>
            <rFont val="Tahoma"/>
            <family val="2"/>
            <charset val="204"/>
          </rPr>
          <t xml:space="preserve"> - DRSS/MRCC
</t>
        </r>
        <r>
          <rPr>
            <b/>
            <sz val="9"/>
            <color indexed="81"/>
            <rFont val="Tahoma"/>
            <family val="2"/>
            <charset val="204"/>
          </rPr>
          <t>1011</t>
        </r>
        <r>
          <rPr>
            <sz val="9"/>
            <color indexed="81"/>
            <rFont val="Tahoma"/>
            <family val="2"/>
            <charset val="204"/>
          </rPr>
          <t xml:space="preserve"> - SBS/DRSS
</t>
        </r>
        <r>
          <rPr>
            <b/>
            <sz val="9"/>
            <color indexed="81"/>
            <rFont val="Tahoma"/>
            <family val="2"/>
            <charset val="204"/>
          </rPr>
          <t>1100</t>
        </r>
        <r>
          <rPr>
            <sz val="9"/>
            <color indexed="81"/>
            <rFont val="Tahoma"/>
            <family val="2"/>
            <charset val="204"/>
          </rPr>
          <t xml:space="preserve"> - FOW/DRSS
</t>
        </r>
        <r>
          <rPr>
            <b/>
            <sz val="9"/>
            <color indexed="81"/>
            <rFont val="Tahoma"/>
            <family val="2"/>
            <charset val="204"/>
          </rPr>
          <t>1101</t>
        </r>
        <r>
          <rPr>
            <sz val="9"/>
            <color indexed="81"/>
            <rFont val="Tahoma"/>
            <family val="2"/>
            <charset val="204"/>
          </rPr>
          <t xml:space="preserve"> - SBS/FOW/DRSS? Wrong conf.
</t>
        </r>
        <r>
          <rPr>
            <b/>
            <sz val="9"/>
            <color indexed="81"/>
            <rFont val="Tahoma"/>
            <family val="2"/>
            <charset val="204"/>
          </rPr>
          <t>1110</t>
        </r>
        <r>
          <rPr>
            <sz val="9"/>
            <color indexed="81"/>
            <rFont val="Tahoma"/>
            <family val="2"/>
            <charset val="204"/>
          </rPr>
          <t xml:space="preserve"> - SBS/FOW/DRSS? Wrong conf.
</t>
        </r>
        <r>
          <rPr>
            <b/>
            <sz val="9"/>
            <color indexed="81"/>
            <rFont val="Tahoma"/>
            <family val="2"/>
            <charset val="204"/>
          </rPr>
          <t>1111</t>
        </r>
        <r>
          <rPr>
            <sz val="9"/>
            <color indexed="81"/>
            <rFont val="Tahoma"/>
            <family val="2"/>
            <charset val="204"/>
          </rPr>
          <t xml:space="preserve"> - SBS/FOW/DRSS? Wrong conf.</t>
        </r>
      </text>
    </comment>
    <comment ref="S303" authorId="1" shapeId="0" xr:uid="{ADA00452-3AED-4E84-952F-0991CC491A39}">
      <text>
        <r>
          <rPr>
            <b/>
            <u/>
            <sz val="9"/>
            <color indexed="81"/>
            <rFont val="Tahoma"/>
            <family val="2"/>
            <charset val="204"/>
          </rPr>
          <t>FOW/SBS/DRSS/MRCC Market Area</t>
        </r>
        <r>
          <rPr>
            <b/>
            <sz val="9"/>
            <color indexed="81"/>
            <rFont val="Tahoma"/>
            <family val="2"/>
            <charset val="204"/>
          </rPr>
          <t xml:space="preserve">
</t>
        </r>
        <r>
          <rPr>
            <i/>
            <sz val="9"/>
            <color indexed="81"/>
            <rFont val="Tahoma"/>
            <family val="2"/>
            <charset val="204"/>
          </rPr>
          <t>b7b6b5b4 - Value:</t>
        </r>
        <r>
          <rPr>
            <b/>
            <sz val="9"/>
            <color indexed="81"/>
            <rFont val="Tahoma"/>
            <family val="2"/>
            <charset val="204"/>
          </rPr>
          <t xml:space="preserve">
0000 — </t>
        </r>
        <r>
          <rPr>
            <sz val="9"/>
            <color indexed="81"/>
            <rFont val="Tahoma"/>
            <family val="2"/>
            <charset val="204"/>
          </rPr>
          <t>Japan;</t>
        </r>
        <r>
          <rPr>
            <b/>
            <sz val="9"/>
            <color indexed="81"/>
            <rFont val="Tahoma"/>
            <family val="2"/>
            <charset val="204"/>
          </rPr>
          <t xml:space="preserve">
0010 — </t>
        </r>
        <r>
          <rPr>
            <sz val="9"/>
            <color indexed="81"/>
            <rFont val="Tahoma"/>
            <family val="2"/>
            <charset val="204"/>
          </rPr>
          <t>Europe;</t>
        </r>
        <r>
          <rPr>
            <b/>
            <sz val="9"/>
            <color indexed="81"/>
            <rFont val="Tahoma"/>
            <family val="2"/>
            <charset val="204"/>
          </rPr>
          <t xml:space="preserve">
0101 — </t>
        </r>
        <r>
          <rPr>
            <sz val="9"/>
            <color indexed="81"/>
            <rFont val="Tahoma"/>
            <family val="2"/>
            <charset val="204"/>
          </rPr>
          <t>Japan;</t>
        </r>
        <r>
          <rPr>
            <b/>
            <sz val="9"/>
            <color indexed="81"/>
            <rFont val="Tahoma"/>
            <family val="2"/>
            <charset val="204"/>
          </rPr>
          <t xml:space="preserve">
0110 —</t>
        </r>
        <r>
          <rPr>
            <sz val="9"/>
            <color indexed="81"/>
            <rFont val="Tahoma"/>
            <family val="2"/>
            <charset val="204"/>
          </rPr>
          <t xml:space="preserve"> US/Asia/Aus;</t>
        </r>
        <r>
          <rPr>
            <b/>
            <sz val="9"/>
            <color indexed="81"/>
            <rFont val="Tahoma"/>
            <family val="2"/>
            <charset val="204"/>
          </rPr>
          <t xml:space="preserve">
0111 — </t>
        </r>
        <r>
          <rPr>
            <sz val="9"/>
            <color indexed="81"/>
            <rFont val="Tahoma"/>
            <family val="2"/>
            <charset val="204"/>
          </rPr>
          <t>US/Asia/Aus</t>
        </r>
      </text>
    </comment>
    <comment ref="S314" authorId="0" shapeId="0" xr:uid="{FC89E49D-B810-4206-9090-D78EA9708667}">
      <text>
        <r>
          <rPr>
            <b/>
            <sz val="9"/>
            <color indexed="81"/>
            <rFont val="Tahoma"/>
            <family val="2"/>
            <charset val="204"/>
          </rPr>
          <t>LDWS/LAS/HBC/ALH:</t>
        </r>
        <r>
          <rPr>
            <sz val="9"/>
            <color indexed="81"/>
            <rFont val="Tahoma"/>
            <family val="2"/>
            <charset val="204"/>
          </rPr>
          <t xml:space="preserve">
</t>
        </r>
        <r>
          <rPr>
            <i/>
            <sz val="8"/>
            <color indexed="81"/>
            <rFont val="Tahoma"/>
            <family val="2"/>
            <charset val="204"/>
          </rPr>
          <t>b7b6b5b4 - Value</t>
        </r>
        <r>
          <rPr>
            <sz val="9"/>
            <color indexed="81"/>
            <rFont val="Tahoma"/>
            <family val="2"/>
            <charset val="204"/>
          </rPr>
          <t xml:space="preserve">
</t>
        </r>
        <r>
          <rPr>
            <b/>
            <sz val="9"/>
            <color indexed="81"/>
            <rFont val="Tahoma"/>
            <family val="2"/>
            <charset val="204"/>
          </rPr>
          <t>0000</t>
        </r>
        <r>
          <rPr>
            <sz val="9"/>
            <color indexed="81"/>
            <rFont val="Tahoma"/>
            <family val="2"/>
            <charset val="204"/>
          </rPr>
          <t xml:space="preserve"> - ?
</t>
        </r>
        <r>
          <rPr>
            <b/>
            <sz val="9"/>
            <color indexed="81"/>
            <rFont val="Tahoma"/>
            <family val="2"/>
            <charset val="204"/>
          </rPr>
          <t>0001</t>
        </r>
        <r>
          <rPr>
            <sz val="9"/>
            <color indexed="81"/>
            <rFont val="Tahoma"/>
            <family val="2"/>
            <charset val="204"/>
          </rPr>
          <t xml:space="preserve"> - No LDWS/LAS/HBC/ALH
</t>
        </r>
        <r>
          <rPr>
            <b/>
            <sz val="9"/>
            <color indexed="81"/>
            <rFont val="Tahoma"/>
            <family val="2"/>
            <charset val="204"/>
          </rPr>
          <t>0010</t>
        </r>
        <r>
          <rPr>
            <sz val="9"/>
            <color indexed="81"/>
            <rFont val="Tahoma"/>
            <family val="2"/>
            <charset val="204"/>
          </rPr>
          <t xml:space="preserve"> - LDWS+HBC [FSC Gen 1]
</t>
        </r>
        <r>
          <rPr>
            <b/>
            <sz val="9"/>
            <color indexed="81"/>
            <rFont val="Tahoma"/>
            <family val="2"/>
            <charset val="204"/>
          </rPr>
          <t>0011</t>
        </r>
        <r>
          <rPr>
            <sz val="9"/>
            <color indexed="81"/>
            <rFont val="Tahoma"/>
            <family val="2"/>
            <charset val="204"/>
          </rPr>
          <t xml:space="preserve"> - HBC [?]
</t>
        </r>
        <r>
          <rPr>
            <b/>
            <sz val="9"/>
            <color indexed="81"/>
            <rFont val="Tahoma"/>
            <family val="2"/>
            <charset val="204"/>
          </rPr>
          <t>0100</t>
        </r>
        <r>
          <rPr>
            <sz val="9"/>
            <color indexed="81"/>
            <rFont val="Tahoma"/>
            <family val="2"/>
            <charset val="204"/>
          </rPr>
          <t xml:space="preserve"> - LDWS [FSC Gen 1]
</t>
        </r>
        <r>
          <rPr>
            <b/>
            <sz val="9"/>
            <color indexed="81"/>
            <rFont val="Tahoma"/>
            <family val="2"/>
            <charset val="204"/>
          </rPr>
          <t>0101</t>
        </r>
        <r>
          <rPr>
            <sz val="9"/>
            <color indexed="81"/>
            <rFont val="Tahoma"/>
            <family val="2"/>
            <charset val="204"/>
          </rPr>
          <t xml:space="preserve"> - LDWS+HBC [?]
</t>
        </r>
        <r>
          <rPr>
            <b/>
            <sz val="9"/>
            <color indexed="81"/>
            <rFont val="Tahoma"/>
            <family val="2"/>
            <charset val="204"/>
          </rPr>
          <t>0110</t>
        </r>
        <r>
          <rPr>
            <sz val="9"/>
            <color indexed="81"/>
            <rFont val="Tahoma"/>
            <family val="2"/>
            <charset val="204"/>
          </rPr>
          <t xml:space="preserve"> - ?
</t>
        </r>
        <r>
          <rPr>
            <b/>
            <sz val="9"/>
            <color indexed="81"/>
            <rFont val="Tahoma"/>
            <family val="2"/>
            <charset val="204"/>
          </rPr>
          <t>0111</t>
        </r>
        <r>
          <rPr>
            <sz val="9"/>
            <color indexed="81"/>
            <rFont val="Tahoma"/>
            <family val="2"/>
            <charset val="204"/>
          </rPr>
          <t xml:space="preserve"> - LDWS [?]
</t>
        </r>
        <r>
          <rPr>
            <b/>
            <sz val="9"/>
            <color indexed="81"/>
            <rFont val="Tahoma"/>
            <family val="2"/>
            <charset val="204"/>
          </rPr>
          <t>1000</t>
        </r>
        <r>
          <rPr>
            <sz val="9"/>
            <color indexed="81"/>
            <rFont val="Tahoma"/>
            <family val="2"/>
            <charset val="204"/>
          </rPr>
          <t xml:space="preserve"> - HBC [?]
</t>
        </r>
        <r>
          <rPr>
            <b/>
            <sz val="9"/>
            <color indexed="81"/>
            <rFont val="Tahoma"/>
            <family val="2"/>
            <charset val="204"/>
          </rPr>
          <t>1001</t>
        </r>
        <r>
          <rPr>
            <sz val="9"/>
            <color indexed="81"/>
            <rFont val="Tahoma"/>
            <family val="2"/>
            <charset val="204"/>
          </rPr>
          <t xml:space="preserve"> - LDWS+HBC [FSC Gen 2]
</t>
        </r>
        <r>
          <rPr>
            <b/>
            <sz val="9"/>
            <color indexed="81"/>
            <rFont val="Tahoma"/>
            <family val="2"/>
            <charset val="204"/>
          </rPr>
          <t>1010</t>
        </r>
        <r>
          <rPr>
            <sz val="9"/>
            <color indexed="81"/>
            <rFont val="Tahoma"/>
            <family val="2"/>
            <charset val="204"/>
          </rPr>
          <t xml:space="preserve"> - LDWS+ALH [FSC Gen 1/2]
</t>
        </r>
        <r>
          <rPr>
            <b/>
            <sz val="9"/>
            <color indexed="81"/>
            <rFont val="Tahoma"/>
            <family val="2"/>
            <charset val="204"/>
          </rPr>
          <t>1011</t>
        </r>
        <r>
          <rPr>
            <sz val="9"/>
            <color indexed="81"/>
            <rFont val="Tahoma"/>
            <family val="2"/>
            <charset val="204"/>
          </rPr>
          <t xml:space="preserve"> - LAS+ALH [FSC Gen 1/2]
</t>
        </r>
        <r>
          <rPr>
            <b/>
            <sz val="9"/>
            <color indexed="81"/>
            <rFont val="Tahoma"/>
            <family val="2"/>
            <charset val="204"/>
          </rPr>
          <t>1100</t>
        </r>
        <r>
          <rPr>
            <sz val="9"/>
            <color indexed="81"/>
            <rFont val="Tahoma"/>
            <family val="2"/>
            <charset val="204"/>
          </rPr>
          <t xml:space="preserve"> - LAS+HBC [FSC Gen 1/2]
</t>
        </r>
        <r>
          <rPr>
            <b/>
            <sz val="9"/>
            <color indexed="81"/>
            <rFont val="Tahoma"/>
            <family val="2"/>
            <charset val="204"/>
          </rPr>
          <t>1101</t>
        </r>
        <r>
          <rPr>
            <sz val="9"/>
            <color indexed="81"/>
            <rFont val="Tahoma"/>
            <family val="2"/>
            <charset val="204"/>
          </rPr>
          <t xml:space="preserve"> - LAS [FSC Gen 2]
</t>
        </r>
        <r>
          <rPr>
            <b/>
            <sz val="9"/>
            <color indexed="81"/>
            <rFont val="Tahoma"/>
            <family val="2"/>
            <charset val="204"/>
          </rPr>
          <t>1110</t>
        </r>
        <r>
          <rPr>
            <sz val="9"/>
            <color indexed="81"/>
            <rFont val="Tahoma"/>
            <family val="2"/>
            <charset val="204"/>
          </rPr>
          <t xml:space="preserve"> - ?
</t>
        </r>
        <r>
          <rPr>
            <b/>
            <sz val="9"/>
            <color indexed="81"/>
            <rFont val="Tahoma"/>
            <family val="2"/>
            <charset val="204"/>
          </rPr>
          <t>1111</t>
        </r>
        <r>
          <rPr>
            <sz val="9"/>
            <color indexed="81"/>
            <rFont val="Tahoma"/>
            <family val="2"/>
            <charset val="204"/>
          </rPr>
          <t xml:space="preserve"> - ?</t>
        </r>
      </text>
    </comment>
    <comment ref="AE316" authorId="1" shapeId="0" xr:uid="{AF39079A-027A-4F3D-8145-D167BA27310B}">
      <text>
        <r>
          <rPr>
            <b/>
            <u/>
            <sz val="9"/>
            <color indexed="81"/>
            <rFont val="Tahoma"/>
            <family val="2"/>
            <charset val="204"/>
          </rPr>
          <t>RVM/LCA</t>
        </r>
        <r>
          <rPr>
            <b/>
            <sz val="9"/>
            <color indexed="81"/>
            <rFont val="Tahoma"/>
            <family val="2"/>
            <charset val="204"/>
          </rPr>
          <t xml:space="preserve">
</t>
        </r>
        <r>
          <rPr>
            <i/>
            <sz val="8"/>
            <color indexed="81"/>
            <rFont val="Tahoma"/>
            <family val="2"/>
            <charset val="204"/>
          </rPr>
          <t>b5b4 - Value</t>
        </r>
        <r>
          <rPr>
            <b/>
            <sz val="9"/>
            <color indexed="81"/>
            <rFont val="Tahoma"/>
            <family val="2"/>
            <charset val="204"/>
          </rPr>
          <t xml:space="preserve">
01 - </t>
        </r>
        <r>
          <rPr>
            <sz val="9"/>
            <color indexed="81"/>
            <rFont val="Tahoma"/>
            <family val="2"/>
            <charset val="204"/>
          </rPr>
          <t>no RVM;</t>
        </r>
        <r>
          <rPr>
            <b/>
            <sz val="9"/>
            <color indexed="81"/>
            <rFont val="Tahoma"/>
            <family val="2"/>
            <charset val="204"/>
          </rPr>
          <t xml:space="preserve">
10 - </t>
        </r>
        <r>
          <rPr>
            <sz val="9"/>
            <color indexed="81"/>
            <rFont val="Tahoma"/>
            <family val="2"/>
            <charset val="204"/>
          </rPr>
          <t>RVM (BM/GJ/KE, Doppler simulator for calibration)</t>
        </r>
      </text>
    </comment>
    <comment ref="S320" authorId="1" shapeId="0" xr:uid="{EE3B8B1B-0F08-4ACC-956E-DE754F42CD93}">
      <text>
        <r>
          <rPr>
            <b/>
            <u/>
            <sz val="9"/>
            <color indexed="81"/>
            <rFont val="Tahoma"/>
            <family val="2"/>
            <charset val="204"/>
          </rPr>
          <t>M2/CX-3/MX-5 only!!!</t>
        </r>
        <r>
          <rPr>
            <b/>
            <sz val="9"/>
            <color indexed="81"/>
            <rFont val="Tahoma"/>
            <family val="2"/>
            <charset val="204"/>
          </rPr>
          <t xml:space="preserve">
</t>
        </r>
        <r>
          <rPr>
            <i/>
            <sz val="8"/>
            <color indexed="81"/>
            <rFont val="Tahoma"/>
            <family val="2"/>
            <charset val="204"/>
          </rPr>
          <t>b1b0 - Value</t>
        </r>
        <r>
          <rPr>
            <b/>
            <sz val="9"/>
            <color indexed="81"/>
            <rFont val="Tahoma"/>
            <family val="2"/>
            <charset val="204"/>
          </rPr>
          <t xml:space="preserve">
00 - </t>
        </r>
        <r>
          <rPr>
            <sz val="9"/>
            <color indexed="81"/>
            <rFont val="Tahoma"/>
            <family val="2"/>
            <charset val="204"/>
          </rPr>
          <t>M3/M6/CX-5/CX-9;</t>
        </r>
        <r>
          <rPr>
            <b/>
            <sz val="9"/>
            <color indexed="81"/>
            <rFont val="Tahoma"/>
            <family val="2"/>
            <charset val="204"/>
          </rPr>
          <t xml:space="preserve">
01 - </t>
        </r>
        <r>
          <rPr>
            <sz val="9"/>
            <color indexed="81"/>
            <rFont val="Tahoma"/>
            <family val="2"/>
            <charset val="204"/>
          </rPr>
          <t>M2/CX-3/MX-5 if no HBC;</t>
        </r>
        <r>
          <rPr>
            <b/>
            <sz val="9"/>
            <color indexed="81"/>
            <rFont val="Tahoma"/>
            <family val="2"/>
            <charset val="204"/>
          </rPr>
          <t xml:space="preserve">
10 - </t>
        </r>
        <r>
          <rPr>
            <sz val="9"/>
            <color indexed="81"/>
            <rFont val="Tahoma"/>
            <family val="2"/>
            <charset val="204"/>
          </rPr>
          <t>HBC+LDWS</t>
        </r>
      </text>
    </comment>
    <comment ref="W337" authorId="0" shapeId="0" xr:uid="{36475219-7C1F-4EFA-A201-E42D595F1F46}">
      <text>
        <r>
          <rPr>
            <b/>
            <sz val="9"/>
            <color indexed="81"/>
            <rFont val="Tahoma"/>
            <family val="2"/>
          </rPr>
          <t>BSM:</t>
        </r>
        <r>
          <rPr>
            <sz val="9"/>
            <color indexed="81"/>
            <rFont val="Tahoma"/>
            <family val="2"/>
          </rPr>
          <t xml:space="preserve">
</t>
        </r>
        <r>
          <rPr>
            <i/>
            <sz val="8"/>
            <color indexed="81"/>
            <rFont val="Tahoma"/>
            <family val="2"/>
          </rPr>
          <t>b6b5b4b3b2b1b0 - Value</t>
        </r>
        <r>
          <rPr>
            <sz val="9"/>
            <color indexed="81"/>
            <rFont val="Tahoma"/>
            <family val="2"/>
          </rPr>
          <t xml:space="preserve">
</t>
        </r>
        <r>
          <rPr>
            <b/>
            <sz val="9"/>
            <color indexed="81"/>
            <rFont val="Tahoma"/>
            <family val="2"/>
          </rPr>
          <t>0010000</t>
        </r>
        <r>
          <rPr>
            <sz val="9"/>
            <color indexed="81"/>
            <rFont val="Tahoma"/>
            <family val="2"/>
          </rPr>
          <t xml:space="preserve"> - No BSM
</t>
        </r>
        <r>
          <rPr>
            <b/>
            <sz val="9"/>
            <color indexed="81"/>
            <rFont val="Tahoma"/>
            <family val="2"/>
          </rPr>
          <t>0100000</t>
        </r>
        <r>
          <rPr>
            <sz val="9"/>
            <color indexed="81"/>
            <rFont val="Tahoma"/>
            <family val="2"/>
          </rPr>
          <t xml:space="preserve"> - BSM (BM/GJ/KE, Reflector for calibration)
</t>
        </r>
        <r>
          <rPr>
            <b/>
            <sz val="9"/>
            <color indexed="81"/>
            <rFont val="Tahoma"/>
            <family val="2"/>
          </rPr>
          <t>0110011</t>
        </r>
        <r>
          <rPr>
            <sz val="9"/>
            <color indexed="81"/>
            <rFont val="Tahoma"/>
            <family val="2"/>
          </rPr>
          <t xml:space="preserve"> - LCA w/BSM (BN, Doppler simulator for calibration) + 2/6/MX-5/CX-3/4/5
</t>
        </r>
        <r>
          <rPr>
            <b/>
            <sz val="9"/>
            <color indexed="81"/>
            <rFont val="Tahoma"/>
            <family val="2"/>
          </rPr>
          <t>1000000</t>
        </r>
        <r>
          <rPr>
            <sz val="9"/>
            <color indexed="81"/>
            <rFont val="Tahoma"/>
            <family val="2"/>
          </rPr>
          <t xml:space="preserve"> - BSM (BN/GL/TB/TC, Reflector for calibration)
</t>
        </r>
        <r>
          <rPr>
            <b/>
            <sz val="9"/>
            <color indexed="81"/>
            <rFont val="Tahoma"/>
            <family val="2"/>
          </rPr>
          <t>1010011</t>
        </r>
        <r>
          <rPr>
            <sz val="9"/>
            <color indexed="81"/>
            <rFont val="Tahoma"/>
            <family val="2"/>
          </rPr>
          <t xml:space="preserve"> - BSM (KF/FG)</t>
        </r>
      </text>
    </comment>
    <comment ref="W348" authorId="0" shapeId="0" xr:uid="{78FB647D-9204-4DA3-B71B-840BE2BF7A03}">
      <text>
        <r>
          <rPr>
            <b/>
            <sz val="9"/>
            <color indexed="81"/>
            <rFont val="Tahoma"/>
            <family val="2"/>
            <charset val="204"/>
          </rPr>
          <t>Air Con.:</t>
        </r>
        <r>
          <rPr>
            <sz val="9"/>
            <color indexed="81"/>
            <rFont val="Tahoma"/>
            <family val="2"/>
            <charset val="204"/>
          </rPr>
          <t xml:space="preserve">
</t>
        </r>
        <r>
          <rPr>
            <i/>
            <sz val="8"/>
            <color indexed="81"/>
            <rFont val="Tahoma"/>
            <family val="2"/>
            <charset val="204"/>
          </rPr>
          <t>b6b5 - Value</t>
        </r>
        <r>
          <rPr>
            <sz val="9"/>
            <color indexed="81"/>
            <rFont val="Tahoma"/>
            <family val="2"/>
            <charset val="204"/>
          </rPr>
          <t xml:space="preserve">
</t>
        </r>
        <r>
          <rPr>
            <b/>
            <sz val="9"/>
            <color indexed="81"/>
            <rFont val="Tahoma"/>
            <family val="2"/>
            <charset val="204"/>
          </rPr>
          <t>01</t>
        </r>
        <r>
          <rPr>
            <sz val="9"/>
            <color indexed="81"/>
            <rFont val="Tahoma"/>
            <family val="2"/>
            <charset val="204"/>
          </rPr>
          <t xml:space="preserve"> - Full Auto
</t>
        </r>
        <r>
          <rPr>
            <b/>
            <sz val="9"/>
            <color indexed="81"/>
            <rFont val="Tahoma"/>
            <family val="2"/>
            <charset val="204"/>
          </rPr>
          <t>10</t>
        </r>
        <r>
          <rPr>
            <sz val="9"/>
            <color indexed="81"/>
            <rFont val="Tahoma"/>
            <family val="2"/>
            <charset val="204"/>
          </rPr>
          <t xml:space="preserve"> - Manual</t>
        </r>
      </text>
    </comment>
    <comment ref="W353" authorId="0" shapeId="0" xr:uid="{553935F9-3E76-49F2-9B0A-B39320D0C35A}">
      <text>
        <r>
          <rPr>
            <b/>
            <sz val="9"/>
            <color indexed="81"/>
            <rFont val="Tahoma"/>
            <family val="2"/>
            <charset val="204"/>
          </rPr>
          <t>PTC Heater:</t>
        </r>
        <r>
          <rPr>
            <sz val="9"/>
            <color indexed="81"/>
            <rFont val="Tahoma"/>
            <family val="2"/>
            <charset val="204"/>
          </rPr>
          <t xml:space="preserve">
</t>
        </r>
        <r>
          <rPr>
            <i/>
            <sz val="8"/>
            <color indexed="81"/>
            <rFont val="Tahoma"/>
            <family val="2"/>
            <charset val="204"/>
          </rPr>
          <t>b1b0 - Value</t>
        </r>
        <r>
          <rPr>
            <sz val="9"/>
            <color indexed="81"/>
            <rFont val="Tahoma"/>
            <family val="2"/>
            <charset val="204"/>
          </rPr>
          <t xml:space="preserve">
</t>
        </r>
        <r>
          <rPr>
            <b/>
            <sz val="9"/>
            <color indexed="81"/>
            <rFont val="Tahoma"/>
            <family val="2"/>
            <charset val="204"/>
          </rPr>
          <t>01</t>
        </r>
        <r>
          <rPr>
            <sz val="9"/>
            <color indexed="81"/>
            <rFont val="Tahoma"/>
            <family val="2"/>
            <charset val="204"/>
          </rPr>
          <t xml:space="preserve"> - Not Present
</t>
        </r>
        <r>
          <rPr>
            <b/>
            <sz val="9"/>
            <color indexed="81"/>
            <rFont val="Tahoma"/>
            <family val="2"/>
            <charset val="204"/>
          </rPr>
          <t>10</t>
        </r>
        <r>
          <rPr>
            <sz val="9"/>
            <color indexed="81"/>
            <rFont val="Tahoma"/>
            <family val="2"/>
            <charset val="204"/>
          </rPr>
          <t xml:space="preserve"> - Present</t>
        </r>
      </text>
    </comment>
    <comment ref="AI359" authorId="0" shapeId="0" xr:uid="{727D29EB-7433-497E-888D-F5F0DD6E6815}">
      <text>
        <r>
          <rPr>
            <b/>
            <sz val="9"/>
            <color indexed="81"/>
            <rFont val="Tahoma"/>
            <family val="2"/>
            <charset val="204"/>
          </rPr>
          <t>Cruise control:</t>
        </r>
        <r>
          <rPr>
            <sz val="9"/>
            <color indexed="81"/>
            <rFont val="Tahoma"/>
            <family val="2"/>
            <charset val="204"/>
          </rPr>
          <t xml:space="preserve">
</t>
        </r>
        <r>
          <rPr>
            <i/>
            <sz val="8"/>
            <color indexed="81"/>
            <rFont val="Tahoma"/>
            <family val="2"/>
            <charset val="204"/>
          </rPr>
          <t>b6b5b4 - Value</t>
        </r>
        <r>
          <rPr>
            <sz val="9"/>
            <color indexed="81"/>
            <rFont val="Tahoma"/>
            <family val="2"/>
            <charset val="204"/>
          </rPr>
          <t xml:space="preserve">
</t>
        </r>
        <r>
          <rPr>
            <b/>
            <sz val="9"/>
            <color indexed="81"/>
            <rFont val="Tahoma"/>
            <family val="2"/>
            <charset val="204"/>
          </rPr>
          <t>001</t>
        </r>
        <r>
          <rPr>
            <sz val="9"/>
            <color indexed="81"/>
            <rFont val="Tahoma"/>
            <family val="2"/>
            <charset val="204"/>
          </rPr>
          <t xml:space="preserve"> - Without CC
</t>
        </r>
        <r>
          <rPr>
            <b/>
            <sz val="9"/>
            <color indexed="81"/>
            <rFont val="Tahoma"/>
            <family val="2"/>
            <charset val="204"/>
          </rPr>
          <t>010</t>
        </r>
        <r>
          <rPr>
            <sz val="9"/>
            <color indexed="81"/>
            <rFont val="Tahoma"/>
            <family val="2"/>
            <charset val="204"/>
          </rPr>
          <t xml:space="preserve"> - Standard CC
</t>
        </r>
        <r>
          <rPr>
            <b/>
            <sz val="9"/>
            <color indexed="81"/>
            <rFont val="Tahoma"/>
            <family val="2"/>
            <charset val="204"/>
          </rPr>
          <t>011</t>
        </r>
        <r>
          <rPr>
            <sz val="9"/>
            <color indexed="81"/>
            <rFont val="Tahoma"/>
            <family val="2"/>
            <charset val="204"/>
          </rPr>
          <t xml:space="preserve"> - Standard MRCC
</t>
        </r>
        <r>
          <rPr>
            <b/>
            <sz val="9"/>
            <color indexed="81"/>
            <rFont val="Tahoma"/>
            <family val="2"/>
            <charset val="204"/>
          </rPr>
          <t>100</t>
        </r>
        <r>
          <rPr>
            <sz val="9"/>
            <color indexed="81"/>
            <rFont val="Tahoma"/>
            <family val="2"/>
            <charset val="204"/>
          </rPr>
          <t xml:space="preserve"> - CC with ASL
</t>
        </r>
        <r>
          <rPr>
            <b/>
            <sz val="9"/>
            <color indexed="81"/>
            <rFont val="Tahoma"/>
            <family val="2"/>
            <charset val="204"/>
          </rPr>
          <t>101</t>
        </r>
        <r>
          <rPr>
            <sz val="9"/>
            <color indexed="81"/>
            <rFont val="Tahoma"/>
            <family val="2"/>
            <charset val="204"/>
          </rPr>
          <t xml:space="preserve"> - MRCC with ASL
</t>
        </r>
        <r>
          <rPr>
            <b/>
            <sz val="9"/>
            <color indexed="81"/>
            <rFont val="Tahoma"/>
            <family val="2"/>
          </rPr>
          <t>111</t>
        </r>
        <r>
          <rPr>
            <sz val="9"/>
            <color indexed="81"/>
            <rFont val="Tahoma"/>
            <family val="2"/>
            <charset val="204"/>
          </rPr>
          <t xml:space="preserve"> - MRCC with ISA</t>
        </r>
      </text>
    </comment>
    <comment ref="AA370" authorId="0" shapeId="0" xr:uid="{F96E1EF7-0139-4C64-9DAD-DC4EA6E6FCCB}">
      <text>
        <r>
          <rPr>
            <b/>
            <sz val="9"/>
            <color indexed="81"/>
            <rFont val="Tahoma"/>
            <family val="2"/>
            <charset val="204"/>
          </rPr>
          <t>SCBS:</t>
        </r>
        <r>
          <rPr>
            <sz val="9"/>
            <color indexed="81"/>
            <rFont val="Tahoma"/>
            <family val="2"/>
            <charset val="204"/>
          </rPr>
          <t xml:space="preserve">
</t>
        </r>
        <r>
          <rPr>
            <i/>
            <sz val="8"/>
            <color indexed="81"/>
            <rFont val="Tahoma"/>
            <family val="2"/>
            <charset val="204"/>
          </rPr>
          <t>b6b5b4 - Value</t>
        </r>
        <r>
          <rPr>
            <sz val="9"/>
            <color indexed="81"/>
            <rFont val="Tahoma"/>
            <family val="2"/>
            <charset val="204"/>
          </rPr>
          <t xml:space="preserve">
</t>
        </r>
        <r>
          <rPr>
            <b/>
            <sz val="9"/>
            <color indexed="81"/>
            <rFont val="Tahoma"/>
            <family val="2"/>
            <charset val="204"/>
          </rPr>
          <t>001</t>
        </r>
        <r>
          <rPr>
            <sz val="9"/>
            <color indexed="81"/>
            <rFont val="Tahoma"/>
            <family val="2"/>
            <charset val="204"/>
          </rPr>
          <t xml:space="preserve"> - SCBS Off
</t>
        </r>
        <r>
          <rPr>
            <b/>
            <sz val="9"/>
            <color indexed="81"/>
            <rFont val="Tahoma"/>
            <family val="2"/>
            <charset val="204"/>
          </rPr>
          <t>010</t>
        </r>
        <r>
          <rPr>
            <sz val="9"/>
            <color indexed="81"/>
            <rFont val="Tahoma"/>
            <family val="2"/>
            <charset val="204"/>
          </rPr>
          <t xml:space="preserve"> - SCBS On (Laser Sensor)
</t>
        </r>
        <r>
          <rPr>
            <b/>
            <sz val="9"/>
            <color indexed="81"/>
            <rFont val="Tahoma"/>
            <family val="2"/>
            <charset val="204"/>
          </rPr>
          <t>100</t>
        </r>
        <r>
          <rPr>
            <sz val="9"/>
            <color indexed="81"/>
            <rFont val="Tahoma"/>
            <family val="2"/>
            <charset val="204"/>
          </rPr>
          <t xml:space="preserve"> - SCBS On (FSC Gen 2)</t>
        </r>
      </text>
    </comment>
    <comment ref="AA382" authorId="0" shapeId="0" xr:uid="{9D1D275C-C409-4728-BE5C-EE5730956B19}">
      <text>
        <r>
          <rPr>
            <b/>
            <sz val="9"/>
            <color indexed="81"/>
            <rFont val="Tahoma"/>
            <family val="2"/>
            <charset val="204"/>
          </rPr>
          <t>i-ELOOP:</t>
        </r>
        <r>
          <rPr>
            <sz val="9"/>
            <color indexed="81"/>
            <rFont val="Tahoma"/>
            <family val="2"/>
            <charset val="204"/>
          </rPr>
          <t xml:space="preserve">
</t>
        </r>
        <r>
          <rPr>
            <i/>
            <sz val="8"/>
            <color indexed="81"/>
            <rFont val="Tahoma"/>
            <family val="2"/>
            <charset val="204"/>
          </rPr>
          <t>b5b4 - Value</t>
        </r>
        <r>
          <rPr>
            <sz val="9"/>
            <color indexed="81"/>
            <rFont val="Tahoma"/>
            <family val="2"/>
            <charset val="204"/>
          </rPr>
          <t xml:space="preserve">
</t>
        </r>
        <r>
          <rPr>
            <b/>
            <sz val="9"/>
            <color indexed="81"/>
            <rFont val="Tahoma"/>
            <family val="2"/>
            <charset val="204"/>
          </rPr>
          <t>01</t>
        </r>
        <r>
          <rPr>
            <sz val="9"/>
            <color indexed="81"/>
            <rFont val="Tahoma"/>
            <family val="2"/>
            <charset val="204"/>
          </rPr>
          <t xml:space="preserve"> - Off
</t>
        </r>
        <r>
          <rPr>
            <b/>
            <sz val="9"/>
            <color indexed="81"/>
            <rFont val="Tahoma"/>
            <family val="2"/>
            <charset val="204"/>
          </rPr>
          <t>10</t>
        </r>
        <r>
          <rPr>
            <sz val="9"/>
            <color indexed="81"/>
            <rFont val="Tahoma"/>
            <family val="2"/>
            <charset val="204"/>
          </rPr>
          <t xml:space="preserve"> - On</t>
        </r>
      </text>
    </comment>
    <comment ref="S393" authorId="2" shapeId="0" xr:uid="{6E03913D-C2AF-409A-9AAE-29F343DB5E74}">
      <text>
        <r>
          <rPr>
            <b/>
            <u/>
            <sz val="9"/>
            <color indexed="81"/>
            <rFont val="Tahoma"/>
            <family val="2"/>
            <charset val="204"/>
          </rPr>
          <t>BOSE:</t>
        </r>
        <r>
          <rPr>
            <b/>
            <sz val="9"/>
            <color indexed="81"/>
            <rFont val="Tahoma"/>
            <family val="2"/>
            <charset val="204"/>
          </rPr>
          <t xml:space="preserve">
</t>
        </r>
        <r>
          <rPr>
            <i/>
            <sz val="8"/>
            <color indexed="81"/>
            <rFont val="Tahoma"/>
            <family val="2"/>
          </rPr>
          <t>b5b4 - Value</t>
        </r>
        <r>
          <rPr>
            <b/>
            <sz val="9"/>
            <color indexed="81"/>
            <rFont val="Tahoma"/>
            <family val="2"/>
            <charset val="204"/>
          </rPr>
          <t xml:space="preserve">
01 - </t>
        </r>
        <r>
          <rPr>
            <sz val="9"/>
            <color indexed="81"/>
            <rFont val="Tahoma"/>
            <family val="2"/>
          </rPr>
          <t>No BOSE</t>
        </r>
        <r>
          <rPr>
            <b/>
            <sz val="9"/>
            <color indexed="81"/>
            <rFont val="Tahoma"/>
            <family val="2"/>
            <charset val="204"/>
          </rPr>
          <t xml:space="preserve">
10 - </t>
        </r>
        <r>
          <rPr>
            <sz val="9"/>
            <color indexed="81"/>
            <rFont val="Tahoma"/>
            <family val="2"/>
          </rPr>
          <t>BOSE present</t>
        </r>
      </text>
    </comment>
    <comment ref="AA397" authorId="0" shapeId="0" xr:uid="{9443602D-ABC5-4C7D-AC6A-9189725FA60D}">
      <text>
        <r>
          <rPr>
            <b/>
            <sz val="9"/>
            <color indexed="81"/>
            <rFont val="Tahoma"/>
            <family val="2"/>
            <charset val="204"/>
          </rPr>
          <t xml:space="preserve">Seat heating:
</t>
        </r>
        <r>
          <rPr>
            <i/>
            <sz val="8"/>
            <color indexed="81"/>
            <rFont val="Tahoma"/>
            <family val="2"/>
            <charset val="204"/>
          </rPr>
          <t>b1b0 - Value</t>
        </r>
        <r>
          <rPr>
            <b/>
            <sz val="9"/>
            <color indexed="81"/>
            <rFont val="Tahoma"/>
            <family val="2"/>
            <charset val="204"/>
          </rPr>
          <t xml:space="preserve">
00</t>
        </r>
        <r>
          <rPr>
            <sz val="9"/>
            <color indexed="81"/>
            <rFont val="Tahoma"/>
            <family val="2"/>
            <charset val="204"/>
          </rPr>
          <t xml:space="preserve"> - Cloth/Perforated Leather seats</t>
        </r>
        <r>
          <rPr>
            <b/>
            <sz val="9"/>
            <color indexed="81"/>
            <rFont val="Tahoma"/>
            <family val="2"/>
            <charset val="204"/>
          </rPr>
          <t xml:space="preserve">
01</t>
        </r>
        <r>
          <rPr>
            <sz val="9"/>
            <color indexed="81"/>
            <rFont val="Tahoma"/>
            <family val="2"/>
            <charset val="204"/>
          </rPr>
          <t xml:space="preserve"> - Leatherette seats
</t>
        </r>
        <r>
          <rPr>
            <b/>
            <sz val="9"/>
            <color indexed="81"/>
            <rFont val="Tahoma"/>
            <family val="2"/>
          </rPr>
          <t>10</t>
        </r>
        <r>
          <rPr>
            <sz val="9"/>
            <color indexed="81"/>
            <rFont val="Tahoma"/>
            <family val="2"/>
            <charset val="204"/>
          </rPr>
          <t xml:space="preserve"> - ??
</t>
        </r>
        <r>
          <rPr>
            <b/>
            <sz val="9"/>
            <color indexed="81"/>
            <rFont val="Tahoma"/>
            <family val="2"/>
          </rPr>
          <t>11</t>
        </r>
        <r>
          <rPr>
            <sz val="9"/>
            <color indexed="81"/>
            <rFont val="Tahoma"/>
            <family val="2"/>
            <charset val="204"/>
          </rPr>
          <t xml:space="preserve"> - ??</t>
        </r>
      </text>
    </comment>
    <comment ref="W404" authorId="0" shapeId="0" xr:uid="{07ABFDA2-3C79-42B6-86B5-8C965A0CE4CC}">
      <text>
        <r>
          <rPr>
            <b/>
            <sz val="9"/>
            <color indexed="81"/>
            <rFont val="Tahoma"/>
            <family val="2"/>
            <charset val="204"/>
          </rPr>
          <t>Applications - Vehicle Telemetry Transfer sub-menu:</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Hide
</t>
        </r>
        <r>
          <rPr>
            <b/>
            <sz val="9"/>
            <color indexed="81"/>
            <rFont val="Tahoma"/>
            <family val="2"/>
            <charset val="204"/>
          </rPr>
          <t>1</t>
        </r>
        <r>
          <rPr>
            <sz val="9"/>
            <color indexed="81"/>
            <rFont val="Tahoma"/>
            <family val="2"/>
            <charset val="204"/>
          </rPr>
          <t xml:space="preserve"> - Show</t>
        </r>
      </text>
    </comment>
    <comment ref="W405" authorId="0" shapeId="0" xr:uid="{C3E6DCFD-8843-49FD-8BB1-D71C1FB5A15D}">
      <text>
        <r>
          <rPr>
            <b/>
            <sz val="9"/>
            <color indexed="81"/>
            <rFont val="Tahoma"/>
            <family val="2"/>
            <charset val="204"/>
          </rPr>
          <t>Applications - Driver Selection sub-menu:
0</t>
        </r>
        <r>
          <rPr>
            <sz val="9"/>
            <color indexed="81"/>
            <rFont val="Tahoma"/>
            <family val="2"/>
            <charset val="204"/>
          </rPr>
          <t xml:space="preserve"> - Hide
</t>
        </r>
        <r>
          <rPr>
            <b/>
            <sz val="9"/>
            <color indexed="81"/>
            <rFont val="Tahoma"/>
            <family val="2"/>
            <charset val="204"/>
          </rPr>
          <t>1</t>
        </r>
        <r>
          <rPr>
            <sz val="9"/>
            <color indexed="81"/>
            <rFont val="Tahoma"/>
            <family val="2"/>
            <charset val="204"/>
          </rPr>
          <t xml:space="preserve"> - Show</t>
        </r>
      </text>
    </comment>
    <comment ref="W406" authorId="0" shapeId="0" xr:uid="{E93D1D71-2A2B-4491-84A4-5B0F1FC45950}">
      <text>
        <r>
          <rPr>
            <b/>
            <sz val="9"/>
            <color indexed="81"/>
            <rFont val="Tahoma"/>
            <family val="2"/>
            <charset val="204"/>
          </rPr>
          <t>Applications - i-DM application:</t>
        </r>
        <r>
          <rPr>
            <sz val="9"/>
            <color indexed="81"/>
            <rFont val="Tahoma"/>
            <family val="2"/>
            <charset val="204"/>
          </rPr>
          <t xml:space="preserve">
</t>
        </r>
        <r>
          <rPr>
            <b/>
            <sz val="9"/>
            <color indexed="81"/>
            <rFont val="Tahoma"/>
            <family val="2"/>
            <charset val="204"/>
          </rPr>
          <t>0</t>
        </r>
        <r>
          <rPr>
            <sz val="9"/>
            <color indexed="81"/>
            <rFont val="Tahoma"/>
            <family val="2"/>
            <charset val="204"/>
          </rPr>
          <t xml:space="preserve"> - Disable
</t>
        </r>
        <r>
          <rPr>
            <b/>
            <sz val="9"/>
            <color indexed="81"/>
            <rFont val="Tahoma"/>
            <family val="2"/>
            <charset val="204"/>
          </rPr>
          <t>1</t>
        </r>
        <r>
          <rPr>
            <sz val="9"/>
            <color indexed="81"/>
            <rFont val="Tahoma"/>
            <family val="2"/>
            <charset val="204"/>
          </rPr>
          <t xml:space="preserve"> - Enable</t>
        </r>
      </text>
    </comment>
    <comment ref="AA406" authorId="0" shapeId="0" xr:uid="{D2404733-CE7B-4125-B2DF-3E8BDC9B33B4}">
      <text>
        <r>
          <rPr>
            <b/>
            <sz val="9"/>
            <color indexed="81"/>
            <rFont val="Tahoma"/>
            <family val="2"/>
          </rPr>
          <t>Backup Camera:
1</t>
        </r>
        <r>
          <rPr>
            <sz val="9"/>
            <color indexed="81"/>
            <rFont val="Tahoma"/>
            <family val="2"/>
          </rPr>
          <t xml:space="preserve"> - with Dynamic Assist Lines (7 wires);</t>
        </r>
        <r>
          <rPr>
            <b/>
            <sz val="9"/>
            <color indexed="81"/>
            <rFont val="Tahoma"/>
            <family val="2"/>
          </rPr>
          <t xml:space="preserve">
0 </t>
        </r>
        <r>
          <rPr>
            <sz val="9"/>
            <color indexed="81"/>
            <rFont val="Tahoma"/>
            <family val="2"/>
          </rPr>
          <t>- with Fixed Assist Lines (4 wires)</t>
        </r>
      </text>
    </comment>
    <comment ref="W407" authorId="0" shapeId="0" xr:uid="{2E68AFE1-E69D-4345-90F4-F5B6F7FE9877}">
      <text>
        <r>
          <rPr>
            <b/>
            <sz val="9"/>
            <color indexed="81"/>
            <rFont val="Tahoma"/>
            <family val="2"/>
            <charset val="204"/>
          </rPr>
          <t>Applications - i-DM - Ending Screen setting:
0</t>
        </r>
        <r>
          <rPr>
            <sz val="9"/>
            <color indexed="81"/>
            <rFont val="Tahoma"/>
            <family val="2"/>
            <charset val="204"/>
          </rPr>
          <t xml:space="preserve"> - Hide
</t>
        </r>
        <r>
          <rPr>
            <b/>
            <sz val="9"/>
            <color indexed="81"/>
            <rFont val="Tahoma"/>
            <family val="2"/>
            <charset val="204"/>
          </rPr>
          <t>1</t>
        </r>
        <r>
          <rPr>
            <sz val="9"/>
            <color indexed="81"/>
            <rFont val="Tahoma"/>
            <family val="2"/>
            <charset val="204"/>
          </rPr>
          <t xml:space="preserve"> - Show</t>
        </r>
      </text>
    </comment>
    <comment ref="S458" authorId="1" shapeId="0" xr:uid="{84CA4758-20F2-4AC2-9FE3-CC15C20AEC55}">
      <text>
        <r>
          <rPr>
            <b/>
            <sz val="9"/>
            <color indexed="81"/>
            <rFont val="Tahoma"/>
            <family val="2"/>
            <charset val="204"/>
          </rPr>
          <t>Related to Low Level W/shield washer Liquid (in 720-01-01 B1 b5=1)</t>
        </r>
      </text>
    </comment>
    <comment ref="AA469" authorId="1" shapeId="0" xr:uid="{8F6F27E8-1879-4366-9D79-3E4A85E977D5}">
      <text>
        <r>
          <rPr>
            <b/>
            <sz val="9"/>
            <color indexed="81"/>
            <rFont val="Tahoma"/>
            <family val="2"/>
            <charset val="204"/>
          </rPr>
          <t>00 = HALO M2;
01 = HALO CX-3;
11 = LED</t>
        </r>
      </text>
    </comment>
    <comment ref="S481" authorId="1" shapeId="0" xr:uid="{3C472C76-18C0-409C-86A9-8A5319B46399}">
      <text>
        <r>
          <rPr>
            <b/>
            <sz val="9"/>
            <color indexed="81"/>
            <rFont val="Tahoma"/>
            <family val="2"/>
            <charset val="204"/>
          </rPr>
          <t>01 = JPN only;
11 = any except JPN</t>
        </r>
      </text>
    </comment>
    <comment ref="S484" authorId="1" shapeId="0" xr:uid="{A1FB944F-9FAF-4452-88D9-2410C321068E}">
      <text>
        <r>
          <rPr>
            <b/>
            <sz val="9"/>
            <color indexed="81"/>
            <rFont val="Tahoma"/>
            <family val="2"/>
            <charset val="204"/>
          </rPr>
          <t>110 = JPN only;
010 = AUS/ASIA;
011 = EU/UK/US</t>
        </r>
      </text>
    </comment>
    <comment ref="S490" authorId="2" shapeId="0" xr:uid="{A5B9B1DF-5E26-402C-BA65-77305AE6B2A5}">
      <text>
        <r>
          <rPr>
            <b/>
            <sz val="9"/>
            <color indexed="81"/>
            <rFont val="Tahoma"/>
            <family val="2"/>
            <charset val="204"/>
          </rPr>
          <t>100 = MX-5;
011 = CX-3;
010 = M2 HB;
000 = M2 SD</t>
        </r>
      </text>
    </comment>
    <comment ref="S493" authorId="1" shapeId="0" xr:uid="{157AEB11-A3E7-4890-9AB2-1CFE7B4DC656}">
      <text>
        <r>
          <rPr>
            <b/>
            <sz val="9"/>
            <color indexed="81"/>
            <rFont val="Tahoma"/>
            <family val="2"/>
            <charset val="204"/>
          </rPr>
          <t>1=no ADL;
0=ADL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Sergii Litnevskyi</author>
    <author>Alina Mykolyshyn</author>
  </authors>
  <commentList>
    <comment ref="S6" authorId="0" shapeId="0" xr:uid="{00000000-0006-0000-0A00-000001000000}">
      <text>
        <r>
          <rPr>
            <b/>
            <sz val="9"/>
            <color indexed="81"/>
            <rFont val="Tahoma"/>
            <family val="2"/>
          </rPr>
          <t>Double click to see</t>
        </r>
      </text>
    </comment>
    <comment ref="AA6" authorId="1" shapeId="0" xr:uid="{00000000-0006-0000-0A00-000002000000}">
      <text>
        <r>
          <rPr>
            <b/>
            <sz val="9"/>
            <color indexed="81"/>
            <rFont val="Tahoma"/>
            <family val="2"/>
          </rPr>
          <t>Double click to see</t>
        </r>
      </text>
    </comment>
    <comment ref="AE6" authorId="0" shapeId="0" xr:uid="{00000000-0006-0000-0A00-000003000000}">
      <text>
        <r>
          <rPr>
            <b/>
            <sz val="9"/>
            <color indexed="81"/>
            <rFont val="Tahoma"/>
            <family val="2"/>
          </rPr>
          <t>Double click to see</t>
        </r>
      </text>
    </comment>
    <comment ref="AA9" authorId="1" shapeId="0" xr:uid="{00000000-0006-0000-0A00-000004000000}">
      <text>
        <r>
          <rPr>
            <b/>
            <sz val="9"/>
            <color indexed="81"/>
            <rFont val="Tahoma"/>
            <family val="2"/>
          </rPr>
          <t>Double click to see</t>
        </r>
      </text>
    </comment>
    <comment ref="W11" authorId="1" shapeId="0" xr:uid="{00000000-0006-0000-0A00-000005000000}">
      <text>
        <r>
          <rPr>
            <b/>
            <sz val="9"/>
            <color indexed="81"/>
            <rFont val="Tahoma"/>
            <family val="2"/>
          </rPr>
          <t>Double click to see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Sergii Litnevskyi</author>
  </authors>
  <commentList>
    <comment ref="B3" authorId="0" shapeId="0" xr:uid="{00000000-0006-0000-0B00-000001000000}">
      <text>
        <r>
          <rPr>
            <b/>
            <sz val="9"/>
            <color indexed="81"/>
            <rFont val="Tahoma"/>
            <family val="2"/>
          </rPr>
          <t>Change to 03 if needed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RePack by Diakov</author>
  </authors>
  <commentList>
    <comment ref="F1" authorId="0" shapeId="0" xr:uid="{00000000-0006-0000-0C00-000001000000}">
      <text>
        <r>
          <rPr>
            <b/>
            <sz val="9"/>
            <color indexed="81"/>
            <rFont val="Tahoma"/>
            <family val="2"/>
            <charset val="204"/>
          </rPr>
          <t>ESS - B0=5X, 6X, 7X</t>
        </r>
        <r>
          <rPr>
            <sz val="9"/>
            <color indexed="81"/>
            <rFont val="Tahoma"/>
            <family val="2"/>
            <charset val="204"/>
          </rPr>
          <t xml:space="preserve">
</t>
        </r>
      </text>
    </comment>
    <comment ref="G1" authorId="0" shapeId="0" xr:uid="{00000000-0006-0000-0C00-000002000000}">
      <text>
        <r>
          <rPr>
            <b/>
            <sz val="9"/>
            <color indexed="81"/>
            <rFont val="Tahoma"/>
            <family val="2"/>
            <charset val="204"/>
          </rPr>
          <t>TPMS - B0=2X</t>
        </r>
      </text>
    </comment>
    <comment ref="H1" authorId="0" shapeId="0" xr:uid="{00000000-0006-0000-0C00-000003000000}">
      <text>
        <r>
          <rPr>
            <b/>
            <sz val="9"/>
            <color indexed="81"/>
            <rFont val="Tahoma"/>
            <family val="2"/>
            <charset val="204"/>
          </rPr>
          <t>HALO       - B0=1X
LED+ALS - B0=2X
AFS+ALS - B0=3X
ALH         - B0=4X</t>
        </r>
        <r>
          <rPr>
            <sz val="9"/>
            <color indexed="81"/>
            <rFont val="Tahoma"/>
            <family val="2"/>
            <charset val="204"/>
          </rPr>
          <t xml:space="preserve">
</t>
        </r>
      </text>
    </comment>
    <comment ref="I1" authorId="0" shapeId="0" xr:uid="{00000000-0006-0000-0C00-000004000000}">
      <text>
        <r>
          <rPr>
            <b/>
            <sz val="9"/>
            <color indexed="81"/>
            <rFont val="Tahoma"/>
            <family val="2"/>
            <charset val="204"/>
          </rPr>
          <t>SCBS-R - B3=4X
DAA      - B5=X7</t>
        </r>
      </text>
    </comment>
    <comment ref="K1" authorId="0" shapeId="0" xr:uid="{00000000-0006-0000-0C00-000005000000}">
      <text>
        <r>
          <rPr>
            <b/>
            <sz val="9"/>
            <color indexed="81"/>
            <rFont val="Tahoma"/>
            <family val="2"/>
            <charset val="204"/>
          </rPr>
          <t>LDWS                  - B0=41
HBC/LDWS          - B0=2X
HBC/LDWS/LKAS - B0=B0,C0,92,D1
RVM                     - B3=2X</t>
        </r>
      </text>
    </comment>
    <comment ref="L1" authorId="0" shapeId="0" xr:uid="{00000000-0006-0000-0C00-000006000000}">
      <text>
        <r>
          <rPr>
            <b/>
            <sz val="9"/>
            <color indexed="81"/>
            <rFont val="Tahoma"/>
            <family val="2"/>
            <charset val="204"/>
          </rPr>
          <t>BSM - B3=33,40</t>
        </r>
        <r>
          <rPr>
            <sz val="9"/>
            <color indexed="81"/>
            <rFont val="Tahoma"/>
            <family val="2"/>
            <charset val="204"/>
          </rPr>
          <t xml:space="preserve">
</t>
        </r>
      </text>
    </comment>
    <comment ref="N1" authorId="0" shapeId="0" xr:uid="{00000000-0006-0000-0C00-000007000000}">
      <text>
        <r>
          <rPr>
            <b/>
            <sz val="9"/>
            <color indexed="81"/>
            <rFont val="Tahoma"/>
            <family val="2"/>
            <charset val="204"/>
          </rPr>
          <t>CC             - B0=2X
MRCC        - B0=3X
CC-LIM      - B0=4X
MRCC-LIM - B0=5X</t>
        </r>
        <r>
          <rPr>
            <sz val="9"/>
            <color indexed="81"/>
            <rFont val="Tahoma"/>
            <family val="2"/>
            <charset val="204"/>
          </rPr>
          <t xml:space="preserve">
</t>
        </r>
      </text>
    </comment>
    <comment ref="S1" authorId="0" shapeId="0" xr:uid="{00000000-0006-0000-0C00-000008000000}">
      <text>
        <r>
          <rPr>
            <b/>
            <sz val="9"/>
            <color indexed="81"/>
            <rFont val="Tahoma"/>
            <family val="2"/>
            <charset val="204"/>
          </rPr>
          <t>RePack by Diakov:</t>
        </r>
        <r>
          <rPr>
            <sz val="9"/>
            <color indexed="81"/>
            <rFont val="Tahoma"/>
            <family val="2"/>
            <charset val="204"/>
          </rPr>
          <t xml:space="preserve">
Пробовать …9028</t>
        </r>
      </text>
    </comment>
    <comment ref="T1" authorId="0" shapeId="0" xr:uid="{00000000-0006-0000-0C00-000009000000}">
      <text>
        <r>
          <rPr>
            <b/>
            <sz val="9"/>
            <color indexed="81"/>
            <rFont val="Tahoma"/>
            <family val="2"/>
            <charset val="204"/>
          </rPr>
          <t>RePack by Diakov:</t>
        </r>
        <r>
          <rPr>
            <sz val="9"/>
            <color indexed="81"/>
            <rFont val="Tahoma"/>
            <family val="2"/>
            <charset val="204"/>
          </rPr>
          <t xml:space="preserve">
Пробовать …9028</t>
        </r>
      </text>
    </comment>
    <comment ref="U1" authorId="0" shapeId="0" xr:uid="{00000000-0006-0000-0C00-00000A000000}">
      <text>
        <r>
          <rPr>
            <b/>
            <sz val="9"/>
            <color indexed="81"/>
            <rFont val="Tahoma"/>
            <family val="2"/>
            <charset val="204"/>
          </rPr>
          <t>RePack by Diakov:</t>
        </r>
        <r>
          <rPr>
            <sz val="9"/>
            <color indexed="81"/>
            <rFont val="Tahoma"/>
            <family val="2"/>
            <charset val="204"/>
          </rPr>
          <t xml:space="preserve">
Пробовать …9028</t>
        </r>
      </text>
    </comment>
    <comment ref="A3" authorId="0" shapeId="0" xr:uid="{00000000-0006-0000-0C00-00000B000000}">
      <text>
        <r>
          <rPr>
            <b/>
            <sz val="9"/>
            <color indexed="81"/>
            <rFont val="Tahoma"/>
            <family val="2"/>
            <charset val="204"/>
          </rPr>
          <t>My M2/HALO/LDWS/</t>
        </r>
        <r>
          <rPr>
            <sz val="9"/>
            <color indexed="81"/>
            <rFont val="Tahoma"/>
            <family val="2"/>
            <charset val="204"/>
          </rPr>
          <t xml:space="preserve">   3MDDJ5HVA3M135726</t>
        </r>
      </text>
    </comment>
    <comment ref="B3" authorId="0" shapeId="0" xr:uid="{00000000-0006-0000-0C00-00000C000000}">
      <text>
        <r>
          <rPr>
            <sz val="9"/>
            <color indexed="81"/>
            <rFont val="Tahoma"/>
            <family val="2"/>
            <charset val="204"/>
          </rPr>
          <t xml:space="preserve">3MDDJ5HVA3M135726
</t>
        </r>
      </text>
    </comment>
    <comment ref="F3" authorId="0" shapeId="0" xr:uid="{00000000-0006-0000-0C00-00000D000000}">
      <text>
        <r>
          <rPr>
            <b/>
            <sz val="9"/>
            <color indexed="81"/>
            <rFont val="Tahoma"/>
            <family val="2"/>
            <charset val="204"/>
          </rPr>
          <t xml:space="preserve">0 = VMC </t>
        </r>
        <r>
          <rPr>
            <sz val="9"/>
            <color indexed="81"/>
            <rFont val="Tahoma"/>
            <family val="2"/>
            <charset val="204"/>
          </rPr>
          <t>Not configured</t>
        </r>
      </text>
    </comment>
    <comment ref="G3" authorId="0" shapeId="0" xr:uid="{00000000-0006-0000-0C00-00000E000000}">
      <text>
        <r>
          <rPr>
            <b/>
            <sz val="9"/>
            <color indexed="81"/>
            <rFont val="Tahoma"/>
            <family val="2"/>
            <charset val="204"/>
          </rPr>
          <t xml:space="preserve">3 = TPMS </t>
        </r>
        <r>
          <rPr>
            <sz val="9"/>
            <color indexed="81"/>
            <rFont val="Tahoma"/>
            <family val="2"/>
            <charset val="204"/>
          </rPr>
          <t>Type 2</t>
        </r>
      </text>
    </comment>
    <comment ref="H3" authorId="0" shapeId="0" xr:uid="{00000000-0006-0000-0C00-00000F000000}">
      <text>
        <r>
          <rPr>
            <b/>
            <sz val="9"/>
            <color indexed="81"/>
            <rFont val="Tahoma"/>
            <family val="2"/>
            <charset val="204"/>
          </rPr>
          <t xml:space="preserve">1 = HALO: </t>
        </r>
        <r>
          <rPr>
            <sz val="9"/>
            <color indexed="81"/>
            <rFont val="Tahoma"/>
            <family val="2"/>
            <charset val="204"/>
          </rPr>
          <t>NO AFS</t>
        </r>
      </text>
    </comment>
    <comment ref="I3" authorId="0" shapeId="0" xr:uid="{00000000-0006-0000-0C00-000010000000}">
      <text>
        <r>
          <rPr>
            <b/>
            <sz val="9"/>
            <color indexed="81"/>
            <rFont val="Tahoma"/>
            <family val="2"/>
            <charset val="204"/>
          </rPr>
          <t>0 =</t>
        </r>
        <r>
          <rPr>
            <sz val="9"/>
            <color indexed="81"/>
            <rFont val="Tahoma"/>
            <family val="2"/>
            <charset val="204"/>
          </rPr>
          <t xml:space="preserve"> Not configured
</t>
        </r>
      </text>
    </comment>
    <comment ref="K3" authorId="0" shapeId="0" xr:uid="{00000000-0006-0000-0C00-000011000000}">
      <text>
        <r>
          <rPr>
            <b/>
            <sz val="9"/>
            <color indexed="81"/>
            <rFont val="Tahoma"/>
            <family val="2"/>
            <charset val="204"/>
          </rPr>
          <t>1 = No RVM
706010145305130
70601022C000000
706010300000000</t>
        </r>
      </text>
    </comment>
    <comment ref="L3" authorId="0" shapeId="0" xr:uid="{00000000-0006-0000-0C00-000012000000}">
      <text>
        <r>
          <rPr>
            <b/>
            <sz val="9"/>
            <color indexed="81"/>
            <rFont val="Tahoma"/>
            <family val="2"/>
            <charset val="204"/>
          </rPr>
          <t>1 = No BSM</t>
        </r>
      </text>
    </comment>
    <comment ref="M3" authorId="0" shapeId="0" xr:uid="{00000000-0006-0000-0C00-000013000000}">
      <text>
        <r>
          <rPr>
            <b/>
            <sz val="9"/>
            <color indexed="81"/>
            <rFont val="Tahoma"/>
            <family val="2"/>
            <charset val="204"/>
          </rPr>
          <t xml:space="preserve">4 = EATC </t>
        </r>
        <r>
          <rPr>
            <sz val="9"/>
            <color indexed="81"/>
            <rFont val="Tahoma"/>
            <family val="2"/>
            <charset val="204"/>
          </rPr>
          <t>Type 3</t>
        </r>
      </text>
    </comment>
    <comment ref="N3" authorId="0" shapeId="0" xr:uid="{00000000-0006-0000-0C00-000014000000}">
      <text>
        <r>
          <rPr>
            <b/>
            <sz val="9"/>
            <color indexed="81"/>
            <rFont val="Tahoma"/>
            <family val="2"/>
            <charset val="204"/>
          </rPr>
          <t>CC/no SCBS</t>
        </r>
        <r>
          <rPr>
            <sz val="9"/>
            <color indexed="81"/>
            <rFont val="Tahoma"/>
            <family val="2"/>
            <charset val="204"/>
          </rPr>
          <t xml:space="preserve">
</t>
        </r>
      </text>
    </comment>
    <comment ref="S3" authorId="0" shapeId="0" xr:uid="{00000000-0006-0000-0C00-000015000000}">
      <text>
        <r>
          <rPr>
            <b/>
            <sz val="9"/>
            <color indexed="81"/>
            <rFont val="Tahoma"/>
            <family val="2"/>
            <charset val="204"/>
          </rPr>
          <t>ToTEST:</t>
        </r>
        <r>
          <rPr>
            <sz val="9"/>
            <color indexed="81"/>
            <rFont val="Tahoma"/>
            <family val="2"/>
            <charset val="204"/>
          </rPr>
          <t xml:space="preserve">
000008609028</t>
        </r>
      </text>
    </comment>
    <comment ref="T3" authorId="0" shapeId="0" xr:uid="{00000000-0006-0000-0C00-000016000000}">
      <text>
        <r>
          <rPr>
            <b/>
            <sz val="9"/>
            <color indexed="81"/>
            <rFont val="Tahoma"/>
            <family val="2"/>
            <charset val="204"/>
          </rPr>
          <t>To TEST:</t>
        </r>
        <r>
          <rPr>
            <sz val="9"/>
            <color indexed="81"/>
            <rFont val="Tahoma"/>
            <family val="2"/>
            <charset val="204"/>
          </rPr>
          <t xml:space="preserve">
681400320000</t>
        </r>
      </text>
    </comment>
    <comment ref="U3" authorId="0" shapeId="0" xr:uid="{00000000-0006-0000-0C00-000017000000}">
      <text>
        <r>
          <rPr>
            <b/>
            <sz val="9"/>
            <color indexed="81"/>
            <rFont val="Tahoma"/>
            <family val="2"/>
            <charset val="204"/>
          </rPr>
          <t>To TEST:</t>
        </r>
        <r>
          <rPr>
            <sz val="9"/>
            <color indexed="81"/>
            <rFont val="Tahoma"/>
            <family val="2"/>
            <charset val="204"/>
          </rPr>
          <t xml:space="preserve">
42AC65000000</t>
        </r>
      </text>
    </comment>
    <comment ref="A4" authorId="0" shapeId="0" xr:uid="{00000000-0006-0000-0C00-000018000000}">
      <text>
        <r>
          <rPr>
            <b/>
            <sz val="9"/>
            <color indexed="81"/>
            <rFont val="Tahoma"/>
            <family val="2"/>
            <charset val="204"/>
          </rPr>
          <t xml:space="preserve">-710/SCBS/BSM/LED/ALS/LDWS/HBC/   </t>
        </r>
        <r>
          <rPr>
            <sz val="9"/>
            <color indexed="81"/>
            <rFont val="Tahoma"/>
            <family val="2"/>
            <charset val="204"/>
          </rPr>
          <t>3MDDJ5HVA3M135710</t>
        </r>
      </text>
    </comment>
    <comment ref="B4" authorId="0" shapeId="0" xr:uid="{00000000-0006-0000-0C00-000019000000}">
      <text>
        <r>
          <rPr>
            <sz val="9"/>
            <color indexed="81"/>
            <rFont val="Tahoma"/>
            <family val="2"/>
            <charset val="204"/>
          </rPr>
          <t>3MDDJ5HVA3M135710</t>
        </r>
      </text>
    </comment>
    <comment ref="G4" authorId="0" shapeId="0" xr:uid="{00000000-0006-0000-0C00-00001A000000}">
      <text>
        <r>
          <rPr>
            <b/>
            <sz val="9"/>
            <color indexed="81"/>
            <rFont val="Tahoma"/>
            <family val="2"/>
            <charset val="204"/>
          </rPr>
          <t xml:space="preserve">3 = TPMS </t>
        </r>
        <r>
          <rPr>
            <sz val="9"/>
            <color indexed="81"/>
            <rFont val="Tahoma"/>
            <family val="2"/>
            <charset val="204"/>
          </rPr>
          <t>Type 2</t>
        </r>
      </text>
    </comment>
    <comment ref="H4" authorId="0" shapeId="0" xr:uid="{00000000-0006-0000-0C00-00001B000000}">
      <text>
        <r>
          <rPr>
            <b/>
            <sz val="9"/>
            <color indexed="81"/>
            <rFont val="Tahoma"/>
            <family val="2"/>
            <charset val="204"/>
          </rPr>
          <t xml:space="preserve">2 = ALS: </t>
        </r>
        <r>
          <rPr>
            <sz val="9"/>
            <color indexed="81"/>
            <rFont val="Tahoma"/>
            <family val="2"/>
            <charset val="204"/>
          </rPr>
          <t>AFS/ALM Type 1</t>
        </r>
      </text>
    </comment>
    <comment ref="K4" authorId="0" shapeId="0" xr:uid="{00000000-0006-0000-0C00-00001C000000}">
      <text>
        <r>
          <rPr>
            <b/>
            <sz val="9"/>
            <color indexed="81"/>
            <rFont val="Tahoma"/>
            <family val="2"/>
            <charset val="204"/>
          </rPr>
          <t>706010125305130
70601022C810000
706010300000000</t>
        </r>
        <r>
          <rPr>
            <sz val="9"/>
            <color indexed="81"/>
            <rFont val="Tahoma"/>
            <family val="2"/>
            <charset val="204"/>
          </rPr>
          <t xml:space="preserve">
</t>
        </r>
      </text>
    </comment>
    <comment ref="L4" authorId="0" shapeId="0" xr:uid="{00000000-0006-0000-0C00-00001D000000}">
      <text>
        <r>
          <rPr>
            <b/>
            <sz val="9"/>
            <color indexed="81"/>
            <rFont val="Tahoma"/>
            <family val="2"/>
            <charset val="204"/>
          </rPr>
          <t xml:space="preserve">3 = BSM </t>
        </r>
        <r>
          <rPr>
            <sz val="9"/>
            <color indexed="81"/>
            <rFont val="Tahoma"/>
            <family val="2"/>
            <charset val="204"/>
          </rPr>
          <t xml:space="preserve">Type2
</t>
        </r>
      </text>
    </comment>
    <comment ref="N4" authorId="0" shapeId="0" xr:uid="{00000000-0006-0000-0C00-00001E000000}">
      <text>
        <r>
          <rPr>
            <b/>
            <sz val="9"/>
            <color indexed="81"/>
            <rFont val="Tahoma"/>
            <family val="2"/>
            <charset val="204"/>
          </rPr>
          <t>CC/SCBS</t>
        </r>
        <r>
          <rPr>
            <sz val="9"/>
            <color indexed="81"/>
            <rFont val="Tahoma"/>
            <family val="2"/>
            <charset val="204"/>
          </rPr>
          <t xml:space="preserve">
</t>
        </r>
      </text>
    </comment>
    <comment ref="A5" authorId="0" shapeId="0" xr:uid="{00000000-0006-0000-0C00-00001F000000}">
      <text>
        <r>
          <rPr>
            <b/>
            <sz val="9"/>
            <color indexed="81"/>
            <rFont val="Tahoma"/>
            <family val="2"/>
            <charset val="204"/>
          </rPr>
          <t xml:space="preserve">CX-3/ADL/LED/ALS/  </t>
        </r>
        <r>
          <rPr>
            <sz val="9"/>
            <color indexed="81"/>
            <rFont val="Tahoma"/>
            <family val="2"/>
            <charset val="204"/>
          </rPr>
          <t>JM7DK4W7AH0123903</t>
        </r>
      </text>
    </comment>
    <comment ref="B5" authorId="0" shapeId="0" xr:uid="{00000000-0006-0000-0C00-000020000000}">
      <text>
        <r>
          <rPr>
            <sz val="9"/>
            <color indexed="81"/>
            <rFont val="Tahoma"/>
            <family val="2"/>
            <charset val="204"/>
          </rPr>
          <t>JM7DK4W7AH0123903</t>
        </r>
      </text>
    </comment>
    <comment ref="F5" authorId="0" shapeId="0" xr:uid="{00000000-0006-0000-0C00-000021000000}">
      <text>
        <r>
          <rPr>
            <b/>
            <sz val="9"/>
            <color indexed="81"/>
            <rFont val="Tahoma"/>
            <family val="2"/>
            <charset val="204"/>
          </rPr>
          <t>ADL</t>
        </r>
        <r>
          <rPr>
            <sz val="9"/>
            <color indexed="81"/>
            <rFont val="Tahoma"/>
            <family val="2"/>
            <charset val="204"/>
          </rPr>
          <t xml:space="preserve">
</t>
        </r>
      </text>
    </comment>
    <comment ref="G5" authorId="0" shapeId="0" xr:uid="{00000000-0006-0000-0C00-000022000000}">
      <text>
        <r>
          <rPr>
            <b/>
            <sz val="9"/>
            <color indexed="81"/>
            <rFont val="Tahoma"/>
            <family val="2"/>
            <charset val="204"/>
          </rPr>
          <t>1 = No TPMS</t>
        </r>
      </text>
    </comment>
    <comment ref="K5" authorId="0" shapeId="0" xr:uid="{00000000-0006-0000-0C00-000023000000}">
      <text>
        <r>
          <rPr>
            <b/>
            <sz val="9"/>
            <color indexed="81"/>
            <rFont val="Tahoma"/>
            <family val="2"/>
            <charset val="204"/>
          </rPr>
          <t>NO FSC</t>
        </r>
        <r>
          <rPr>
            <sz val="9"/>
            <color indexed="81"/>
            <rFont val="Tahoma"/>
            <family val="2"/>
            <charset val="204"/>
          </rPr>
          <t xml:space="preserve">
</t>
        </r>
      </text>
    </comment>
    <comment ref="A6" authorId="0" shapeId="0" xr:uid="{00000000-0006-0000-0C00-000024000000}">
      <text>
        <r>
          <rPr>
            <b/>
            <sz val="9"/>
            <color indexed="81"/>
            <rFont val="Tahoma"/>
            <family val="2"/>
            <charset val="204"/>
          </rPr>
          <t xml:space="preserve">M2/ADL/LED/ALS/  </t>
        </r>
        <r>
          <rPr>
            <sz val="9"/>
            <color indexed="81"/>
            <rFont val="Tahoma"/>
            <family val="2"/>
            <charset val="204"/>
          </rPr>
          <t>MM7DJ2HAAGW176537</t>
        </r>
      </text>
    </comment>
    <comment ref="B6" authorId="0" shapeId="0" xr:uid="{00000000-0006-0000-0C00-000025000000}">
      <text>
        <r>
          <rPr>
            <sz val="9"/>
            <color indexed="81"/>
            <rFont val="Tahoma"/>
            <family val="2"/>
            <charset val="204"/>
          </rPr>
          <t>MM7DJ2HAAGW176537</t>
        </r>
      </text>
    </comment>
    <comment ref="F6" authorId="0" shapeId="0" xr:uid="{00000000-0006-0000-0C00-000026000000}">
      <text>
        <r>
          <rPr>
            <b/>
            <sz val="9"/>
            <color indexed="81"/>
            <rFont val="Tahoma"/>
            <family val="2"/>
            <charset val="204"/>
          </rPr>
          <t>ADL</t>
        </r>
        <r>
          <rPr>
            <sz val="9"/>
            <color indexed="81"/>
            <rFont val="Tahoma"/>
            <family val="2"/>
            <charset val="204"/>
          </rPr>
          <t xml:space="preserve">
</t>
        </r>
      </text>
    </comment>
    <comment ref="G6" authorId="0" shapeId="0" xr:uid="{00000000-0006-0000-0C00-000027000000}">
      <text>
        <r>
          <rPr>
            <b/>
            <sz val="9"/>
            <color indexed="81"/>
            <rFont val="Tahoma"/>
            <family val="2"/>
            <charset val="204"/>
          </rPr>
          <t xml:space="preserve">5= TPMS </t>
        </r>
        <r>
          <rPr>
            <sz val="9"/>
            <color indexed="81"/>
            <rFont val="Tahoma"/>
            <family val="2"/>
            <charset val="204"/>
          </rPr>
          <t>Type 4</t>
        </r>
      </text>
    </comment>
    <comment ref="H6" authorId="0" shapeId="0" xr:uid="{00000000-0006-0000-0C00-000028000000}">
      <text>
        <r>
          <rPr>
            <b/>
            <sz val="9"/>
            <color indexed="81"/>
            <rFont val="Tahoma"/>
            <family val="2"/>
            <charset val="204"/>
          </rPr>
          <t>LED/ALS</t>
        </r>
        <r>
          <rPr>
            <sz val="9"/>
            <color indexed="81"/>
            <rFont val="Tahoma"/>
            <family val="2"/>
            <charset val="204"/>
          </rPr>
          <t xml:space="preserve">
</t>
        </r>
      </text>
    </comment>
    <comment ref="K6" authorId="0" shapeId="0" xr:uid="{00000000-0006-0000-0C00-000029000000}">
      <text>
        <r>
          <rPr>
            <b/>
            <sz val="9"/>
            <color indexed="81"/>
            <rFont val="Tahoma"/>
            <family val="2"/>
            <charset val="204"/>
          </rPr>
          <t>NO FSC</t>
        </r>
        <r>
          <rPr>
            <sz val="9"/>
            <color indexed="81"/>
            <rFont val="Tahoma"/>
            <family val="2"/>
            <charset val="204"/>
          </rPr>
          <t xml:space="preserve">
</t>
        </r>
      </text>
    </comment>
    <comment ref="A7" authorId="0" shapeId="0" xr:uid="{00000000-0006-0000-0C00-00002A000000}">
      <text>
        <r>
          <rPr>
            <b/>
            <sz val="9"/>
            <color indexed="81"/>
            <rFont val="Tahoma"/>
            <family val="2"/>
            <charset val="204"/>
          </rPr>
          <t xml:space="preserve">M6/USA/2018/LED/ALS+AFS/HBC/LDWS/LKAS/FOW/SBS/DRSS/TSR/MRCC/  </t>
        </r>
        <r>
          <rPr>
            <sz val="9"/>
            <color indexed="81"/>
            <rFont val="Tahoma"/>
            <family val="2"/>
            <charset val="204"/>
          </rPr>
          <t>JM1GL1W55H1154420</t>
        </r>
      </text>
    </comment>
    <comment ref="B7" authorId="0" shapeId="0" xr:uid="{00000000-0006-0000-0C00-00002B000000}">
      <text>
        <r>
          <rPr>
            <sz val="9"/>
            <color indexed="81"/>
            <rFont val="Tahoma"/>
            <family val="2"/>
            <charset val="204"/>
          </rPr>
          <t>JM1GL1W55H1154420</t>
        </r>
      </text>
    </comment>
    <comment ref="H7" authorId="0" shapeId="0" xr:uid="{00000000-0006-0000-0C00-00002C000000}">
      <text>
        <r>
          <rPr>
            <b/>
            <sz val="9"/>
            <color indexed="81"/>
            <rFont val="Tahoma"/>
            <family val="2"/>
            <charset val="204"/>
          </rPr>
          <t xml:space="preserve">AFS = </t>
        </r>
        <r>
          <rPr>
            <sz val="9"/>
            <color indexed="81"/>
            <rFont val="Tahoma"/>
            <family val="2"/>
            <charset val="204"/>
          </rPr>
          <t>AFS/ALM Type 2</t>
        </r>
      </text>
    </comment>
    <comment ref="J7" authorId="0" shapeId="0" xr:uid="{00000000-0006-0000-0C00-00002D000000}">
      <text>
        <r>
          <rPr>
            <b/>
            <sz val="9"/>
            <color indexed="81"/>
            <rFont val="Tahoma"/>
            <family val="2"/>
            <charset val="204"/>
          </rPr>
          <t>70B420784C80 = 1-145 km/h</t>
        </r>
      </text>
    </comment>
    <comment ref="K7" authorId="0" shapeId="0" xr:uid="{00000000-0006-0000-0C00-00002E000000}">
      <text>
        <r>
          <rPr>
            <b/>
            <sz val="9"/>
            <color indexed="81"/>
            <rFont val="Tahoma"/>
            <family val="2"/>
            <charset val="204"/>
          </rPr>
          <t>70601016C80900072
7060102841F000000
70601032020000000</t>
        </r>
      </text>
    </comment>
    <comment ref="L7" authorId="0" shapeId="0" xr:uid="{00000000-0006-0000-0C00-00002F000000}">
      <text>
        <r>
          <rPr>
            <b/>
            <sz val="9"/>
            <color indexed="81"/>
            <rFont val="Tahoma"/>
            <family val="2"/>
            <charset val="204"/>
          </rPr>
          <t>4 = BSM</t>
        </r>
        <r>
          <rPr>
            <sz val="9"/>
            <color indexed="81"/>
            <rFont val="Tahoma"/>
            <family val="2"/>
            <charset val="204"/>
          </rPr>
          <t xml:space="preserve"> Type 3</t>
        </r>
      </text>
    </comment>
    <comment ref="N7" authorId="0" shapeId="0" xr:uid="{00000000-0006-0000-0C00-000030000000}">
      <text>
        <r>
          <rPr>
            <b/>
            <sz val="9"/>
            <color indexed="81"/>
            <rFont val="Tahoma"/>
            <family val="2"/>
            <charset val="204"/>
          </rPr>
          <t>MRCC/SCBS</t>
        </r>
        <r>
          <rPr>
            <sz val="9"/>
            <color indexed="81"/>
            <rFont val="Tahoma"/>
            <family val="2"/>
            <charset val="204"/>
          </rPr>
          <t xml:space="preserve">
</t>
        </r>
      </text>
    </comment>
    <comment ref="A8" authorId="0" shapeId="0" xr:uid="{00000000-0006-0000-0C00-000031000000}">
      <text>
        <r>
          <rPr>
            <b/>
            <sz val="9"/>
            <color indexed="81"/>
            <rFont val="Tahoma"/>
            <family val="2"/>
            <charset val="204"/>
          </rPr>
          <t>RePack by Diakov:</t>
        </r>
        <r>
          <rPr>
            <sz val="9"/>
            <color indexed="81"/>
            <rFont val="Tahoma"/>
            <family val="2"/>
            <charset val="204"/>
          </rPr>
          <t xml:space="preserve">
</t>
        </r>
        <r>
          <rPr>
            <b/>
            <sz val="9"/>
            <color indexed="81"/>
            <rFont val="Tahoma"/>
            <family val="2"/>
            <charset val="204"/>
          </rPr>
          <t>LED/ALS</t>
        </r>
      </text>
    </comment>
    <comment ref="B8" authorId="0" shapeId="0" xr:uid="{00000000-0006-0000-0C00-000032000000}">
      <text>
        <r>
          <rPr>
            <sz val="9"/>
            <color indexed="81"/>
            <rFont val="Tahoma"/>
            <family val="2"/>
            <charset val="204"/>
          </rPr>
          <t>JMZBN62A801534308</t>
        </r>
      </text>
    </comment>
    <comment ref="H8" authorId="0" shapeId="0" xr:uid="{00000000-0006-0000-0C00-000033000000}">
      <text>
        <r>
          <rPr>
            <b/>
            <sz val="9"/>
            <color indexed="81"/>
            <rFont val="Tahoma"/>
            <family val="2"/>
            <charset val="204"/>
          </rPr>
          <t xml:space="preserve">ALS = </t>
        </r>
        <r>
          <rPr>
            <sz val="9"/>
            <color indexed="81"/>
            <rFont val="Tahoma"/>
            <family val="2"/>
            <charset val="204"/>
          </rPr>
          <t>AFS/ALM Type 1</t>
        </r>
      </text>
    </comment>
    <comment ref="K8" authorId="0" shapeId="0" xr:uid="{00000000-0006-0000-0C00-000034000000}">
      <text>
        <r>
          <rPr>
            <b/>
            <sz val="9"/>
            <color indexed="81"/>
            <rFont val="Tahoma"/>
            <family val="2"/>
            <charset val="204"/>
          </rPr>
          <t>NO FSC</t>
        </r>
        <r>
          <rPr>
            <sz val="9"/>
            <color indexed="81"/>
            <rFont val="Tahoma"/>
            <family val="2"/>
            <charset val="204"/>
          </rPr>
          <t xml:space="preserve">
</t>
        </r>
      </text>
    </comment>
    <comment ref="M8" authorId="0" shapeId="0" xr:uid="{00000000-0006-0000-0C00-000035000000}">
      <text>
        <r>
          <rPr>
            <b/>
            <sz val="9"/>
            <color indexed="81"/>
            <rFont val="Tahoma"/>
            <family val="2"/>
            <charset val="204"/>
          </rPr>
          <t>REAR+FRONT DEFOG / CLIMATE AUTO</t>
        </r>
      </text>
    </comment>
    <comment ref="A9" authorId="0" shapeId="0" xr:uid="{00000000-0006-0000-0C00-000036000000}">
      <text>
        <r>
          <rPr>
            <b/>
            <sz val="9"/>
            <color indexed="81"/>
            <rFont val="Tahoma"/>
            <family val="2"/>
            <charset val="204"/>
          </rPr>
          <t xml:space="preserve">My M3/LED/ALH/LDWS/LKAS/HBC/BSM/SCBS/CC/   </t>
        </r>
        <r>
          <rPr>
            <sz val="9"/>
            <color indexed="81"/>
            <rFont val="Tahoma"/>
            <family val="2"/>
            <charset val="204"/>
          </rPr>
          <t>JMZBM527801525067</t>
        </r>
      </text>
    </comment>
    <comment ref="B9" authorId="0" shapeId="0" xr:uid="{00000000-0006-0000-0C00-000037000000}">
      <text>
        <r>
          <rPr>
            <sz val="9"/>
            <color indexed="81"/>
            <rFont val="Tahoma"/>
            <family val="2"/>
            <charset val="204"/>
          </rPr>
          <t>JMZBM527801525067</t>
        </r>
      </text>
    </comment>
    <comment ref="G9" authorId="0" shapeId="0" xr:uid="{00000000-0006-0000-0C00-000038000000}">
      <text>
        <r>
          <rPr>
            <b/>
            <sz val="9"/>
            <color indexed="81"/>
            <rFont val="Tahoma"/>
            <family val="2"/>
            <charset val="204"/>
          </rPr>
          <t>TPMS</t>
        </r>
        <r>
          <rPr>
            <sz val="9"/>
            <color indexed="81"/>
            <rFont val="Tahoma"/>
            <family val="2"/>
            <charset val="204"/>
          </rPr>
          <t xml:space="preserve">
</t>
        </r>
      </text>
    </comment>
    <comment ref="H9" authorId="0" shapeId="0" xr:uid="{00000000-0006-0000-0C00-000039000000}">
      <text>
        <r>
          <rPr>
            <b/>
            <sz val="9"/>
            <color indexed="81"/>
            <rFont val="Tahoma"/>
            <family val="2"/>
            <charset val="204"/>
          </rPr>
          <t xml:space="preserve">ALH = </t>
        </r>
        <r>
          <rPr>
            <sz val="9"/>
            <color indexed="81"/>
            <rFont val="Tahoma"/>
            <family val="2"/>
            <charset val="204"/>
          </rPr>
          <t>Adaptive Driving</t>
        </r>
      </text>
    </comment>
    <comment ref="K9" authorId="0" shapeId="0" xr:uid="{00000000-0006-0000-0C00-00003A000000}">
      <text>
        <r>
          <rPr>
            <b/>
            <sz val="9"/>
            <color indexed="81"/>
            <rFont val="Tahoma"/>
            <family val="2"/>
            <charset val="204"/>
          </rPr>
          <t>70601016C80900072
70601028400000010
70601030000000000</t>
        </r>
      </text>
    </comment>
    <comment ref="L9" authorId="0" shapeId="0" xr:uid="{00000000-0006-0000-0C00-00003B000000}">
      <text>
        <r>
          <rPr>
            <b/>
            <sz val="9"/>
            <color indexed="81"/>
            <rFont val="Tahoma"/>
            <family val="2"/>
            <charset val="204"/>
          </rPr>
          <t>BSM</t>
        </r>
        <r>
          <rPr>
            <sz val="9"/>
            <color indexed="81"/>
            <rFont val="Tahoma"/>
            <family val="2"/>
            <charset val="204"/>
          </rPr>
          <t xml:space="preserve">
</t>
        </r>
      </text>
    </comment>
    <comment ref="M9" authorId="0" shapeId="0" xr:uid="{00000000-0006-0000-0C00-00003C000000}">
      <text>
        <r>
          <rPr>
            <b/>
            <sz val="9"/>
            <color indexed="81"/>
            <rFont val="Tahoma"/>
            <family val="2"/>
            <charset val="204"/>
          </rPr>
          <t>REAR+FRONT DEFOG / CLIMATE AUTO</t>
        </r>
        <r>
          <rPr>
            <sz val="9"/>
            <color indexed="81"/>
            <rFont val="Tahoma"/>
            <family val="2"/>
            <charset val="204"/>
          </rPr>
          <t xml:space="preserve">
</t>
        </r>
      </text>
    </comment>
    <comment ref="N9" authorId="0" shapeId="0" xr:uid="{00000000-0006-0000-0C00-00003D000000}">
      <text>
        <r>
          <rPr>
            <b/>
            <sz val="9"/>
            <color indexed="81"/>
            <rFont val="Tahoma"/>
            <family val="2"/>
            <charset val="204"/>
          </rPr>
          <t>CC/SCBS</t>
        </r>
        <r>
          <rPr>
            <sz val="9"/>
            <color indexed="81"/>
            <rFont val="Tahoma"/>
            <family val="2"/>
            <charset val="204"/>
          </rPr>
          <t xml:space="preserve">
</t>
        </r>
      </text>
    </comment>
    <comment ref="AO9" authorId="0" shapeId="0" xr:uid="{00000000-0006-0000-0C00-00003E000000}">
      <text>
        <r>
          <rPr>
            <b/>
            <sz val="9"/>
            <color indexed="81"/>
            <rFont val="Tahoma"/>
            <family val="2"/>
            <charset val="204"/>
          </rPr>
          <t>Changed to:
F266 196A D8E2
for ESS support</t>
        </r>
      </text>
    </comment>
    <comment ref="A10" authorId="0" shapeId="0" xr:uid="{00000000-0006-0000-0C00-00003F000000}">
      <text>
        <r>
          <rPr>
            <b/>
            <sz val="9"/>
            <color indexed="81"/>
            <rFont val="Tahoma"/>
            <family val="2"/>
            <charset val="204"/>
          </rPr>
          <t xml:space="preserve">CX-9/2018/GT/LED/ALS+AFS/HBC/LDWS/LKAS/FOW/SBS/DRSS/MRCC/   </t>
        </r>
        <r>
          <rPr>
            <sz val="9"/>
            <color indexed="81"/>
            <rFont val="Tahoma"/>
            <family val="2"/>
            <charset val="204"/>
          </rPr>
          <t>JM3TCADY1J0204289</t>
        </r>
      </text>
    </comment>
    <comment ref="B10" authorId="0" shapeId="0" xr:uid="{00000000-0006-0000-0C00-000040000000}">
      <text>
        <r>
          <rPr>
            <sz val="9"/>
            <color indexed="81"/>
            <rFont val="Tahoma"/>
            <family val="2"/>
            <charset val="204"/>
          </rPr>
          <t>JM3TCADY1J0204289</t>
        </r>
      </text>
    </comment>
    <comment ref="K10" authorId="0" shapeId="0" xr:uid="{00000000-0006-0000-0C00-000041000000}">
      <text>
        <r>
          <rPr>
            <b/>
            <sz val="9"/>
            <color indexed="81"/>
            <rFont val="Tahoma"/>
            <family val="2"/>
            <charset val="204"/>
          </rPr>
          <t>70601016C80900072
7060102845C000000
7060103C0C0000000</t>
        </r>
        <r>
          <rPr>
            <sz val="9"/>
            <color indexed="81"/>
            <rFont val="Tahoma"/>
            <family val="2"/>
            <charset val="204"/>
          </rPr>
          <t xml:space="preserve">
</t>
        </r>
      </text>
    </comment>
    <comment ref="L10" authorId="0" shapeId="0" xr:uid="{00000000-0006-0000-0C00-000042000000}">
      <text>
        <r>
          <rPr>
            <b/>
            <sz val="9"/>
            <color indexed="81"/>
            <rFont val="Tahoma"/>
            <family val="2"/>
            <charset val="204"/>
          </rPr>
          <t>BSM</t>
        </r>
        <r>
          <rPr>
            <sz val="9"/>
            <color indexed="81"/>
            <rFont val="Tahoma"/>
            <family val="2"/>
            <charset val="204"/>
          </rPr>
          <t xml:space="preserve">
</t>
        </r>
      </text>
    </comment>
    <comment ref="M10" authorId="0" shapeId="0" xr:uid="{00000000-0006-0000-0C00-000043000000}">
      <text>
        <r>
          <rPr>
            <b/>
            <sz val="9"/>
            <color indexed="81"/>
            <rFont val="Tahoma"/>
            <family val="2"/>
            <charset val="204"/>
          </rPr>
          <t>REAR+FRONT DEFOG / CLIMATE AUTO</t>
        </r>
      </text>
    </comment>
    <comment ref="N10" authorId="0" shapeId="0" xr:uid="{00000000-0006-0000-0C00-000044000000}">
      <text>
        <r>
          <rPr>
            <b/>
            <sz val="9"/>
            <color indexed="81"/>
            <rFont val="Tahoma"/>
            <family val="2"/>
            <charset val="204"/>
          </rPr>
          <t>MRCC/SCBS</t>
        </r>
        <r>
          <rPr>
            <sz val="9"/>
            <color indexed="81"/>
            <rFont val="Tahoma"/>
            <family val="2"/>
            <charset val="204"/>
          </rPr>
          <t xml:space="preserve">
</t>
        </r>
      </text>
    </comment>
    <comment ref="A11" authorId="0" shapeId="0" xr:uid="{00000000-0006-0000-0C00-000045000000}">
      <text>
        <r>
          <rPr>
            <b/>
            <sz val="9"/>
            <color indexed="81"/>
            <rFont val="Tahoma"/>
            <family val="2"/>
            <charset val="204"/>
          </rPr>
          <t>CX-3GT/2016/LED/ALS+AFS/HBC/LDWS/BSM/SCBS/FOW/SBS/DRSS/ROOF/HUD/MRCC/</t>
        </r>
        <r>
          <rPr>
            <sz val="9"/>
            <color indexed="81"/>
            <rFont val="Tahoma"/>
            <family val="2"/>
            <charset val="204"/>
          </rPr>
          <t xml:space="preserve">   JM1DKFD75G0135166</t>
        </r>
      </text>
    </comment>
    <comment ref="B11" authorId="0" shapeId="0" xr:uid="{00000000-0006-0000-0C00-000046000000}">
      <text>
        <r>
          <rPr>
            <sz val="9"/>
            <color indexed="81"/>
            <rFont val="Tahoma"/>
            <family val="2"/>
            <charset val="204"/>
          </rPr>
          <t>JM1DKFD75G0135166</t>
        </r>
      </text>
    </comment>
    <comment ref="G11" authorId="0" shapeId="0" xr:uid="{00000000-0006-0000-0C00-000047000000}">
      <text>
        <r>
          <rPr>
            <b/>
            <sz val="9"/>
            <color indexed="81"/>
            <rFont val="Tahoma"/>
            <family val="2"/>
            <charset val="204"/>
          </rPr>
          <t>TPMS</t>
        </r>
        <r>
          <rPr>
            <sz val="9"/>
            <color indexed="81"/>
            <rFont val="Tahoma"/>
            <family val="2"/>
            <charset val="204"/>
          </rPr>
          <t xml:space="preserve">
</t>
        </r>
      </text>
    </comment>
    <comment ref="H11" authorId="0" shapeId="0" xr:uid="{00000000-0006-0000-0C00-000048000000}">
      <text>
        <r>
          <rPr>
            <b/>
            <sz val="9"/>
            <color indexed="81"/>
            <rFont val="Tahoma"/>
            <family val="2"/>
            <charset val="204"/>
          </rPr>
          <t>LED/ALS+AFS</t>
        </r>
        <r>
          <rPr>
            <sz val="9"/>
            <color indexed="81"/>
            <rFont val="Tahoma"/>
            <family val="2"/>
            <charset val="204"/>
          </rPr>
          <t xml:space="preserve">
</t>
        </r>
      </text>
    </comment>
    <comment ref="K11" authorId="0" shapeId="0" xr:uid="{00000000-0006-0000-0C00-000049000000}">
      <text>
        <r>
          <rPr>
            <b/>
            <sz val="9"/>
            <color indexed="81"/>
            <rFont val="Tahoma"/>
            <family val="2"/>
            <charset val="204"/>
          </rPr>
          <t>706010127205220
706010250810000
706010300000000</t>
        </r>
        <r>
          <rPr>
            <sz val="9"/>
            <color indexed="81"/>
            <rFont val="Tahoma"/>
            <family val="2"/>
            <charset val="204"/>
          </rPr>
          <t xml:space="preserve">
</t>
        </r>
      </text>
    </comment>
    <comment ref="L11" authorId="0" shapeId="0" xr:uid="{00000000-0006-0000-0C00-00004A000000}">
      <text>
        <r>
          <rPr>
            <b/>
            <sz val="9"/>
            <color indexed="81"/>
            <rFont val="Tahoma"/>
            <family val="2"/>
            <charset val="204"/>
          </rPr>
          <t>BSM</t>
        </r>
        <r>
          <rPr>
            <sz val="9"/>
            <color indexed="81"/>
            <rFont val="Tahoma"/>
            <family val="2"/>
            <charset val="204"/>
          </rPr>
          <t xml:space="preserve">
</t>
        </r>
      </text>
    </comment>
    <comment ref="N11" authorId="0" shapeId="0" xr:uid="{00000000-0006-0000-0C00-00004B000000}">
      <text>
        <r>
          <rPr>
            <b/>
            <sz val="9"/>
            <color indexed="81"/>
            <rFont val="Tahoma"/>
            <family val="2"/>
            <charset val="204"/>
          </rPr>
          <t>MRCC/SCBS</t>
        </r>
        <r>
          <rPr>
            <sz val="9"/>
            <color indexed="81"/>
            <rFont val="Tahoma"/>
            <family val="2"/>
            <charset val="204"/>
          </rPr>
          <t xml:space="preserve">
</t>
        </r>
      </text>
    </comment>
    <comment ref="B12" authorId="0" shapeId="0" xr:uid="{00000000-0006-0000-0C00-00004C000000}">
      <text>
        <r>
          <rPr>
            <sz val="9"/>
            <color indexed="81"/>
            <rFont val="Tahoma"/>
            <family val="2"/>
            <charset val="204"/>
          </rPr>
          <t>JM1DKDB77K0435078</t>
        </r>
      </text>
    </comment>
    <comment ref="K12" authorId="0" shapeId="0" xr:uid="{00000000-0006-0000-0C00-00004D000000}">
      <text>
        <r>
          <rPr>
            <b/>
            <sz val="9"/>
            <color indexed="81"/>
            <rFont val="Tahoma"/>
            <family val="2"/>
            <charset val="204"/>
          </rPr>
          <t>70601016C80900000
7060102002C000010
70601034040000000</t>
        </r>
        <r>
          <rPr>
            <sz val="9"/>
            <color indexed="81"/>
            <rFont val="Tahoma"/>
            <family val="2"/>
            <charset val="204"/>
          </rPr>
          <t xml:space="preserve">
</t>
        </r>
      </text>
    </comment>
    <comment ref="L12" authorId="0" shapeId="0" xr:uid="{00000000-0006-0000-0C00-00004E000000}">
      <text>
        <r>
          <rPr>
            <b/>
            <sz val="9"/>
            <color indexed="81"/>
            <rFont val="Tahoma"/>
            <family val="2"/>
            <charset val="204"/>
          </rPr>
          <t>BSM</t>
        </r>
        <r>
          <rPr>
            <sz val="9"/>
            <color indexed="81"/>
            <rFont val="Tahoma"/>
            <family val="2"/>
            <charset val="204"/>
          </rPr>
          <t xml:space="preserve">
</t>
        </r>
      </text>
    </comment>
    <comment ref="N12" authorId="0" shapeId="0" xr:uid="{00000000-0006-0000-0C00-00004F000000}">
      <text>
        <r>
          <rPr>
            <b/>
            <sz val="9"/>
            <color indexed="81"/>
            <rFont val="Tahoma"/>
            <family val="2"/>
            <charset val="204"/>
          </rPr>
          <t>MRCC/SCBS</t>
        </r>
        <r>
          <rPr>
            <sz val="9"/>
            <color indexed="81"/>
            <rFont val="Tahoma"/>
            <family val="2"/>
            <charset val="204"/>
          </rPr>
          <t xml:space="preserve">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<sst xmlns="http://schemas.openxmlformats.org/spreadsheetml/2006/main" count="12189" uniqueCount="1866">
  <si>
    <t>Part</t>
  </si>
  <si>
    <t>Related item</t>
  </si>
  <si>
    <t>Mazda Radar Cruise Control (MRCC) system</t>
  </si>
  <si>
    <t>Distance Recognition Support System (DRSS)</t>
  </si>
  <si>
    <t>Lane-keep assist system (LAS)</t>
  </si>
  <si>
    <t>Lane Departure Warning System (LDWS)</t>
  </si>
  <si>
    <t>Adaptive LED Headlights (ALH)</t>
  </si>
  <si>
    <t>High Beam Control (HBC) System</t>
  </si>
  <si>
    <t>Adaptive Front lighting System (AFS)</t>
  </si>
  <si>
    <t>Blind Spot Monitoring (BSM) system</t>
  </si>
  <si>
    <t>Driver Attention Alert system (DAA)</t>
  </si>
  <si>
    <t>Smart Brake Support (SBS)</t>
  </si>
  <si>
    <t>Forward Obstruction Warning (FOW)</t>
  </si>
  <si>
    <t>Smart City Brake Support [Forward] (SCBS F)</t>
  </si>
  <si>
    <t>Smart City Brake Support [Reverse] (SCBS R)</t>
  </si>
  <si>
    <t>Rear Vehicle Monitoring System (RVM)</t>
  </si>
  <si>
    <t>Rear Cross Traffic Alert (RCTA)</t>
  </si>
  <si>
    <t>Traffic Sign Recognition System (TSR)</t>
  </si>
  <si>
    <t>x</t>
  </si>
  <si>
    <t>–</t>
  </si>
  <si>
    <t>?</t>
  </si>
  <si>
    <t>Adaptive LED headlights control module</t>
  </si>
  <si>
    <t>Parking assist unit (ultrasonic)</t>
  </si>
  <si>
    <t>Video AU (w S&amp;G)</t>
  </si>
  <si>
    <t>Video AU</t>
  </si>
  <si>
    <t>Video</t>
  </si>
  <si>
    <t>Video CA</t>
  </si>
  <si>
    <t>x: Applicable</t>
  </si>
  <si>
    <t>–: Not Applicable</t>
  </si>
  <si>
    <t>Hill Launch Assist (HLA)</t>
  </si>
  <si>
    <t>Acceleration Control for AT</t>
  </si>
  <si>
    <t>i-ACTIV AWD</t>
  </si>
  <si>
    <t>Emergency Signal System (ESS)</t>
  </si>
  <si>
    <t>Emergency Brake Assist (EBA)</t>
  </si>
  <si>
    <t>Electronic Brake Force Distribution (EBD)</t>
  </si>
  <si>
    <t>4-wheel Anti-lock Braking System (4W-ABS)</t>
  </si>
  <si>
    <t>Dynamic Stability Control system (DSC)</t>
  </si>
  <si>
    <t>Traction Control System (TCS)</t>
  </si>
  <si>
    <t>Roll Stability Control (RSC)</t>
  </si>
  <si>
    <t>In case if you want to donate some money to the project</t>
  </si>
  <si>
    <t>Editable fields by user</t>
  </si>
  <si>
    <t>checksum</t>
  </si>
  <si>
    <r>
      <t>737-01-01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</si>
  <si>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737-01-01</t>
    </r>
    <r>
      <rPr>
        <sz val="11"/>
        <color theme="1"/>
        <rFont val="Calibri"/>
        <family val="2"/>
        <scheme val="minor"/>
      </rPr>
      <t xml:space="preserve"> B0 B1 B2 B3 B4 B5 in HEX</t>
    </r>
  </si>
  <si>
    <t>B0</t>
  </si>
  <si>
    <t>B1</t>
  </si>
  <si>
    <t>B2</t>
  </si>
  <si>
    <t>B3</t>
  </si>
  <si>
    <t>B4</t>
  </si>
  <si>
    <t>B5</t>
  </si>
  <si>
    <r>
      <rPr>
        <sz val="11"/>
        <color rgb="FF7030A0"/>
        <rFont val="Calibri"/>
        <family val="2"/>
        <scheme val="minor"/>
      </rPr>
      <t xml:space="preserve">B0 </t>
    </r>
    <r>
      <rPr>
        <sz val="11"/>
        <color theme="1"/>
        <rFont val="Calibri"/>
        <family val="2"/>
        <scheme val="minor"/>
      </rPr>
      <t>in BIN (0 or 1):</t>
    </r>
  </si>
  <si>
    <r>
      <rPr>
        <sz val="11"/>
        <color rgb="FFFF0000"/>
        <rFont val="Calibri"/>
        <family val="2"/>
        <scheme val="minor"/>
      </rPr>
      <t xml:space="preserve">B1 </t>
    </r>
    <r>
      <rPr>
        <sz val="11"/>
        <color theme="1"/>
        <rFont val="Calibri"/>
        <family val="2"/>
        <scheme val="minor"/>
      </rPr>
      <t>in BIN (0 or 1):</t>
    </r>
  </si>
  <si>
    <r>
      <rPr>
        <sz val="11"/>
        <color rgb="FFFFC000"/>
        <rFont val="Calibri"/>
        <family val="2"/>
        <scheme val="minor"/>
      </rPr>
      <t xml:space="preserve">B2 </t>
    </r>
    <r>
      <rPr>
        <sz val="11"/>
        <color theme="1"/>
        <rFont val="Calibri"/>
        <family val="2"/>
        <scheme val="minor"/>
      </rPr>
      <t>in BIN (0 or 1):</t>
    </r>
  </si>
  <si>
    <r>
      <rPr>
        <sz val="11"/>
        <color rgb="FFFFFF00"/>
        <rFont val="Calibri"/>
        <family val="2"/>
        <scheme val="minor"/>
      </rPr>
      <t xml:space="preserve">B3 </t>
    </r>
    <r>
      <rPr>
        <sz val="11"/>
        <color theme="1"/>
        <rFont val="Calibri"/>
        <family val="2"/>
        <scheme val="minor"/>
      </rPr>
      <t>in BIN (0 or 1):</t>
    </r>
  </si>
  <si>
    <r>
      <rPr>
        <sz val="11"/>
        <color theme="4"/>
        <rFont val="Calibri"/>
        <family val="2"/>
        <charset val="204"/>
        <scheme val="minor"/>
      </rPr>
      <t>B4</t>
    </r>
    <r>
      <rPr>
        <sz val="11"/>
        <color rgb="FF333333"/>
        <rFont val="Calibri"/>
        <family val="2"/>
        <charset val="204"/>
        <scheme val="minor"/>
      </rPr>
      <t> </t>
    </r>
    <r>
      <rPr>
        <sz val="11"/>
        <color rgb="FF333333"/>
        <rFont val="Calibri"/>
        <family val="2"/>
        <scheme val="minor"/>
      </rPr>
      <t>- in BIN (0 or 1):</t>
    </r>
  </si>
  <si>
    <r>
      <rPr>
        <sz val="11"/>
        <color rgb="FF92D050"/>
        <rFont val="Calibri"/>
        <family val="2"/>
        <scheme val="minor"/>
      </rPr>
      <t>B5</t>
    </r>
    <r>
      <rPr>
        <sz val="11"/>
        <color theme="1"/>
        <rFont val="Calibri"/>
        <family val="2"/>
        <scheme val="minor"/>
      </rPr>
      <t xml:space="preserve"> - CHECKSUM</t>
    </r>
  </si>
  <si>
    <t>HEX</t>
  </si>
  <si>
    <t>07</t>
  </si>
  <si>
    <t>37</t>
  </si>
  <si>
    <t>01</t>
  </si>
  <si>
    <t>ORIG</t>
  </si>
  <si>
    <t>NEW</t>
  </si>
  <si>
    <t>bit</t>
  </si>
  <si>
    <t xml:space="preserve"> </t>
  </si>
  <si>
    <t>BIN</t>
  </si>
  <si>
    <t>b7</t>
  </si>
  <si>
    <t>function is unknown</t>
  </si>
  <si>
    <t>DEC</t>
  </si>
  <si>
    <t>b6</t>
  </si>
  <si>
    <t>b5</t>
  </si>
  <si>
    <t>b4</t>
  </si>
  <si>
    <t>b3</t>
  </si>
  <si>
    <t>b2</t>
  </si>
  <si>
    <t>b1</t>
  </si>
  <si>
    <t>b0</t>
  </si>
  <si>
    <r>
      <t>737-01-02</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in HEX</t>
    </r>
  </si>
  <si>
    <r>
      <rPr>
        <sz val="11"/>
        <color rgb="FFFFFF00"/>
        <rFont val="Calibri"/>
        <family val="2"/>
        <charset val="204"/>
        <scheme val="minor"/>
      </rPr>
      <t>B3</t>
    </r>
    <r>
      <rPr>
        <sz val="11"/>
        <color theme="1"/>
        <rFont val="Calibri"/>
        <family val="2"/>
        <scheme val="minor"/>
      </rPr>
      <t xml:space="preserve"> - CHECKSUM</t>
    </r>
  </si>
  <si>
    <t>02</t>
  </si>
  <si>
    <r>
      <t>737-02-01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in HEX</t>
    </r>
  </si>
  <si>
    <r>
      <t>7B7-01-01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</si>
  <si>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7B7-01-01</t>
    </r>
    <r>
      <rPr>
        <sz val="11"/>
        <color theme="1"/>
        <rFont val="Calibri"/>
        <family val="2"/>
        <scheme val="minor"/>
      </rPr>
      <t xml:space="preserve"> B0 B1 B2 B3 B4 B5 in HEX</t>
    </r>
  </si>
  <si>
    <t>B7</t>
  </si>
  <si>
    <t>0 - OFF 1 - ON (ability to lock doors when Ignition ON) tested on CX5</t>
  </si>
  <si>
    <r>
      <rPr>
        <b/>
        <sz val="11"/>
        <color theme="1"/>
        <rFont val="Calibri"/>
        <family val="2"/>
        <scheme val="minor"/>
      </rPr>
      <t>0</t>
    </r>
    <r>
      <rPr>
        <sz val="11"/>
        <color theme="1"/>
        <rFont val="Calibri"/>
        <family val="2"/>
        <scheme val="minor"/>
      </rPr>
      <t xml:space="preserve"> - 1x blinker when doors close from remote control or </t>
    </r>
    <r>
      <rPr>
        <b/>
        <sz val="11"/>
        <color theme="1"/>
        <rFont val="Calibri"/>
        <family val="2"/>
        <scheme val="minor"/>
      </rPr>
      <t>1</t>
    </r>
    <r>
      <rPr>
        <sz val="11"/>
        <color theme="1"/>
        <rFont val="Calibri"/>
        <family val="2"/>
        <scheme val="minor"/>
      </rPr>
      <t xml:space="preserve"> - no blinker when doors close from remote control</t>
    </r>
  </si>
  <si>
    <t>0 - OFF 1 - ON (ability to lock doors when doors open) tested on CX5</t>
  </si>
  <si>
    <t>North American Alarm</t>
  </si>
  <si>
    <r>
      <rPr>
        <b/>
        <sz val="11"/>
        <color theme="1"/>
        <rFont val="Calibri"/>
        <family val="2"/>
        <scheme val="minor"/>
      </rPr>
      <t>0</t>
    </r>
    <r>
      <rPr>
        <sz val="11"/>
        <color theme="1"/>
        <rFont val="Calibri"/>
        <family val="2"/>
        <scheme val="minor"/>
      </rPr>
      <t xml:space="preserve"> - no blinker when doors open from remote control or </t>
    </r>
    <r>
      <rPr>
        <b/>
        <sz val="11"/>
        <color theme="1"/>
        <rFont val="Calibri"/>
        <family val="2"/>
        <scheme val="minor"/>
      </rPr>
      <t>1</t>
    </r>
    <r>
      <rPr>
        <sz val="11"/>
        <color theme="1"/>
        <rFont val="Calibri"/>
        <family val="2"/>
        <scheme val="minor"/>
      </rPr>
      <t xml:space="preserve"> - 3x blinker when doors open from remote control (w/alarm system)</t>
    </r>
  </si>
  <si>
    <t>Key Proximity Not Needed for Hatch</t>
  </si>
  <si>
    <r>
      <t>7B7-01-02</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</si>
  <si>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7B7-01-02</t>
    </r>
    <r>
      <rPr>
        <sz val="11"/>
        <color theme="1"/>
        <rFont val="Calibri"/>
        <family val="2"/>
        <scheme val="minor"/>
      </rPr>
      <t xml:space="preserve"> B0 B1 B2 B3 B4 B5 in HEX</t>
    </r>
  </si>
  <si>
    <t>0 - It does not allow to open the trunk in the Drive mode (D) or 1 - It allows you to open the trunk in the Drive mode (D) tested on CX5</t>
  </si>
  <si>
    <r>
      <t>7B7-01-03</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in HEX</t>
    </r>
  </si>
  <si>
    <r>
      <rPr>
        <sz val="11"/>
        <color theme="4"/>
        <rFont val="Calibri"/>
        <family val="2"/>
        <charset val="204"/>
        <scheme val="minor"/>
      </rPr>
      <t>B4</t>
    </r>
    <r>
      <rPr>
        <sz val="11"/>
        <color theme="1"/>
        <rFont val="Calibri"/>
        <family val="2"/>
        <scheme val="minor"/>
      </rPr>
      <t xml:space="preserve"> - CHECKSUM</t>
    </r>
  </si>
  <si>
    <t>03</t>
  </si>
  <si>
    <t>1- Display Lock Beep Volume on CMU; 0 - NO Display Lock Beep Volume on CMU</t>
  </si>
  <si>
    <r>
      <t>7B7-02-01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</si>
  <si>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7B7-02-01</t>
    </r>
    <r>
      <rPr>
        <sz val="11"/>
        <color theme="1"/>
        <rFont val="Calibri"/>
        <family val="2"/>
        <scheme val="minor"/>
      </rPr>
      <t xml:space="preserve"> B0 B1 B2 B3 B4 B5 in HEX</t>
    </r>
  </si>
  <si>
    <r>
      <rPr>
        <b/>
        <sz val="11"/>
        <color theme="4"/>
        <rFont val="Calibri"/>
        <family val="2"/>
        <scheme val="minor"/>
      </rPr>
      <t>B4</t>
    </r>
    <r>
      <rPr>
        <sz val="11"/>
        <color rgb="FF333333"/>
        <rFont val="Calibri"/>
        <family val="2"/>
        <scheme val="minor"/>
      </rPr>
      <t> - in BIN (0 or 1):</t>
    </r>
  </si>
  <si>
    <r>
      <t>726-01-01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</si>
  <si>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726-01-01</t>
    </r>
    <r>
      <rPr>
        <sz val="11"/>
        <color theme="1"/>
        <rFont val="Calibri"/>
        <family val="2"/>
        <scheme val="minor"/>
      </rPr>
      <t xml:space="preserve"> B0 B1 B2 B3 B4 B5 in HEX</t>
    </r>
  </si>
  <si>
    <t>26</t>
  </si>
  <si>
    <t>Rain/Light Sensor Present</t>
  </si>
  <si>
    <r>
      <t>726-01-02</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</si>
  <si>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726-01-02</t>
    </r>
    <r>
      <rPr>
        <sz val="11"/>
        <color theme="1"/>
        <rFont val="Calibri"/>
        <family val="2"/>
        <scheme val="minor"/>
      </rPr>
      <t xml:space="preserve"> B0 B1 B2 B3 B4 B5 in HEX</t>
    </r>
  </si>
  <si>
    <r>
      <t>726-01-03</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in HEX</t>
    </r>
  </si>
  <si>
    <r>
      <t>726-01-03</t>
    </r>
    <r>
      <rPr>
        <sz val="11"/>
        <color theme="1"/>
        <rFont val="Calibri"/>
        <family val="2"/>
        <scheme val="minor"/>
      </rPr>
      <t xml:space="preserve"> B0 B1 B2 B3 B4 B5 in HEX</t>
    </r>
  </si>
  <si>
    <r>
      <t>726-02-01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in HEX</t>
    </r>
  </si>
  <si>
    <r>
      <rPr>
        <sz val="11"/>
        <color rgb="FFFF0000"/>
        <rFont val="Calibri"/>
        <family val="2"/>
        <charset val="204"/>
        <scheme val="minor"/>
      </rPr>
      <t>B1</t>
    </r>
    <r>
      <rPr>
        <sz val="11"/>
        <color theme="1"/>
        <rFont val="Calibri"/>
        <family val="2"/>
        <scheme val="minor"/>
      </rPr>
      <t xml:space="preserve"> - CHECKSUM</t>
    </r>
  </si>
  <si>
    <r>
      <t>726-03-01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in HEX</t>
    </r>
  </si>
  <si>
    <r>
      <rPr>
        <sz val="11"/>
        <color rgb="FFFF0000"/>
        <rFont val="Calibri"/>
        <family val="2"/>
        <charset val="204"/>
        <scheme val="minor"/>
      </rPr>
      <t>B1</t>
    </r>
    <r>
      <rPr>
        <sz val="11"/>
        <color rgb="FF92D050"/>
        <rFont val="Calibri"/>
        <family val="2"/>
        <scheme val="minor"/>
      </rPr>
      <t xml:space="preserve"> </t>
    </r>
    <r>
      <rPr>
        <sz val="11"/>
        <color theme="1"/>
        <rFont val="Calibri"/>
        <family val="2"/>
        <scheme val="minor"/>
      </rPr>
      <t>- CHECKSUM</t>
    </r>
  </si>
  <si>
    <r>
      <t>726-04-01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in HEX</t>
    </r>
  </si>
  <si>
    <t>04</t>
  </si>
  <si>
    <r>
      <t>726-05-01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in HEX</t>
    </r>
  </si>
  <si>
    <t>05</t>
  </si>
  <si>
    <r>
      <t>731-01-01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</si>
  <si>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731-01-01</t>
    </r>
    <r>
      <rPr>
        <sz val="11"/>
        <color theme="1"/>
        <rFont val="Calibri"/>
        <family val="2"/>
        <scheme val="minor"/>
      </rPr>
      <t xml:space="preserve"> B0 B1 B2 B3 B4 B5 in HEX</t>
    </r>
  </si>
  <si>
    <t>31</t>
  </si>
  <si>
    <r>
      <t>731-01-02</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</si>
  <si>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731-01-02</t>
    </r>
    <r>
      <rPr>
        <sz val="11"/>
        <color theme="1"/>
        <rFont val="Calibri"/>
        <family val="2"/>
        <scheme val="minor"/>
      </rPr>
      <t xml:space="preserve"> B0 B1 B2 B3 B4 B5 in HEX</t>
    </r>
  </si>
  <si>
    <r>
      <t>731-01-03</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in HEX</t>
    </r>
  </si>
  <si>
    <r>
      <t>731-01-03</t>
    </r>
    <r>
      <rPr>
        <sz val="11"/>
        <color theme="1"/>
        <rFont val="Calibri"/>
        <family val="2"/>
        <scheme val="minor"/>
      </rPr>
      <t xml:space="preserve"> B0 B1 B2 B3 in HEX</t>
    </r>
  </si>
  <si>
    <r>
      <rPr>
        <sz val="11"/>
        <color rgb="FFFFFF00"/>
        <rFont val="Calibri"/>
        <family val="2"/>
        <scheme val="minor"/>
      </rPr>
      <t xml:space="preserve">B3 </t>
    </r>
    <r>
      <rPr>
        <sz val="11"/>
        <color theme="1"/>
        <rFont val="Calibri"/>
        <family val="2"/>
        <scheme val="minor"/>
      </rPr>
      <t>- CHECKSUM</t>
    </r>
  </si>
  <si>
    <t>Hover mouse for info</t>
  </si>
  <si>
    <t xml:space="preserve">1 - Visibility Unlock mode </t>
  </si>
  <si>
    <r>
      <t>731-02-01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in HEX</t>
    </r>
  </si>
  <si>
    <r>
      <t>731-02-01</t>
    </r>
    <r>
      <rPr>
        <sz val="11"/>
        <color theme="1"/>
        <rFont val="Calibri"/>
        <family val="2"/>
        <scheme val="minor"/>
      </rPr>
      <t xml:space="preserve"> B0 B1 B2 B3 in HEX</t>
    </r>
  </si>
  <si>
    <r>
      <rPr>
        <sz val="11"/>
        <color rgb="FFFFFF00"/>
        <rFont val="Calibri"/>
        <family val="2"/>
        <scheme val="minor"/>
      </rPr>
      <t>B3</t>
    </r>
    <r>
      <rPr>
        <sz val="11"/>
        <color theme="1"/>
        <rFont val="Calibri"/>
        <family val="2"/>
        <scheme val="minor"/>
      </rPr>
      <t xml:space="preserve"> - CHECKSUM</t>
    </r>
  </si>
  <si>
    <t>VIN</t>
  </si>
  <si>
    <r>
      <t>720-01-01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</si>
  <si>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720-01-01</t>
    </r>
    <r>
      <rPr>
        <sz val="11"/>
        <color theme="1"/>
        <rFont val="Calibri"/>
        <family val="2"/>
        <scheme val="minor"/>
      </rPr>
      <t xml:space="preserve"> B0 B1 B2 B3 B4 B5 in HEX</t>
    </r>
  </si>
  <si>
    <t>20</t>
  </si>
  <si>
    <r>
      <rPr>
        <b/>
        <sz val="11"/>
        <color theme="1"/>
        <rFont val="Calibri"/>
        <family val="2"/>
        <charset val="204"/>
        <scheme val="minor"/>
      </rPr>
      <t>Rear seatbelt indicator and beep after unfastening</t>
    </r>
    <r>
      <rPr>
        <sz val="11"/>
        <color theme="1"/>
        <rFont val="Calibri"/>
        <family val="2"/>
        <scheme val="minor"/>
      </rPr>
      <t>: 0 - Disabled / 1 - Enabled</t>
    </r>
  </si>
  <si>
    <r>
      <rPr>
        <b/>
        <sz val="11"/>
        <color theme="1"/>
        <rFont val="Calibri"/>
        <family val="2"/>
        <charset val="204"/>
        <scheme val="minor"/>
      </rPr>
      <t>Driver seatbelt beeper (at 20+ kmph when unfastened)</t>
    </r>
    <r>
      <rPr>
        <sz val="11"/>
        <color theme="1"/>
        <rFont val="Calibri"/>
        <family val="2"/>
        <scheme val="minor"/>
      </rPr>
      <t>: 0 - Disabled / 1 - Enabled</t>
    </r>
  </si>
  <si>
    <r>
      <rPr>
        <b/>
        <sz val="11"/>
        <color theme="1"/>
        <rFont val="Calibri"/>
        <family val="2"/>
        <charset val="204"/>
        <scheme val="minor"/>
      </rPr>
      <t>Low Level Windshield Washer Fluid indicator</t>
    </r>
    <r>
      <rPr>
        <sz val="11"/>
        <color theme="1"/>
        <rFont val="Calibri"/>
        <family val="2"/>
        <scheme val="minor"/>
      </rPr>
      <t>: 0 - Disabled / 1 - Enabled</t>
    </r>
  </si>
  <si>
    <r>
      <rPr>
        <b/>
        <sz val="11"/>
        <color theme="1"/>
        <rFont val="Calibri"/>
        <family val="2"/>
        <charset val="204"/>
        <scheme val="minor"/>
      </rPr>
      <t>Passenger seatbelt beeper (at 20+ kmph when unfastened)</t>
    </r>
    <r>
      <rPr>
        <sz val="11"/>
        <color theme="1"/>
        <rFont val="Calibri"/>
        <family val="2"/>
        <scheme val="minor"/>
      </rPr>
      <t>: 0 - Disabled / 1 - Enabled</t>
    </r>
  </si>
  <si>
    <r>
      <rPr>
        <b/>
        <sz val="11"/>
        <color theme="1"/>
        <rFont val="Calibri"/>
        <family val="2"/>
        <scheme val="minor"/>
      </rPr>
      <t>0</t>
    </r>
    <r>
      <rPr>
        <sz val="11"/>
        <color theme="1"/>
        <rFont val="Calibri"/>
        <family val="2"/>
        <scheme val="minor"/>
      </rPr>
      <t> - disable I-Stop; </t>
    </r>
    <r>
      <rPr>
        <b/>
        <sz val="11"/>
        <color theme="1"/>
        <rFont val="Calibri"/>
        <family val="2"/>
        <scheme val="minor"/>
      </rPr>
      <t>1</t>
    </r>
    <r>
      <rPr>
        <sz val="11"/>
        <color theme="1"/>
        <rFont val="Calibri"/>
        <family val="2"/>
        <scheme val="minor"/>
      </rPr>
      <t> - enable I-Stop (enable/disable button I-Stop and view logo "I-Stop" on Instrument Cluster)</t>
    </r>
  </si>
  <si>
    <r>
      <rPr>
        <b/>
        <sz val="11"/>
        <color theme="1"/>
        <rFont val="Calibri"/>
        <family val="2"/>
        <charset val="204"/>
        <scheme val="minor"/>
      </rPr>
      <t>Speed Sound Alarm (Using info button on steering wheel)</t>
    </r>
    <r>
      <rPr>
        <sz val="11"/>
        <color theme="1"/>
        <rFont val="Calibri"/>
        <family val="2"/>
        <scheme val="minor"/>
      </rPr>
      <t>: 0 - Disabled / 1 - Enabled</t>
    </r>
  </si>
  <si>
    <r>
      <t>720-01-02</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</si>
  <si>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720-01-02</t>
    </r>
    <r>
      <rPr>
        <sz val="11"/>
        <color theme="1"/>
        <rFont val="Calibri"/>
        <family val="2"/>
        <scheme val="minor"/>
      </rPr>
      <t xml:space="preserve"> B0 B1 B2 B3 B4 B5 in HEX</t>
    </r>
  </si>
  <si>
    <r>
      <rPr>
        <b/>
        <sz val="11"/>
        <color theme="1"/>
        <rFont val="Calibri"/>
        <family val="2"/>
        <scheme val="minor"/>
      </rPr>
      <t>0 </t>
    </r>
    <r>
      <rPr>
        <sz val="11"/>
        <color theme="1"/>
        <rFont val="Calibri"/>
        <family val="2"/>
        <scheme val="minor"/>
      </rPr>
      <t>- Digital display Cruise control on IC; </t>
    </r>
    <r>
      <rPr>
        <b/>
        <sz val="11"/>
        <color theme="1"/>
        <rFont val="Calibri"/>
        <family val="2"/>
        <scheme val="minor"/>
      </rPr>
      <t>1</t>
    </r>
    <r>
      <rPr>
        <sz val="11"/>
        <color theme="1"/>
        <rFont val="Calibri"/>
        <family val="2"/>
        <scheme val="minor"/>
      </rPr>
      <t> - NO digital display Cruise control on IC</t>
    </r>
  </si>
  <si>
    <r>
      <t>720-02-01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</si>
  <si>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720-02-01</t>
    </r>
    <r>
      <rPr>
        <sz val="11"/>
        <color theme="1"/>
        <rFont val="Calibri"/>
        <family val="2"/>
        <scheme val="minor"/>
      </rPr>
      <t xml:space="preserve"> B0 B1 B2 B3 B4 B5 in HEX</t>
    </r>
  </si>
  <si>
    <t>CHECKSUM</t>
  </si>
  <si>
    <t>30</t>
  </si>
  <si>
    <r>
      <rPr>
        <sz val="11"/>
        <color rgb="FF7030A0"/>
        <rFont val="Calibri"/>
        <family val="2"/>
        <scheme val="minor"/>
      </rPr>
      <t>B0</t>
    </r>
    <r>
      <rPr>
        <sz val="11"/>
        <color rgb="FFFF0000"/>
        <rFont val="Calibri"/>
        <family val="2"/>
        <scheme val="minor"/>
      </rPr>
      <t>B1</t>
    </r>
    <r>
      <rPr>
        <sz val="11"/>
        <color theme="1"/>
        <rFont val="Calibri"/>
        <family val="2"/>
        <scheme val="minor"/>
      </rPr>
      <t xml:space="preserve"> - CHECKSUM</t>
    </r>
  </si>
  <si>
    <t>32</t>
  </si>
  <si>
    <t>33</t>
  </si>
  <si>
    <t>New B0B1</t>
  </si>
  <si>
    <t>34</t>
  </si>
  <si>
    <t>35</t>
  </si>
  <si>
    <t>36</t>
  </si>
  <si>
    <t>38</t>
  </si>
  <si>
    <t>39</t>
  </si>
  <si>
    <t>41</t>
  </si>
  <si>
    <t>A</t>
  </si>
  <si>
    <t>42</t>
  </si>
  <si>
    <t>B</t>
  </si>
  <si>
    <r>
      <rPr>
        <sz val="11"/>
        <color rgb="FFFFFF00"/>
        <rFont val="Calibri"/>
        <family val="2"/>
        <scheme val="minor"/>
      </rPr>
      <t>B3</t>
    </r>
    <r>
      <rPr>
        <sz val="11"/>
        <rFont val="Calibri"/>
        <family val="2"/>
        <scheme val="minor"/>
      </rPr>
      <t xml:space="preserve"> - Data Start Byte [C1]</t>
    </r>
  </si>
  <si>
    <r>
      <rPr>
        <b/>
        <sz val="11"/>
        <color theme="4"/>
        <rFont val="Calibri"/>
        <family val="2"/>
        <scheme val="minor"/>
      </rPr>
      <t>B4</t>
    </r>
    <r>
      <rPr>
        <sz val="11"/>
        <color rgb="FF333333"/>
        <rFont val="Calibri"/>
        <family val="2"/>
        <scheme val="minor"/>
      </rPr>
      <t> - Block#00</t>
    </r>
  </si>
  <si>
    <t>43</t>
  </si>
  <si>
    <t>C</t>
  </si>
  <si>
    <t>44</t>
  </si>
  <si>
    <t>D</t>
  </si>
  <si>
    <t>45</t>
  </si>
  <si>
    <t>E</t>
  </si>
  <si>
    <t>46</t>
  </si>
  <si>
    <t>F</t>
  </si>
  <si>
    <t>47</t>
  </si>
  <si>
    <t>G</t>
  </si>
  <si>
    <t>48</t>
  </si>
  <si>
    <t>H</t>
  </si>
  <si>
    <t>49</t>
  </si>
  <si>
    <t>I</t>
  </si>
  <si>
    <t>4A</t>
  </si>
  <si>
    <t>J</t>
  </si>
  <si>
    <t>4B</t>
  </si>
  <si>
    <t>K</t>
  </si>
  <si>
    <t>4C</t>
  </si>
  <si>
    <t>L</t>
  </si>
  <si>
    <t>4D</t>
  </si>
  <si>
    <t>M</t>
  </si>
  <si>
    <r>
      <rPr>
        <sz val="11"/>
        <color rgb="FF7030A0"/>
        <rFont val="Calibri"/>
        <family val="2"/>
        <scheme val="minor"/>
      </rPr>
      <t xml:space="preserve">B0 </t>
    </r>
    <r>
      <rPr>
        <sz val="11"/>
        <color theme="1"/>
        <rFont val="Calibri"/>
        <family val="2"/>
        <scheme val="minor"/>
      </rPr>
      <t>- VIN#01</t>
    </r>
  </si>
  <si>
    <r>
      <rPr>
        <sz val="11"/>
        <color rgb="FFFF0000"/>
        <rFont val="Calibri"/>
        <family val="2"/>
        <scheme val="minor"/>
      </rPr>
      <t xml:space="preserve">B1 </t>
    </r>
    <r>
      <rPr>
        <sz val="11"/>
        <color theme="1"/>
        <rFont val="Calibri"/>
        <family val="2"/>
        <scheme val="minor"/>
      </rPr>
      <t>- VIN#02</t>
    </r>
  </si>
  <si>
    <r>
      <rPr>
        <sz val="11"/>
        <color rgb="FFFFC000"/>
        <rFont val="Calibri"/>
        <family val="2"/>
        <scheme val="minor"/>
      </rPr>
      <t xml:space="preserve">B2 </t>
    </r>
    <r>
      <rPr>
        <sz val="11"/>
        <color theme="1"/>
        <rFont val="Calibri"/>
        <family val="2"/>
        <scheme val="minor"/>
      </rPr>
      <t>- VIN#03</t>
    </r>
  </si>
  <si>
    <r>
      <rPr>
        <sz val="11"/>
        <color rgb="FFFFFF00"/>
        <rFont val="Calibri"/>
        <family val="2"/>
        <scheme val="minor"/>
      </rPr>
      <t xml:space="preserve">B3 </t>
    </r>
    <r>
      <rPr>
        <sz val="11"/>
        <color theme="1"/>
        <rFont val="Calibri"/>
        <family val="2"/>
        <scheme val="minor"/>
      </rPr>
      <t>- VIN#04</t>
    </r>
  </si>
  <si>
    <r>
      <rPr>
        <b/>
        <sz val="11"/>
        <color theme="4"/>
        <rFont val="Calibri"/>
        <family val="2"/>
        <scheme val="minor"/>
      </rPr>
      <t>B4</t>
    </r>
    <r>
      <rPr>
        <sz val="11"/>
        <color rgb="FF333333"/>
        <rFont val="Calibri"/>
        <family val="2"/>
        <scheme val="minor"/>
      </rPr>
      <t> - VIN#05</t>
    </r>
  </si>
  <si>
    <t>4E</t>
  </si>
  <si>
    <t>N</t>
  </si>
  <si>
    <t>4F</t>
  </si>
  <si>
    <t>O</t>
  </si>
  <si>
    <t>50</t>
  </si>
  <si>
    <t>P</t>
  </si>
  <si>
    <t>51</t>
  </si>
  <si>
    <t>Q</t>
  </si>
  <si>
    <t>52</t>
  </si>
  <si>
    <t>R</t>
  </si>
  <si>
    <t>53</t>
  </si>
  <si>
    <t>S</t>
  </si>
  <si>
    <t>54</t>
  </si>
  <si>
    <t>T</t>
  </si>
  <si>
    <t>55</t>
  </si>
  <si>
    <t>U</t>
  </si>
  <si>
    <t>56</t>
  </si>
  <si>
    <t>V</t>
  </si>
  <si>
    <t>57</t>
  </si>
  <si>
    <t>W</t>
  </si>
  <si>
    <t>58</t>
  </si>
  <si>
    <t>X</t>
  </si>
  <si>
    <r>
      <rPr>
        <sz val="11"/>
        <color rgb="FF7030A0"/>
        <rFont val="Calibri"/>
        <family val="2"/>
        <scheme val="minor"/>
      </rPr>
      <t xml:space="preserve">B0 </t>
    </r>
    <r>
      <rPr>
        <sz val="11"/>
        <color theme="1"/>
        <rFont val="Calibri"/>
        <family val="2"/>
        <scheme val="minor"/>
      </rPr>
      <t>- VIN#06</t>
    </r>
  </si>
  <si>
    <r>
      <rPr>
        <sz val="11"/>
        <color rgb="FFFF0000"/>
        <rFont val="Calibri"/>
        <family val="2"/>
        <scheme val="minor"/>
      </rPr>
      <t xml:space="preserve">B1 </t>
    </r>
    <r>
      <rPr>
        <sz val="11"/>
        <color theme="1"/>
        <rFont val="Calibri"/>
        <family val="2"/>
        <scheme val="minor"/>
      </rPr>
      <t>- Data Start Byte [C1]</t>
    </r>
  </si>
  <si>
    <r>
      <rPr>
        <sz val="11"/>
        <color rgb="FFFFC000"/>
        <rFont val="Calibri"/>
        <family val="2"/>
        <scheme val="minor"/>
      </rPr>
      <t xml:space="preserve">B2 </t>
    </r>
    <r>
      <rPr>
        <sz val="11"/>
        <color theme="1"/>
        <rFont val="Calibri"/>
        <family val="2"/>
        <scheme val="minor"/>
      </rPr>
      <t>- Block#01</t>
    </r>
  </si>
  <si>
    <r>
      <rPr>
        <sz val="11"/>
        <color rgb="FFFFFF00"/>
        <rFont val="Calibri"/>
        <family val="2"/>
        <scheme val="minor"/>
      </rPr>
      <t xml:space="preserve">B3 </t>
    </r>
    <r>
      <rPr>
        <sz val="11"/>
        <color theme="1"/>
        <rFont val="Calibri"/>
        <family val="2"/>
        <scheme val="minor"/>
      </rPr>
      <t>- VIN#07</t>
    </r>
  </si>
  <si>
    <r>
      <rPr>
        <b/>
        <sz val="11"/>
        <color theme="4"/>
        <rFont val="Calibri"/>
        <family val="2"/>
        <scheme val="minor"/>
      </rPr>
      <t>B4</t>
    </r>
    <r>
      <rPr>
        <sz val="11"/>
        <color rgb="FF333333"/>
        <rFont val="Calibri"/>
        <family val="2"/>
        <scheme val="minor"/>
      </rPr>
      <t> - VIN#08</t>
    </r>
  </si>
  <si>
    <t>59</t>
  </si>
  <si>
    <t>Y</t>
  </si>
  <si>
    <t>5A</t>
  </si>
  <si>
    <t>Z</t>
  </si>
  <si>
    <r>
      <rPr>
        <sz val="11"/>
        <color rgb="FF7030A0"/>
        <rFont val="Calibri"/>
        <family val="2"/>
        <scheme val="minor"/>
      </rPr>
      <t xml:space="preserve">B0 </t>
    </r>
    <r>
      <rPr>
        <sz val="11"/>
        <color theme="1"/>
        <rFont val="Calibri"/>
        <family val="2"/>
        <scheme val="minor"/>
      </rPr>
      <t>- VIN#09</t>
    </r>
  </si>
  <si>
    <r>
      <rPr>
        <sz val="11"/>
        <color rgb="FFFF0000"/>
        <rFont val="Calibri"/>
        <family val="2"/>
        <scheme val="minor"/>
      </rPr>
      <t xml:space="preserve">B1 </t>
    </r>
    <r>
      <rPr>
        <sz val="11"/>
        <color theme="1"/>
        <rFont val="Calibri"/>
        <family val="2"/>
        <scheme val="minor"/>
      </rPr>
      <t>- VIN#10</t>
    </r>
  </si>
  <si>
    <r>
      <rPr>
        <sz val="11"/>
        <color rgb="FFFFC000"/>
        <rFont val="Calibri"/>
        <family val="2"/>
        <scheme val="minor"/>
      </rPr>
      <t xml:space="preserve">B2 </t>
    </r>
    <r>
      <rPr>
        <sz val="11"/>
        <color theme="1"/>
        <rFont val="Calibri"/>
        <family val="2"/>
        <scheme val="minor"/>
      </rPr>
      <t>- VIN#11</t>
    </r>
  </si>
  <si>
    <r>
      <rPr>
        <sz val="11"/>
        <color rgb="FFFFFF00"/>
        <rFont val="Calibri"/>
        <family val="2"/>
        <scheme val="minor"/>
      </rPr>
      <t xml:space="preserve">B3 </t>
    </r>
    <r>
      <rPr>
        <sz val="11"/>
        <color theme="1"/>
        <rFont val="Calibri"/>
        <family val="2"/>
        <scheme val="minor"/>
      </rPr>
      <t>- VIN#12</t>
    </r>
  </si>
  <si>
    <r>
      <rPr>
        <b/>
        <sz val="11"/>
        <color theme="4"/>
        <rFont val="Calibri"/>
        <family val="2"/>
        <scheme val="minor"/>
      </rPr>
      <t>B4</t>
    </r>
    <r>
      <rPr>
        <sz val="11"/>
        <color rgb="FF333333"/>
        <rFont val="Calibri"/>
        <family val="2"/>
        <scheme val="minor"/>
      </rPr>
      <t xml:space="preserve"> - Data Start Byte [C1]</t>
    </r>
  </si>
  <si>
    <r>
      <rPr>
        <sz val="11"/>
        <color rgb="FF7030A0"/>
        <rFont val="Calibri"/>
        <family val="2"/>
        <scheme val="minor"/>
      </rPr>
      <t>B0</t>
    </r>
    <r>
      <rPr>
        <sz val="11"/>
        <rFont val="Calibri"/>
        <family val="2"/>
        <scheme val="minor"/>
      </rPr>
      <t xml:space="preserve"> - Block#02</t>
    </r>
  </si>
  <si>
    <r>
      <rPr>
        <sz val="11"/>
        <color rgb="FFFF0000"/>
        <rFont val="Calibri"/>
        <family val="2"/>
        <scheme val="minor"/>
      </rPr>
      <t xml:space="preserve">B1 </t>
    </r>
    <r>
      <rPr>
        <sz val="11"/>
        <color theme="1"/>
        <rFont val="Calibri"/>
        <family val="2"/>
        <scheme val="minor"/>
      </rPr>
      <t>- VIN#13</t>
    </r>
  </si>
  <si>
    <r>
      <rPr>
        <sz val="11"/>
        <color rgb="FFFFC000"/>
        <rFont val="Calibri"/>
        <family val="2"/>
        <scheme val="minor"/>
      </rPr>
      <t xml:space="preserve">B2 </t>
    </r>
    <r>
      <rPr>
        <sz val="11"/>
        <color theme="1"/>
        <rFont val="Calibri"/>
        <family val="2"/>
        <scheme val="minor"/>
      </rPr>
      <t>- VIN#14</t>
    </r>
  </si>
  <si>
    <r>
      <rPr>
        <sz val="11"/>
        <color rgb="FFFFFF00"/>
        <rFont val="Calibri"/>
        <family val="2"/>
        <scheme val="minor"/>
      </rPr>
      <t xml:space="preserve">B3 </t>
    </r>
    <r>
      <rPr>
        <sz val="11"/>
        <color theme="1"/>
        <rFont val="Calibri"/>
        <family val="2"/>
        <scheme val="minor"/>
      </rPr>
      <t>- VIN#15</t>
    </r>
  </si>
  <si>
    <r>
      <rPr>
        <b/>
        <sz val="11"/>
        <color theme="4"/>
        <rFont val="Calibri"/>
        <family val="2"/>
        <scheme val="minor"/>
      </rPr>
      <t>B4</t>
    </r>
    <r>
      <rPr>
        <sz val="11"/>
        <color rgb="FF333333"/>
        <rFont val="Calibri"/>
        <family val="2"/>
        <scheme val="minor"/>
      </rPr>
      <t> - VIN#16</t>
    </r>
  </si>
  <si>
    <t>06</t>
  </si>
  <si>
    <r>
      <rPr>
        <sz val="11"/>
        <color rgb="FF7030A0"/>
        <rFont val="Calibri"/>
        <family val="2"/>
        <scheme val="minor"/>
      </rPr>
      <t xml:space="preserve">B0 </t>
    </r>
    <r>
      <rPr>
        <sz val="11"/>
        <color theme="1"/>
        <rFont val="Calibri"/>
        <family val="2"/>
        <scheme val="minor"/>
      </rPr>
      <t>- VIN#17</t>
    </r>
  </si>
  <si>
    <r>
      <rPr>
        <sz val="11"/>
        <color rgb="FFFFC000"/>
        <rFont val="Calibri"/>
        <family val="2"/>
        <scheme val="minor"/>
      </rPr>
      <t>B2</t>
    </r>
    <r>
      <rPr>
        <sz val="11"/>
        <color theme="1"/>
        <rFont val="Calibri"/>
        <family val="2"/>
        <scheme val="minor"/>
      </rPr>
      <t xml:space="preserve"> - Data Start Byte [C1]</t>
    </r>
  </si>
  <si>
    <r>
      <rPr>
        <sz val="11"/>
        <color rgb="FFFFFF00"/>
        <rFont val="Calibri"/>
        <family val="2"/>
        <scheme val="minor"/>
      </rPr>
      <t xml:space="preserve">B3 </t>
    </r>
    <r>
      <rPr>
        <sz val="11"/>
        <color theme="1"/>
        <rFont val="Calibri"/>
        <family val="2"/>
        <scheme val="minor"/>
      </rPr>
      <t>- Block#03</t>
    </r>
  </si>
  <si>
    <t>08</t>
  </si>
  <si>
    <r>
      <rPr>
        <sz val="11"/>
        <color rgb="FF7030A0"/>
        <rFont val="Calibri"/>
        <family val="2"/>
        <scheme val="minor"/>
      </rPr>
      <t xml:space="preserve">B0 </t>
    </r>
    <r>
      <rPr>
        <sz val="11"/>
        <color theme="1"/>
        <rFont val="Calibri"/>
        <family val="2"/>
        <scheme val="minor"/>
      </rPr>
      <t>- Data Start Byte [C1]</t>
    </r>
  </si>
  <si>
    <r>
      <rPr>
        <sz val="11"/>
        <color rgb="FFFF0000"/>
        <rFont val="Calibri"/>
        <family val="2"/>
        <scheme val="minor"/>
      </rPr>
      <t xml:space="preserve">B1 </t>
    </r>
    <r>
      <rPr>
        <sz val="11"/>
        <color theme="1"/>
        <rFont val="Calibri"/>
        <family val="2"/>
        <scheme val="minor"/>
      </rPr>
      <t>- Block#04</t>
    </r>
  </si>
  <si>
    <t>09</t>
  </si>
  <si>
    <t>Speed Correction</t>
  </si>
  <si>
    <t>Enter Car value below:</t>
  </si>
  <si>
    <t>Enter GPS value below:</t>
  </si>
  <si>
    <t>Difference (calculated)</t>
  </si>
  <si>
    <r>
      <rPr>
        <sz val="11"/>
        <color rgb="FFFFFF00"/>
        <rFont val="Calibri"/>
        <family val="2"/>
        <scheme val="minor"/>
      </rPr>
      <t xml:space="preserve">B3 </t>
    </r>
    <r>
      <rPr>
        <sz val="11"/>
        <color theme="1"/>
        <rFont val="Calibri"/>
        <family val="2"/>
        <scheme val="minor"/>
      </rPr>
      <t>- Config Start Byte [BF]</t>
    </r>
  </si>
  <si>
    <r>
      <rPr>
        <b/>
        <sz val="11"/>
        <color theme="4"/>
        <rFont val="Calibri"/>
        <family val="2"/>
        <scheme val="minor"/>
      </rPr>
      <t>B4</t>
    </r>
    <r>
      <rPr>
        <sz val="11"/>
        <color rgb="FF333333"/>
        <rFont val="Calibri"/>
        <family val="2"/>
        <scheme val="minor"/>
      </rPr>
      <t> - Block#01</t>
    </r>
  </si>
  <si>
    <t>10</t>
  </si>
  <si>
    <t>Old value (DEC):</t>
  </si>
  <si>
    <t>New value (DEC):</t>
  </si>
  <si>
    <t>09 B4 value (BIN):</t>
  </si>
  <si>
    <t>10 B1 value (BIN):</t>
  </si>
  <si>
    <t>11</t>
  </si>
  <si>
    <r>
      <rPr>
        <sz val="11"/>
        <color rgb="FFFF0000"/>
        <rFont val="Calibri"/>
        <family val="2"/>
        <scheme val="minor"/>
      </rPr>
      <t xml:space="preserve">B1 </t>
    </r>
    <r>
      <rPr>
        <sz val="11"/>
        <color theme="1"/>
        <rFont val="Calibri"/>
        <family val="2"/>
        <scheme val="minor"/>
      </rPr>
      <t>- Config Start Byte [BF]</t>
    </r>
  </si>
  <si>
    <r>
      <rPr>
        <sz val="11"/>
        <color rgb="FFFFC000"/>
        <rFont val="Calibri"/>
        <family val="2"/>
        <scheme val="minor"/>
      </rPr>
      <t xml:space="preserve">B2 </t>
    </r>
    <r>
      <rPr>
        <sz val="11"/>
        <color theme="1"/>
        <rFont val="Calibri"/>
        <family val="2"/>
        <scheme val="minor"/>
      </rPr>
      <t>- Block#02</t>
    </r>
  </si>
  <si>
    <t>12</t>
  </si>
  <si>
    <r>
      <rPr>
        <b/>
        <sz val="11"/>
        <color theme="4"/>
        <rFont val="Calibri"/>
        <family val="2"/>
        <scheme val="minor"/>
      </rPr>
      <t>B4</t>
    </r>
    <r>
      <rPr>
        <sz val="11"/>
        <color rgb="FF333333"/>
        <rFont val="Calibri"/>
        <family val="2"/>
        <scheme val="minor"/>
      </rPr>
      <t> - Config Start Byte [BF]</t>
    </r>
  </si>
  <si>
    <t>13</t>
  </si>
  <si>
    <t>0 - TPMS off; 1 - TPMS on</t>
  </si>
  <si>
    <r>
      <rPr>
        <sz val="11"/>
        <color rgb="FF7030A0"/>
        <rFont val="Calibri"/>
        <family val="2"/>
        <scheme val="minor"/>
      </rPr>
      <t xml:space="preserve">B0 </t>
    </r>
    <r>
      <rPr>
        <sz val="11"/>
        <color theme="1"/>
        <rFont val="Calibri"/>
        <family val="2"/>
        <scheme val="minor"/>
      </rPr>
      <t>- Block#03</t>
    </r>
  </si>
  <si>
    <t>14</t>
  </si>
  <si>
    <r>
      <rPr>
        <sz val="11"/>
        <color rgb="FFFFC000"/>
        <rFont val="Calibri"/>
        <family val="2"/>
        <scheme val="minor"/>
      </rPr>
      <t xml:space="preserve">B2 </t>
    </r>
    <r>
      <rPr>
        <sz val="11"/>
        <color theme="1"/>
        <rFont val="Calibri"/>
        <family val="2"/>
        <scheme val="minor"/>
      </rPr>
      <t>- Config Start Byte [BF]</t>
    </r>
  </si>
  <si>
    <r>
      <rPr>
        <sz val="11"/>
        <color rgb="FFFFFF00"/>
        <rFont val="Calibri"/>
        <family val="2"/>
        <scheme val="minor"/>
      </rPr>
      <t xml:space="preserve">B3 </t>
    </r>
    <r>
      <rPr>
        <sz val="11"/>
        <color theme="1"/>
        <rFont val="Calibri"/>
        <family val="2"/>
        <scheme val="minor"/>
      </rPr>
      <t>- Block#04</t>
    </r>
  </si>
  <si>
    <t>15</t>
  </si>
  <si>
    <t>16</t>
  </si>
  <si>
    <t>1 - Show DAA on CMU</t>
  </si>
  <si>
    <r>
      <rPr>
        <sz val="11"/>
        <color rgb="FF7030A0"/>
        <rFont val="Calibri"/>
        <family val="2"/>
        <scheme val="minor"/>
      </rPr>
      <t xml:space="preserve">B0 </t>
    </r>
    <r>
      <rPr>
        <sz val="11"/>
        <color theme="1"/>
        <rFont val="Calibri"/>
        <family val="2"/>
        <scheme val="minor"/>
      </rPr>
      <t>- Config Start Byte [BF]</t>
    </r>
  </si>
  <si>
    <r>
      <rPr>
        <sz val="11"/>
        <color rgb="FFFF0000"/>
        <rFont val="Calibri"/>
        <family val="2"/>
        <scheme val="minor"/>
      </rPr>
      <t xml:space="preserve">B1 </t>
    </r>
    <r>
      <rPr>
        <sz val="11"/>
        <color theme="1"/>
        <rFont val="Calibri"/>
        <family val="2"/>
        <scheme val="minor"/>
      </rPr>
      <t>- Block#05</t>
    </r>
  </si>
  <si>
    <t>17</t>
  </si>
  <si>
    <r>
      <rPr>
        <b/>
        <sz val="11"/>
        <color theme="4"/>
        <rFont val="Calibri"/>
        <family val="2"/>
        <scheme val="minor"/>
      </rPr>
      <t>B4</t>
    </r>
    <r>
      <rPr>
        <sz val="11"/>
        <color rgb="FF333333"/>
        <rFont val="Calibri"/>
        <family val="2"/>
        <scheme val="minor"/>
      </rPr>
      <t> - Block#06</t>
    </r>
  </si>
  <si>
    <t>18</t>
  </si>
  <si>
    <t>19</t>
  </si>
  <si>
    <r>
      <rPr>
        <sz val="11"/>
        <color rgb="FFFFC000"/>
        <rFont val="Calibri"/>
        <family val="2"/>
        <scheme val="minor"/>
      </rPr>
      <t xml:space="preserve">B2 </t>
    </r>
    <r>
      <rPr>
        <sz val="11"/>
        <color theme="1"/>
        <rFont val="Calibri"/>
        <family val="2"/>
        <scheme val="minor"/>
      </rPr>
      <t>- Block#07</t>
    </r>
  </si>
  <si>
    <r>
      <rPr>
        <b/>
        <sz val="11"/>
        <color theme="4"/>
        <rFont val="Calibri"/>
        <family val="2"/>
        <scheme val="minor"/>
      </rPr>
      <t>B4</t>
    </r>
    <r>
      <rPr>
        <sz val="11"/>
        <color rgb="FF333333"/>
        <rFont val="Calibri"/>
        <family val="2"/>
        <scheme val="minor"/>
      </rPr>
      <t>  - Config Start Byte [BF]</t>
    </r>
  </si>
  <si>
    <t>21</t>
  </si>
  <si>
    <r>
      <rPr>
        <sz val="11"/>
        <color rgb="FF7030A0"/>
        <rFont val="Calibri"/>
        <family val="2"/>
        <scheme val="minor"/>
      </rPr>
      <t xml:space="preserve">B0 </t>
    </r>
    <r>
      <rPr>
        <sz val="11"/>
        <color theme="1"/>
        <rFont val="Calibri"/>
        <family val="2"/>
        <scheme val="minor"/>
      </rPr>
      <t>- Block#08</t>
    </r>
  </si>
  <si>
    <t>22</t>
  </si>
  <si>
    <r>
      <rPr>
        <sz val="11"/>
        <color rgb="FFFFC000"/>
        <rFont val="Calibri"/>
        <family val="2"/>
        <scheme val="minor"/>
      </rPr>
      <t>B2</t>
    </r>
    <r>
      <rPr>
        <sz val="11"/>
        <color theme="1"/>
        <rFont val="Calibri"/>
        <family val="2"/>
        <scheme val="minor"/>
      </rPr>
      <t xml:space="preserve"> - Config Start Byte [BF]</t>
    </r>
  </si>
  <si>
    <r>
      <rPr>
        <sz val="11"/>
        <color rgb="FFFFFF00"/>
        <rFont val="Calibri"/>
        <family val="2"/>
        <scheme val="minor"/>
      </rPr>
      <t xml:space="preserve">B3 </t>
    </r>
    <r>
      <rPr>
        <sz val="11"/>
        <color theme="1"/>
        <rFont val="Calibri"/>
        <family val="2"/>
        <scheme val="minor"/>
      </rPr>
      <t>- Block#09</t>
    </r>
  </si>
  <si>
    <t>23</t>
  </si>
  <si>
    <t>24</t>
  </si>
  <si>
    <r>
      <rPr>
        <sz val="11"/>
        <color rgb="FFFF0000"/>
        <rFont val="Calibri"/>
        <family val="2"/>
        <scheme val="minor"/>
      </rPr>
      <t xml:space="preserve">B1 </t>
    </r>
    <r>
      <rPr>
        <sz val="11"/>
        <color theme="1"/>
        <rFont val="Calibri"/>
        <family val="2"/>
        <scheme val="minor"/>
      </rPr>
      <t>- Block#10</t>
    </r>
  </si>
  <si>
    <t>25</t>
  </si>
  <si>
    <r>
      <rPr>
        <b/>
        <sz val="11"/>
        <color theme="4"/>
        <rFont val="Calibri"/>
        <family val="2"/>
        <scheme val="minor"/>
      </rPr>
      <t>B4</t>
    </r>
    <r>
      <rPr>
        <sz val="11"/>
        <color rgb="FF333333"/>
        <rFont val="Calibri"/>
        <family val="2"/>
        <scheme val="minor"/>
      </rPr>
      <t> - Block#11</t>
    </r>
  </si>
  <si>
    <t>27</t>
  </si>
  <si>
    <t>28</t>
  </si>
  <si>
    <r>
      <t>706-01-01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</si>
  <si>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706-01-01</t>
    </r>
    <r>
      <rPr>
        <sz val="11"/>
        <color theme="1"/>
        <rFont val="Calibri"/>
        <family val="2"/>
        <scheme val="minor"/>
      </rPr>
      <t xml:space="preserve"> B0 B1 B2 B3 B4 B5 in HEX</t>
    </r>
  </si>
  <si>
    <r>
      <t>706-01-02</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</si>
  <si>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706-01-02</t>
    </r>
    <r>
      <rPr>
        <sz val="11"/>
        <color theme="1"/>
        <rFont val="Calibri"/>
        <family val="2"/>
        <scheme val="minor"/>
      </rPr>
      <t xml:space="preserve"> B0 B1 B2 B3 B4 B5 in HEX</t>
    </r>
  </si>
  <si>
    <r>
      <t>706-01-03</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</si>
  <si>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706-01-03</t>
    </r>
    <r>
      <rPr>
        <sz val="11"/>
        <color theme="1"/>
        <rFont val="Calibri"/>
        <family val="2"/>
        <scheme val="minor"/>
      </rPr>
      <t xml:space="preserve"> B0 B1 B2 B3 B4 B5 in HEX</t>
    </r>
  </si>
  <si>
    <r>
      <t>706-01-04</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theme="1"/>
        <rFont val="Calibri"/>
        <family val="2"/>
        <scheme val="minor"/>
      </rPr>
      <t>in HEX</t>
    </r>
  </si>
  <si>
    <r>
      <rPr>
        <sz val="11"/>
        <color rgb="FFFFC000"/>
        <rFont val="Calibri"/>
        <family val="2"/>
        <scheme val="minor"/>
      </rPr>
      <t>B2</t>
    </r>
    <r>
      <rPr>
        <sz val="11"/>
        <color theme="1"/>
        <rFont val="Calibri"/>
        <family val="2"/>
        <scheme val="minor"/>
      </rPr>
      <t xml:space="preserve"> - CHECKSUM</t>
    </r>
  </si>
  <si>
    <r>
      <t>706-02-01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</si>
  <si>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706-02-01</t>
    </r>
    <r>
      <rPr>
        <sz val="11"/>
        <color theme="1"/>
        <rFont val="Calibri"/>
        <family val="2"/>
        <scheme val="minor"/>
      </rPr>
      <t xml:space="preserve"> B0 B1 B2 B3 B4 B5 in HEX</t>
    </r>
  </si>
  <si>
    <t>11=LDWS related ?</t>
  </si>
  <si>
    <t>0=enable ALH ?</t>
  </si>
  <si>
    <t>0=enable ALH ?</t>
  </si>
  <si>
    <t xml:space="preserve">11=LDWS related ?
</t>
  </si>
  <si>
    <r>
      <rPr>
        <sz val="11"/>
        <color rgb="FFFFC000"/>
        <rFont val="Calibri"/>
        <family val="2"/>
        <scheme val="minor"/>
      </rPr>
      <t xml:space="preserve">B2 </t>
    </r>
    <r>
      <rPr>
        <sz val="11"/>
        <color theme="1"/>
        <rFont val="Calibri"/>
        <family val="2"/>
        <scheme val="minor"/>
      </rPr>
      <t>- Block#12</t>
    </r>
  </si>
  <si>
    <t>29</t>
  </si>
  <si>
    <r>
      <rPr>
        <sz val="11"/>
        <color rgb="FF7030A0"/>
        <rFont val="Calibri"/>
        <family val="2"/>
        <scheme val="minor"/>
      </rPr>
      <t xml:space="preserve">B0 </t>
    </r>
    <r>
      <rPr>
        <sz val="11"/>
        <color theme="1"/>
        <rFont val="Calibri"/>
        <family val="2"/>
        <scheme val="minor"/>
      </rPr>
      <t>- Block#13</t>
    </r>
  </si>
  <si>
    <r>
      <rPr>
        <sz val="11"/>
        <color rgb="FFFFFF00"/>
        <rFont val="Calibri"/>
        <family val="2"/>
        <scheme val="minor"/>
      </rPr>
      <t xml:space="preserve">B3 </t>
    </r>
    <r>
      <rPr>
        <sz val="11"/>
        <color theme="1"/>
        <rFont val="Calibri"/>
        <family val="2"/>
        <scheme val="minor"/>
      </rPr>
      <t>- Block#14</t>
    </r>
  </si>
  <si>
    <r>
      <rPr>
        <sz val="11"/>
        <color rgb="FFFF0000"/>
        <rFont val="Calibri"/>
        <family val="2"/>
        <scheme val="minor"/>
      </rPr>
      <t xml:space="preserve">B1 </t>
    </r>
    <r>
      <rPr>
        <sz val="11"/>
        <color theme="1"/>
        <rFont val="Calibri"/>
        <family val="2"/>
        <scheme val="minor"/>
      </rPr>
      <t>- Block#15</t>
    </r>
  </si>
  <si>
    <r>
      <rPr>
        <b/>
        <sz val="11"/>
        <color theme="4"/>
        <rFont val="Calibri"/>
        <family val="2"/>
        <scheme val="minor"/>
      </rPr>
      <t>B4</t>
    </r>
    <r>
      <rPr>
        <sz val="11"/>
        <color rgb="FF333333"/>
        <rFont val="Calibri"/>
        <family val="2"/>
        <scheme val="minor"/>
      </rPr>
      <t> - Block#16</t>
    </r>
  </si>
  <si>
    <r>
      <rPr>
        <sz val="11"/>
        <color rgb="FFFFC000"/>
        <rFont val="Calibri"/>
        <family val="2"/>
        <scheme val="minor"/>
      </rPr>
      <t xml:space="preserve">B2 </t>
    </r>
    <r>
      <rPr>
        <sz val="11"/>
        <color theme="1"/>
        <rFont val="Calibri"/>
        <family val="2"/>
        <scheme val="minor"/>
      </rPr>
      <t>- Block#17</t>
    </r>
  </si>
  <si>
    <r>
      <rPr>
        <sz val="11"/>
        <color rgb="FF7030A0"/>
        <rFont val="Calibri"/>
        <family val="2"/>
        <scheme val="minor"/>
      </rPr>
      <t xml:space="preserve">B0 </t>
    </r>
    <r>
      <rPr>
        <sz val="11"/>
        <color theme="1"/>
        <rFont val="Calibri"/>
        <family val="2"/>
        <scheme val="minor"/>
      </rPr>
      <t>- Block#18</t>
    </r>
  </si>
  <si>
    <r>
      <rPr>
        <sz val="11"/>
        <color rgb="FFFFFF00"/>
        <rFont val="Calibri"/>
        <family val="2"/>
        <scheme val="minor"/>
      </rPr>
      <t xml:space="preserve">B3 </t>
    </r>
    <r>
      <rPr>
        <sz val="11"/>
        <color theme="1"/>
        <rFont val="Calibri"/>
        <family val="2"/>
        <scheme val="minor"/>
      </rPr>
      <t>- Block#19</t>
    </r>
  </si>
  <si>
    <t>40</t>
  </si>
  <si>
    <r>
      <rPr>
        <sz val="11"/>
        <color rgb="FFFF0000"/>
        <rFont val="Calibri"/>
        <family val="2"/>
        <scheme val="minor"/>
      </rPr>
      <t xml:space="preserve">B1 </t>
    </r>
    <r>
      <rPr>
        <sz val="11"/>
        <color theme="1"/>
        <rFont val="Calibri"/>
        <family val="2"/>
        <scheme val="minor"/>
      </rPr>
      <t>- Block#1A</t>
    </r>
  </si>
  <si>
    <r>
      <rPr>
        <b/>
        <sz val="11"/>
        <color theme="4"/>
        <rFont val="Calibri"/>
        <family val="2"/>
        <scheme val="minor"/>
      </rPr>
      <t>B4</t>
    </r>
    <r>
      <rPr>
        <sz val="11"/>
        <color rgb="FF333333"/>
        <rFont val="Calibri"/>
        <family val="2"/>
        <scheme val="minor"/>
      </rPr>
      <t> - Block#1B</t>
    </r>
  </si>
  <si>
    <r>
      <rPr>
        <sz val="11"/>
        <color rgb="FFFFC000"/>
        <rFont val="Calibri"/>
        <family val="2"/>
        <scheme val="minor"/>
      </rPr>
      <t xml:space="preserve">B2 </t>
    </r>
    <r>
      <rPr>
        <sz val="11"/>
        <color theme="1"/>
        <rFont val="Calibri"/>
        <family val="2"/>
        <scheme val="minor"/>
      </rPr>
      <t>- Block#1C</t>
    </r>
  </si>
  <si>
    <r>
      <rPr>
        <sz val="11"/>
        <color rgb="FF7030A0"/>
        <rFont val="Calibri"/>
        <family val="2"/>
        <scheme val="minor"/>
      </rPr>
      <t xml:space="preserve">B0 </t>
    </r>
    <r>
      <rPr>
        <sz val="11"/>
        <color theme="1"/>
        <rFont val="Calibri"/>
        <family val="2"/>
        <scheme val="minor"/>
      </rPr>
      <t>- Block#1D</t>
    </r>
  </si>
  <si>
    <r>
      <rPr>
        <sz val="11"/>
        <color rgb="FFFFFF00"/>
        <rFont val="Calibri"/>
        <family val="2"/>
        <scheme val="minor"/>
      </rPr>
      <t xml:space="preserve">B3 </t>
    </r>
    <r>
      <rPr>
        <sz val="11"/>
        <color theme="1"/>
        <rFont val="Calibri"/>
        <family val="2"/>
        <scheme val="minor"/>
      </rPr>
      <t>- Block#1E</t>
    </r>
  </si>
  <si>
    <r>
      <rPr>
        <sz val="11"/>
        <color rgb="FFFF0000"/>
        <rFont val="Calibri"/>
        <family val="2"/>
        <scheme val="minor"/>
      </rPr>
      <t xml:space="preserve">B1 </t>
    </r>
    <r>
      <rPr>
        <sz val="11"/>
        <color theme="1"/>
        <rFont val="Calibri"/>
        <family val="2"/>
        <scheme val="minor"/>
      </rPr>
      <t>- Block#1F</t>
    </r>
  </si>
  <si>
    <r>
      <rPr>
        <b/>
        <sz val="11"/>
        <color theme="4"/>
        <rFont val="Calibri"/>
        <family val="2"/>
        <scheme val="minor"/>
      </rPr>
      <t>B4</t>
    </r>
    <r>
      <rPr>
        <sz val="11"/>
        <color rgb="FF333333"/>
        <rFont val="Calibri"/>
        <family val="2"/>
        <scheme val="minor"/>
      </rPr>
      <t> - Block#20</t>
    </r>
  </si>
  <si>
    <r>
      <rPr>
        <sz val="11"/>
        <color rgb="FFFFC000"/>
        <rFont val="Calibri"/>
        <family val="2"/>
        <scheme val="minor"/>
      </rPr>
      <t xml:space="preserve">B2 </t>
    </r>
    <r>
      <rPr>
        <sz val="11"/>
        <color theme="1"/>
        <rFont val="Calibri"/>
        <family val="2"/>
        <scheme val="minor"/>
      </rPr>
      <t>- Block#21</t>
    </r>
  </si>
  <si>
    <r>
      <rPr>
        <b/>
        <sz val="11"/>
        <color theme="4"/>
        <rFont val="Calibri"/>
        <family val="2"/>
        <scheme val="minor"/>
      </rPr>
      <t>B4</t>
    </r>
    <r>
      <rPr>
        <sz val="11"/>
        <color rgb="FF333333"/>
        <rFont val="Calibri"/>
        <family val="2"/>
        <scheme val="minor"/>
      </rPr>
      <t> - CHECKSUM</t>
    </r>
  </si>
  <si>
    <r>
      <t>726-01-01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theme="1"/>
        <rFont val="Calibri"/>
        <family val="2"/>
        <scheme val="minor"/>
      </rPr>
      <t>in HEX</t>
    </r>
  </si>
  <si>
    <r>
      <t>726-02-01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theme="1"/>
        <rFont val="Calibri"/>
        <family val="2"/>
        <scheme val="minor"/>
      </rPr>
      <t>in HEX</t>
    </r>
  </si>
  <si>
    <r>
      <rPr>
        <sz val="11"/>
        <color rgb="FFFFC000"/>
        <rFont val="Calibri"/>
        <family val="2"/>
        <charset val="204"/>
        <scheme val="minor"/>
      </rPr>
      <t>B2</t>
    </r>
    <r>
      <rPr>
        <sz val="11"/>
        <color theme="1"/>
        <rFont val="Calibri"/>
        <family val="2"/>
        <scheme val="minor"/>
      </rPr>
      <t xml:space="preserve"> - CHECKSUM</t>
    </r>
  </si>
  <si>
    <t>CCC Data:</t>
  </si>
  <si>
    <t>Paste here</t>
  </si>
  <si>
    <t>Final without checksum</t>
  </si>
  <si>
    <t>Guide:</t>
  </si>
  <si>
    <t>Click Submit</t>
  </si>
  <si>
    <t>Click CCC Data</t>
  </si>
  <si>
    <t>Click Download File</t>
  </si>
  <si>
    <t>Open file with Notepad</t>
  </si>
  <si>
    <t>Copy what's inside &lt;CCC_DATA&gt; tags</t>
  </si>
  <si>
    <t>Copy final data from column F (depending on your car it's either 28 or 53 lines)</t>
  </si>
  <si>
    <t>Forward Sensing Camera (FSC) Gen 1</t>
  </si>
  <si>
    <t>Forward Sensing Camera (FSC) Gen 2</t>
  </si>
  <si>
    <t>Advanced Smart City Brake Support (Advanced SCBS)</t>
  </si>
  <si>
    <t>Video EU</t>
  </si>
  <si>
    <t>5375 4114 0030 9303</t>
  </si>
  <si>
    <t>Alert Timing , 0 = Before, 1 = At</t>
  </si>
  <si>
    <t>Intervention, 1=On, 0=Off</t>
  </si>
  <si>
    <t>Cruise Control</t>
  </si>
  <si>
    <t>Auto Door Lock</t>
  </si>
  <si>
    <t>A/C Eco Mode</t>
  </si>
  <si>
    <t>Links to cells in this document related to given functions</t>
  </si>
  <si>
    <t>Function</t>
  </si>
  <si>
    <t>Cell 1</t>
  </si>
  <si>
    <t>Cell 2</t>
  </si>
  <si>
    <t>Cell 3</t>
  </si>
  <si>
    <t>Cell 4</t>
  </si>
  <si>
    <t>Cell 5</t>
  </si>
  <si>
    <t>IC - 720-04-23 B4</t>
  </si>
  <si>
    <t>IC - 720-01-02 B0</t>
  </si>
  <si>
    <t>RBCM - 7B7-01-02 B4</t>
  </si>
  <si>
    <t>RBCM - 7B7-02-01 B0</t>
  </si>
  <si>
    <t>IC - 720-04-11 B0</t>
  </si>
  <si>
    <t>Enter desired VIN</t>
  </si>
  <si>
    <t>Rear Fog Light</t>
  </si>
  <si>
    <t>RBCM - 7B7-01-01 B0</t>
  </si>
  <si>
    <t>IC - 720-01-01 B0</t>
  </si>
  <si>
    <t>RBCM - 7B7-01-01 B1</t>
  </si>
  <si>
    <t>?: Maybe Applicable (Unsure)</t>
  </si>
  <si>
    <t>https://www.mazda3revolution.com/threads/change-configuration-explore-different-functions-asbuilt.169393/</t>
  </si>
  <si>
    <t>Seatbelts</t>
  </si>
  <si>
    <t>Low Level Windshield Washer Fluid indicator</t>
  </si>
  <si>
    <t>i-Stop</t>
  </si>
  <si>
    <t>i-eloop</t>
  </si>
  <si>
    <t>Speed Sound Alarm</t>
  </si>
  <si>
    <t>Advanced SCBS</t>
  </si>
  <si>
    <t>Parking sensors</t>
  </si>
  <si>
    <t>Rear Glass Heating</t>
  </si>
  <si>
    <t>IC - 720-04-14 B1</t>
  </si>
  <si>
    <t>FSC Gen 2 - 706-01-01 B4</t>
  </si>
  <si>
    <t>FSC Gen 2 - 706-02-01 B4</t>
  </si>
  <si>
    <t>RBCM - 7B7-01-01 B3 (MRCC)</t>
  </si>
  <si>
    <t>IC - 720-04-16 B4</t>
  </si>
  <si>
    <t>Confirmed by me personally, or by multiple users</t>
  </si>
  <si>
    <t>Reported by other users, not tested by me personally</t>
  </si>
  <si>
    <t>IC - 720-04-17 B2</t>
  </si>
  <si>
    <t>FBCM - 726-01-01 B3</t>
  </si>
  <si>
    <t xml:space="preserve">SSU - 731-01-01 B2 </t>
  </si>
  <si>
    <t>SSU - 731-01-03 B1</t>
  </si>
  <si>
    <t>SSU - 731-02-01 B1</t>
  </si>
  <si>
    <t>Auto-Leveling Function (ALF, ALS)</t>
  </si>
  <si>
    <t>Advanced Keyless Entry System (AKE)</t>
  </si>
  <si>
    <t>Headlight Levelling (ALF, ALS)</t>
  </si>
  <si>
    <t>IC - 720-04-14 B3</t>
  </si>
  <si>
    <t>IC - 720-04-25 B2</t>
  </si>
  <si>
    <t>SSU - 731-01-01 B1</t>
  </si>
  <si>
    <t>SSU - 731-01-02 B0</t>
  </si>
  <si>
    <t>IC - 720-01-01 B2</t>
  </si>
  <si>
    <t>FSC Gen 2 - 706-01-02 B0</t>
  </si>
  <si>
    <t>IC - 720-04-19 B0</t>
  </si>
  <si>
    <t>IC - 720-02-01 B0</t>
  </si>
  <si>
    <t>IC - 720-02-01 B1</t>
  </si>
  <si>
    <t xml:space="preserve">FSC Gen 1 - 706-01-01 B3 </t>
  </si>
  <si>
    <t>FSC Gen 2 (various unconfirmed)</t>
  </si>
  <si>
    <t>IC - 720-01-01 B1</t>
  </si>
  <si>
    <t>IC - 720-04-16 B2</t>
  </si>
  <si>
    <t>IC - 720-04-22 B1</t>
  </si>
  <si>
    <t>IC - 720-04-19 B3</t>
  </si>
  <si>
    <t>IC - 720-04-21 B1</t>
  </si>
  <si>
    <t>IC - 720-04-16 B0</t>
  </si>
  <si>
    <t>RBCM - 7B7-01-01 B3</t>
  </si>
  <si>
    <t>FSC Gen 2 - 706-01-01 B2</t>
  </si>
  <si>
    <t>FSC Gen 2 - 706-02-01 B2</t>
  </si>
  <si>
    <t>FSC Gen 2 - 706-01-02 B4</t>
  </si>
  <si>
    <t>Color Legend:</t>
  </si>
  <si>
    <t>IC - 720-04-24 B2</t>
  </si>
  <si>
    <t>i-DM</t>
  </si>
  <si>
    <t>IC - 720-04-27 B1</t>
  </si>
  <si>
    <r>
      <rPr>
        <sz val="11"/>
        <color theme="1"/>
        <rFont val="Calibri"/>
        <family val="2"/>
        <charset val="204"/>
        <scheme val="minor"/>
      </rPr>
      <t>Accessory Burglar Alarm: 0 - OFF / 1 - ON</t>
    </r>
  </si>
  <si>
    <r>
      <rPr>
        <b/>
        <sz val="11"/>
        <color theme="1"/>
        <rFont val="Calibri"/>
        <family val="2"/>
        <charset val="204"/>
        <scheme val="minor"/>
      </rPr>
      <t>Auto Wiper:</t>
    </r>
    <r>
      <rPr>
        <sz val="11"/>
        <color theme="1"/>
        <rFont val="Calibri"/>
        <family val="2"/>
        <charset val="204"/>
        <scheme val="minor"/>
      </rPr>
      <t xml:space="preserve">
b3b2 - Value
01 - OFF
10 - ON</t>
    </r>
  </si>
  <si>
    <r>
      <rPr>
        <b/>
        <sz val="11"/>
        <color theme="1"/>
        <rFont val="Calibri"/>
        <family val="2"/>
        <charset val="204"/>
        <scheme val="minor"/>
      </rPr>
      <t>3 flash Turn Signal:</t>
    </r>
    <r>
      <rPr>
        <sz val="11"/>
        <color theme="1"/>
        <rFont val="Calibri"/>
        <family val="2"/>
        <charset val="204"/>
        <scheme val="minor"/>
      </rPr>
      <t xml:space="preserve">
b4b3 - Value
01 - OFF
10 - ON</t>
    </r>
  </si>
  <si>
    <r>
      <rPr>
        <b/>
        <sz val="11"/>
        <color theme="1"/>
        <rFont val="Calibri"/>
        <family val="2"/>
        <charset val="204"/>
        <scheme val="minor"/>
      </rPr>
      <t>Coming Home Light:</t>
    </r>
    <r>
      <rPr>
        <sz val="11"/>
        <color theme="1"/>
        <rFont val="Calibri"/>
        <family val="2"/>
        <charset val="204"/>
        <scheme val="minor"/>
      </rPr>
      <t xml:space="preserve">
b2b1b0 - value
001 - OFF
010 - 30 sec
011 - 60 sec
100 - 90 sec
101 - 120 sec</t>
    </r>
  </si>
  <si>
    <r>
      <rPr>
        <b/>
        <sz val="11"/>
        <color theme="1"/>
        <rFont val="Calibri"/>
        <family val="2"/>
        <charset val="204"/>
        <scheme val="minor"/>
      </rPr>
      <t>Timing Light (Door Closed):</t>
    </r>
    <r>
      <rPr>
        <sz val="11"/>
        <color theme="1"/>
        <rFont val="Calibri"/>
        <family val="2"/>
        <charset val="204"/>
        <scheme val="minor"/>
      </rPr>
      <t xml:space="preserve">
b7b6b5 - value
001 - 15 sec
010 - 7,5 sec
011 - 30 sec
100 - 60 sec</t>
    </r>
  </si>
  <si>
    <r>
      <rPr>
        <b/>
        <sz val="11"/>
        <color theme="1"/>
        <rFont val="Calibri"/>
        <family val="2"/>
        <charset val="204"/>
        <scheme val="minor"/>
      </rPr>
      <t>Timing Light (Door Opened):</t>
    </r>
    <r>
      <rPr>
        <sz val="11"/>
        <color theme="1"/>
        <rFont val="Calibri"/>
        <family val="2"/>
        <charset val="204"/>
        <scheme val="minor"/>
      </rPr>
      <t xml:space="preserve">
b4b3 - value
01 - 30 min
10 - 60 min
11 - 10 min</t>
    </r>
  </si>
  <si>
    <r>
      <rPr>
        <b/>
        <sz val="11"/>
        <color theme="1"/>
        <rFont val="Calibri"/>
        <family val="2"/>
        <charset val="204"/>
        <scheme val="minor"/>
      </rPr>
      <t>Auto Headlight:</t>
    </r>
    <r>
      <rPr>
        <sz val="11"/>
        <color theme="1"/>
        <rFont val="Calibri"/>
        <family val="2"/>
        <charset val="204"/>
        <scheme val="minor"/>
      </rPr>
      <t xml:space="preserve">
b7b6b5b4 - value
0111 - Low
        1000 - Med Low
       1001 - Medium
         1010 - Med High
1011 - High</t>
    </r>
  </si>
  <si>
    <r>
      <rPr>
        <b/>
        <sz val="11"/>
        <color theme="1"/>
        <rFont val="Calibri"/>
        <family val="2"/>
        <charset val="204"/>
        <scheme val="minor"/>
      </rPr>
      <t>Leaving Home Light:</t>
    </r>
    <r>
      <rPr>
        <sz val="11"/>
        <color theme="1"/>
        <rFont val="Calibri"/>
        <family val="2"/>
        <charset val="204"/>
        <scheme val="minor"/>
      </rPr>
      <t xml:space="preserve">
b3b2 - Value
01 - OFF
10 - ON 0 - OFF / 1 - ON</t>
    </r>
  </si>
  <si>
    <r>
      <t>720-04-01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</si>
  <si>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720-04-02</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</si>
  <si>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720-04-03</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</si>
  <si>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720-04-04</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</si>
  <si>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720-04-05</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</si>
  <si>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720-04-06</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</si>
  <si>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720-04-07</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</si>
  <si>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720-04-08</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</si>
  <si>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720-04-09</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</si>
  <si>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720-04-10</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</si>
  <si>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720-04-11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</si>
  <si>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720-04-12</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</si>
  <si>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720-04-13</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</si>
  <si>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720-04-14</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</si>
  <si>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720-04-15</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</si>
  <si>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720-04-16</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</si>
  <si>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720-04-17</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</si>
  <si>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720-04-18</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</si>
  <si>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720-04-19</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</si>
  <si>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720-04-20</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</si>
  <si>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720-04-21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</si>
  <si>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720-04-22</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</si>
  <si>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720-04-23</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</si>
  <si>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720-04-24</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</si>
  <si>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720-04-25</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</si>
  <si>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720-04-26</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</si>
  <si>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720-04-27</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</si>
  <si>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t>Adaptive Front lighting System (AFS) control Unit</t>
  </si>
  <si>
    <t>Swivel actuator (Clock Spring)</t>
  </si>
  <si>
    <t>Radar Sensor Unit</t>
  </si>
  <si>
    <t>Stop Lamp Unit</t>
  </si>
  <si>
    <t>Blind Spot Monitoring (BSM) control modules (R &amp; L)</t>
  </si>
  <si>
    <t>TSR on IC related</t>
  </si>
  <si>
    <t>Laser sensor (Lidar)</t>
  </si>
  <si>
    <t>FSC Gen 1 - 706-01-01 B0</t>
  </si>
  <si>
    <t>Intrusion Sensor</t>
  </si>
  <si>
    <t>LDWS default state related?</t>
  </si>
  <si>
    <t>Related to button mapping of Cruise Control function</t>
  </si>
  <si>
    <t>Pre-BF</t>
  </si>
  <si>
    <t>C103</t>
  </si>
  <si>
    <t>380039091400</t>
  </si>
  <si>
    <t>C104</t>
  </si>
  <si>
    <t>000008BE4000</t>
  </si>
  <si>
    <t>BF-01</t>
  </si>
  <si>
    <t>BF-02</t>
  </si>
  <si>
    <t>22C000000005</t>
  </si>
  <si>
    <t>BF-03</t>
  </si>
  <si>
    <t>BF-04</t>
  </si>
  <si>
    <t>308000240006</t>
  </si>
  <si>
    <t>BF-05</t>
  </si>
  <si>
    <t>100000000000</t>
  </si>
  <si>
    <t>BF-06</t>
  </si>
  <si>
    <t>100000100000</t>
  </si>
  <si>
    <t>BF-07</t>
  </si>
  <si>
    <t>000000100000</t>
  </si>
  <si>
    <t>BF-08</t>
  </si>
  <si>
    <t>212009000000</t>
  </si>
  <si>
    <t>BF-09</t>
  </si>
  <si>
    <t>210000400000</t>
  </si>
  <si>
    <t>BF-10</t>
  </si>
  <si>
    <t>100000200001</t>
  </si>
  <si>
    <t>BF-11</t>
  </si>
  <si>
    <t>300398000000</t>
  </si>
  <si>
    <t>BF-12</t>
  </si>
  <si>
    <t/>
  </si>
  <si>
    <t>BF-13</t>
  </si>
  <si>
    <t>BF-14</t>
  </si>
  <si>
    <t>BF-15</t>
  </si>
  <si>
    <t>BF-16</t>
  </si>
  <si>
    <t>BF-17</t>
  </si>
  <si>
    <t>BF-18</t>
  </si>
  <si>
    <t>BF-19</t>
  </si>
  <si>
    <t>BF-1A</t>
  </si>
  <si>
    <t>BF-1B</t>
  </si>
  <si>
    <t>BF-1C</t>
  </si>
  <si>
    <t>BF-1D</t>
  </si>
  <si>
    <t>BF-1E</t>
  </si>
  <si>
    <t>BF-1F</t>
  </si>
  <si>
    <t>BF-20</t>
  </si>
  <si>
    <t>BF-21</t>
  </si>
  <si>
    <t>RHD / LHT COUNTRIES:</t>
  </si>
  <si>
    <t>AUSTRALIA</t>
  </si>
  <si>
    <t>BAHAMAS</t>
  </si>
  <si>
    <t>CYPRUS</t>
  </si>
  <si>
    <t>ENGLAND</t>
  </si>
  <si>
    <t>GB</t>
  </si>
  <si>
    <t>UK</t>
  </si>
  <si>
    <t>HONG KONG</t>
  </si>
  <si>
    <t>INDIA</t>
  </si>
  <si>
    <t>INDONESIA</t>
  </si>
  <si>
    <t>IRELAND</t>
  </si>
  <si>
    <t>JAPAN</t>
  </si>
  <si>
    <t>MACAU</t>
  </si>
  <si>
    <t>MALAYSIA</t>
  </si>
  <si>
    <t>MALTA</t>
  </si>
  <si>
    <t>NEW ZELAND</t>
  </si>
  <si>
    <t>PAKISTAN</t>
  </si>
  <si>
    <t>SCOTLAAND</t>
  </si>
  <si>
    <t>SEYSHELLES</t>
  </si>
  <si>
    <t>SINGAPORE</t>
  </si>
  <si>
    <t>SOUTH AFRICA</t>
  </si>
  <si>
    <t>SRI LANKA</t>
  </si>
  <si>
    <t>THAILAND</t>
  </si>
  <si>
    <t>Copy paste column L as Value below:</t>
  </si>
  <si>
    <r>
      <t xml:space="preserve">ADL - </t>
    </r>
    <r>
      <rPr>
        <b/>
        <sz val="8"/>
        <color rgb="FFFF0000"/>
        <rFont val="Arial"/>
        <family val="2"/>
        <charset val="204"/>
      </rPr>
      <t>red script</t>
    </r>
  </si>
  <si>
    <t>AUDIO ?</t>
  </si>
  <si>
    <t>Market Region</t>
  </si>
  <si>
    <t>AUTOHOLD / TPMS</t>
  </si>
  <si>
    <t>HALO/LED/AFS/ALH</t>
  </si>
  <si>
    <t>SCBS-R / DAA</t>
  </si>
  <si>
    <t>FOW/SBS/DRSS</t>
  </si>
  <si>
    <t>HBC/LDWS/LKAS</t>
  </si>
  <si>
    <t>BSM</t>
  </si>
  <si>
    <t>CC/MRCC/SCBS</t>
  </si>
  <si>
    <t>BOSE</t>
  </si>
  <si>
    <t>i_DM</t>
  </si>
  <si>
    <t>M2/CX-3</t>
  </si>
  <si>
    <t>ADL M2/CX-3 ???</t>
  </si>
  <si>
    <t>ESS ?</t>
  </si>
  <si>
    <t>SSU</t>
  </si>
  <si>
    <t>FSC</t>
  </si>
  <si>
    <t>BCMM / FBCM</t>
  </si>
  <si>
    <t>RBCM</t>
  </si>
  <si>
    <t>BF Block</t>
  </si>
  <si>
    <t>BF-01 = VMC</t>
  </si>
  <si>
    <t>BF-02 = TPMS</t>
  </si>
  <si>
    <t>BF-03 = AFS</t>
  </si>
  <si>
    <t>BF-04 = PSM</t>
  </si>
  <si>
    <t>BF-06 = RVM</t>
  </si>
  <si>
    <t>BF-07 = BSM</t>
  </si>
  <si>
    <t>BF-08 = EATC</t>
  </si>
  <si>
    <t>BF-09 = CC</t>
  </si>
  <si>
    <t>731-01-01</t>
  </si>
  <si>
    <t>731-01-02</t>
  </si>
  <si>
    <t>731-01-03</t>
  </si>
  <si>
    <t>706-01-01</t>
  </si>
  <si>
    <t>706-01-02</t>
  </si>
  <si>
    <t>726-01-01</t>
  </si>
  <si>
    <t>726-01-02</t>
  </si>
  <si>
    <t>726-01-03</t>
  </si>
  <si>
    <t>7B7-01-01</t>
  </si>
  <si>
    <t>7B7-01-02</t>
  </si>
  <si>
    <t>7B7-01-03</t>
  </si>
  <si>
    <t>My M2/2016/AT/HB/HALO/LDWS/CC/KE/</t>
  </si>
  <si>
    <t>3MDDJ5HVA3M135726</t>
  </si>
  <si>
    <t>2D5A0100FFFFFFFFC100334D44444A35C101485641334D31C102333537323600C103380001899400C104000007660000</t>
  </si>
  <si>
    <t>380001899400</t>
  </si>
  <si>
    <t>000007660000</t>
  </si>
  <si>
    <t>310000000000</t>
  </si>
  <si>
    <t>200000000003</t>
  </si>
  <si>
    <t>309064000000</t>
  </si>
  <si>
    <t>410000100000</t>
  </si>
  <si>
    <t>412200777700</t>
  </si>
  <si>
    <t>200000100000</t>
  </si>
  <si>
    <t>200380000000</t>
  </si>
  <si>
    <t>7613955A55F2</t>
  </si>
  <si>
    <t>000000000000</t>
  </si>
  <si>
    <r>
      <t>00400860</t>
    </r>
    <r>
      <rPr>
        <sz val="11"/>
        <color rgb="FFFF0000"/>
        <rFont val="Arial"/>
        <family val="2"/>
        <charset val="204"/>
      </rPr>
      <t>A</t>
    </r>
    <r>
      <rPr>
        <sz val="11"/>
        <color theme="1"/>
        <rFont val="Arial"/>
        <family val="2"/>
        <charset val="204"/>
      </rPr>
      <t>028</t>
    </r>
  </si>
  <si>
    <r>
      <rPr>
        <sz val="11"/>
        <color rgb="FFFF0000"/>
        <rFont val="Arial"/>
        <family val="2"/>
        <charset val="204"/>
      </rPr>
      <t>0</t>
    </r>
    <r>
      <rPr>
        <sz val="11"/>
        <color theme="1"/>
        <rFont val="Arial"/>
        <family val="2"/>
        <charset val="204"/>
      </rPr>
      <t>81400330000</t>
    </r>
  </si>
  <si>
    <r>
      <t>50</t>
    </r>
    <r>
      <rPr>
        <sz val="11"/>
        <color rgb="FFFF0000"/>
        <rFont val="Arial"/>
        <family val="2"/>
        <charset val="204"/>
      </rPr>
      <t>20</t>
    </r>
    <r>
      <rPr>
        <sz val="11"/>
        <color theme="1"/>
        <rFont val="Arial"/>
        <family val="2"/>
        <charset val="204"/>
      </rPr>
      <t>65000000</t>
    </r>
  </si>
  <si>
    <t>002200000000</t>
  </si>
  <si>
    <t>4408 4024 200A</t>
  </si>
  <si>
    <t>0009 1835 7001</t>
  </si>
  <si>
    <t>4221 009F</t>
  </si>
  <si>
    <t>4530 5130 0005</t>
  </si>
  <si>
    <t>2C81 0000 00XX</t>
  </si>
  <si>
    <t>0813 3898 1A</t>
  </si>
  <si>
    <t>0000 30</t>
  </si>
  <si>
    <t>M2-710/2016/HB/LED/ALS/HBC/LDWS/SCBS/BSM/AKE</t>
  </si>
  <si>
    <t>3MDDJ5HVA3M135710</t>
  </si>
  <si>
    <t>2E7C0100FFFFFFFFC100334D44444A35C101485641334D31C102333537313000C103380001899400C104000007810000</t>
  </si>
  <si>
    <t>000007810000</t>
  </si>
  <si>
    <t>200002000000</t>
  </si>
  <si>
    <t>308FFC000000</t>
  </si>
  <si>
    <t>220000100000</t>
  </si>
  <si>
    <t>000000330000</t>
  </si>
  <si>
    <t>212200777700</t>
  </si>
  <si>
    <t>200000211000</t>
  </si>
  <si>
    <t>681400330000</t>
  </si>
  <si>
    <t>4408 C024 208A</t>
  </si>
  <si>
    <t>0609 1835 7007</t>
  </si>
  <si>
    <t>0220 005E</t>
  </si>
  <si>
    <t>2530 5130 00E5</t>
  </si>
  <si>
    <t>2C81 0000 00BD</t>
  </si>
  <si>
    <t>CX-3/ADL/RHD/LED/ALS/BOSE/A-CLI</t>
  </si>
  <si>
    <t>JM7DK4W7AH0123903</t>
  </si>
  <si>
    <t>2D510100FFFFFFFFC1004A4D37444B34C101573741483031C102323339303300C103380001891400C104000008140000</t>
  </si>
  <si>
    <t>380001891400</t>
  </si>
  <si>
    <t>000008140000</t>
  </si>
  <si>
    <t>740000000000</t>
  </si>
  <si>
    <t>200000000001</t>
  </si>
  <si>
    <t>200003000000</t>
  </si>
  <si>
    <t>338F50000000</t>
  </si>
  <si>
    <t>110000100000</t>
  </si>
  <si>
    <t>100000200000</t>
  </si>
  <si>
    <t>200381000000</t>
  </si>
  <si>
    <t>000008609028</t>
  </si>
  <si>
    <t>701400320000</t>
  </si>
  <si>
    <t>62AC65200000</t>
  </si>
  <si>
    <t>042200000000</t>
  </si>
  <si>
    <t>4014 C084 20F2</t>
  </si>
  <si>
    <t>0709 1847 903A</t>
  </si>
  <si>
    <t>0224 0062</t>
  </si>
  <si>
    <t>M2/HB/ADL/RHD/LED/ALS/A-CLI</t>
  </si>
  <si>
    <t>MM7DJ2HAAGW176537</t>
  </si>
  <si>
    <t>2ED00100FFFFFFFFC1004D4D37444A32C101484141475731C102373635333700C103380001899400C104000007810000</t>
  </si>
  <si>
    <t>710000000000</t>
  </si>
  <si>
    <t>200000000005</t>
  </si>
  <si>
    <t>200383000000</t>
  </si>
  <si>
    <t>42AC65200000</t>
  </si>
  <si>
    <t>4408 C084 20EA</t>
  </si>
  <si>
    <t>380A 2894 2D</t>
  </si>
  <si>
    <t>M6/USA/2018/LED/AFLS/ADL/HBC/LDWS/LAS/A-SCBS/FOW/SBS/DRSS/TSR/MRCC/BOSE</t>
  </si>
  <si>
    <t>JM1GL1W55H1154420</t>
  </si>
  <si>
    <t>1CF40080FFFFFFFFC1004A4D31474C31C101573535483131C102353434323000C103380038889400C1040000082C0000</t>
  </si>
  <si>
    <t>380038889400</t>
  </si>
  <si>
    <t>0000082C0000</t>
  </si>
  <si>
    <t>210000000000</t>
  </si>
  <si>
    <t>220000000117</t>
  </si>
  <si>
    <t>300002000000</t>
  </si>
  <si>
    <t>314200000000</t>
  </si>
  <si>
    <t>70B420784F80</t>
  </si>
  <si>
    <t>C00000100000</t>
  </si>
  <si>
    <t>100000400000</t>
  </si>
  <si>
    <t>310000400000</t>
  </si>
  <si>
    <t>100000200003</t>
  </si>
  <si>
    <t>3003A4000000</t>
  </si>
  <si>
    <t>1001 D414 2154</t>
  </si>
  <si>
    <t>0709  0957 903B</t>
  </si>
  <si>
    <t>1424 0074</t>
  </si>
  <si>
    <t>6C80 9000 72FD</t>
  </si>
  <si>
    <t>841F 0000 00B3</t>
  </si>
  <si>
    <t>F567 C928 D854</t>
  </si>
  <si>
    <t>66AA D356 56BF</t>
  </si>
  <si>
    <t>525A AAA6 2D</t>
  </si>
  <si>
    <t>29D4 0005 6D2F</t>
  </si>
  <si>
    <t>E504 0380 204D</t>
  </si>
  <si>
    <t>0028 9210 8C</t>
  </si>
  <si>
    <t>M3/LED/ALS/A-CLI</t>
  </si>
  <si>
    <t>JMZBN62A801534308</t>
  </si>
  <si>
    <t>19520080FFFFFFFFC1004A4D5A424E36C101324138303135C102333433303800C10338001B089400C104000007B50000</t>
  </si>
  <si>
    <t>38001B089400</t>
  </si>
  <si>
    <t>000007B50000</t>
  </si>
  <si>
    <t>22000000000B</t>
  </si>
  <si>
    <t>200001000000</t>
  </si>
  <si>
    <t>212001000000</t>
  </si>
  <si>
    <t>300390000000</t>
  </si>
  <si>
    <t>2010 4024 21EF</t>
  </si>
  <si>
    <t>1009 1924 60F1</t>
  </si>
  <si>
    <t>F266 196E D8E6</t>
  </si>
  <si>
    <t>5811 AAE6 2A</t>
  </si>
  <si>
    <t>0550 0004 A3BC</t>
  </si>
  <si>
    <t>A50A 0308 0883</t>
  </si>
  <si>
    <t>0038 9210 9C</t>
  </si>
  <si>
    <t>My M3/2017/LED/ALH/HBC/LDWS/LAS/A-SCBS/BSM/RCTA/DAA/A-CLI 2Z</t>
  </si>
  <si>
    <t>JMZBM527801525067</t>
  </si>
  <si>
    <t>1A940080FFFFFFFFC1004A4D5A424D35C101323738303135C102323530363700C10338001B089400C104000007B50000</t>
  </si>
  <si>
    <t>200000000013</t>
  </si>
  <si>
    <t>400001000000</t>
  </si>
  <si>
    <t>308200440007</t>
  </si>
  <si>
    <t>B00000100000</t>
  </si>
  <si>
    <t>2000 4024 21DF</t>
  </si>
  <si>
    <t>0009 1924 60E1</t>
  </si>
  <si>
    <t>8400 0000 10A4</t>
  </si>
  <si>
    <t>0450 0006 A3BD</t>
  </si>
  <si>
    <t>CX-9/2018/GT/LED/AFLS/ADL/HBC/LDWS/LAS/A-SCBS/TSR/FOW/SBS/DRSS/MRCC/BOSE</t>
  </si>
  <si>
    <t>JM3TCADY1J0204289</t>
  </si>
  <si>
    <t>1B310080FFFFFFFFC1004A4D33544341C1014459314A3032C102303432383900C10338003C091400C104000009110000</t>
  </si>
  <si>
    <t>38003C091400</t>
  </si>
  <si>
    <t>000009110000</t>
  </si>
  <si>
    <t>222000000001</t>
  </si>
  <si>
    <t>300001280000</t>
  </si>
  <si>
    <t>320800240006</t>
  </si>
  <si>
    <t>72B420600F00</t>
  </si>
  <si>
    <t>000000400000</t>
  </si>
  <si>
    <t>100000200015</t>
  </si>
  <si>
    <t>300384000000</t>
  </si>
  <si>
    <t>A005 DE94 2172</t>
  </si>
  <si>
    <t>0809 0E48 A042</t>
  </si>
  <si>
    <t>845C 0000 00F0</t>
  </si>
  <si>
    <t>F567 D168 D89C</t>
  </si>
  <si>
    <t>66AA D357 56C0</t>
  </si>
  <si>
    <t>52AA AAA6 7D</t>
  </si>
  <si>
    <t>A8D0 0005 7FBC</t>
  </si>
  <si>
    <t>E503 C308 2094</t>
  </si>
  <si>
    <t>0028 9310 8D</t>
  </si>
  <si>
    <t>CX-3GT/2016/LED/AFLS/ADD/HBC/LDWS/BSM/SCBS/FOW/SBS/DRSS/ROOF/MRCC/BOSE</t>
  </si>
  <si>
    <t>JM1DKFD75G0135166</t>
  </si>
  <si>
    <t>2E990100FFFFFFFFC1004A4D31444B46C101443735473031C102333531363600C103380001891400C104000008140000</t>
  </si>
  <si>
    <t>240000000000</t>
  </si>
  <si>
    <t>300003000000</t>
  </si>
  <si>
    <t>348F50000000</t>
  </si>
  <si>
    <t>300000211000</t>
  </si>
  <si>
    <t>000000000112</t>
  </si>
  <si>
    <r>
      <t>00000860</t>
    </r>
    <r>
      <rPr>
        <sz val="11"/>
        <color rgb="FFFF0000"/>
        <rFont val="Arial"/>
        <family val="2"/>
        <charset val="204"/>
      </rPr>
      <t>A</t>
    </r>
    <r>
      <rPr>
        <sz val="11"/>
        <color theme="1"/>
        <rFont val="Arial"/>
        <family val="2"/>
        <charset val="204"/>
      </rPr>
      <t>028</t>
    </r>
  </si>
  <si>
    <t>707D80330000</t>
  </si>
  <si>
    <t>6BFE65200000</t>
  </si>
  <si>
    <t>4005 D494 2007</t>
  </si>
  <si>
    <t>0709 0658 A049</t>
  </si>
  <si>
    <t>2720 5220 00C8</t>
  </si>
  <si>
    <t>5081 0000 00E1</t>
  </si>
  <si>
    <t>CX-3/2019/LED/AFLS/HBC/LDWS/A-SCBS/BSM/FOW/SBS/DRSS/MRCC</t>
  </si>
  <si>
    <t>JM1DKDB77K0435078</t>
  </si>
  <si>
    <t>30900100FFFFFFFFC1004A4D31444B44C1014237374B3034C102333530373800C103380001891400C104000007EF0000</t>
  </si>
  <si>
    <t>000007EF0000</t>
  </si>
  <si>
    <t>22C000000001</t>
  </si>
  <si>
    <t>300001000000</t>
  </si>
  <si>
    <t>344F50000000</t>
  </si>
  <si>
    <t>920000100000</t>
  </si>
  <si>
    <t>3003A5000000</t>
  </si>
  <si>
    <r>
      <t>00000D68</t>
    </r>
    <r>
      <rPr>
        <sz val="11"/>
        <color rgb="FFFF0000"/>
        <rFont val="Arial"/>
        <family val="2"/>
        <charset val="204"/>
      </rPr>
      <t>A</t>
    </r>
    <r>
      <rPr>
        <sz val="11"/>
        <color theme="1"/>
        <rFont val="Arial"/>
        <family val="2"/>
        <charset val="204"/>
      </rPr>
      <t>028</t>
    </r>
  </si>
  <si>
    <t>707D8033C000</t>
  </si>
  <si>
    <t>4005 5C94 2190</t>
  </si>
  <si>
    <t>0009 0658 A042</t>
  </si>
  <si>
    <t>5421 00B1</t>
  </si>
  <si>
    <t>6C80 9000 008B</t>
  </si>
  <si>
    <t>002C 0000 104C</t>
  </si>
  <si>
    <t>M2/2016/AT/Aus/HB/RHD/LED/ALS/ADD/SCBS/i-STOP/A-CLI</t>
  </si>
  <si>
    <t>MM0DJ2HAA0W237221</t>
  </si>
  <si>
    <t>2E3C0100FFFFFFFFC1004D4D30444A32C101484141305732C102333732323100C10338000189A400C104000007810000</t>
  </si>
  <si>
    <t>38000189A400</t>
  </si>
  <si>
    <t>510000000000</t>
  </si>
  <si>
    <t>00000860A028</t>
  </si>
  <si>
    <t>502465000000</t>
  </si>
  <si>
    <t>4818 4084 A0FE</t>
  </si>
  <si>
    <t>0009 1847 9033</t>
  </si>
  <si>
    <t>M2/2019/AT/Aus/HB/RHD/LED/ALS/ESS/LDWS/LAS/A-SCBS/SCBS-R/BSM/RCTA/TSR/AKE</t>
  </si>
  <si>
    <t>MM0DJ2HAA0W608120</t>
  </si>
  <si>
    <t>2F350100FFFFFFFFC1004D4D30444A32C101484141305736C102303831323000C10338000189A400C104000007810000</t>
  </si>
  <si>
    <t>304200408006</t>
  </si>
  <si>
    <t>D10000100000</t>
  </si>
  <si>
    <t>410000400000</t>
  </si>
  <si>
    <t>300093000000</t>
  </si>
  <si>
    <t>00000968A028</t>
  </si>
  <si>
    <t>711400324000</t>
  </si>
  <si>
    <t>4818 4084 A1FF</t>
  </si>
  <si>
    <t>6C00 9000 727D</t>
  </si>
  <si>
    <t>84B8 0000 206C</t>
  </si>
  <si>
    <t>CX-3/2015/LED/ALS/LDWS/SCBS/BSM/A-CLI/i-STOP</t>
  </si>
  <si>
    <t>JMZDKFW7620103683</t>
  </si>
  <si>
    <t>2D530100FFFFFFFFC1004A4D5A444B46C101573736323031C102303336383300C103380001891200C104000008140000</t>
  </si>
  <si>
    <t>380001891200</t>
  </si>
  <si>
    <t>340000000000</t>
  </si>
  <si>
    <t>32CF50000000</t>
  </si>
  <si>
    <t>400000211000</t>
  </si>
  <si>
    <t>702065000000</t>
  </si>
  <si>
    <t>4034 C024 20B2</t>
  </si>
  <si>
    <t>170D 1847 904E</t>
  </si>
  <si>
    <t>4720 5130 00F7</t>
  </si>
  <si>
    <t>2C00 0000 003C</t>
  </si>
  <si>
    <t>CX-3/2017/MT/LED/AFLS/HBC/LDWS/A-SCBS/BSM/DAA/TSR/FOW/SBS/DRSS/MRCC-LIM/A-CLI/i-STOP/BOSE</t>
  </si>
  <si>
    <t>JMZDK6W7601324261</t>
  </si>
  <si>
    <t>30640100FFFFFFFFC1004A4D5A444B36C101573736303133C102323432363100C103380001891200C104000008140000</t>
  </si>
  <si>
    <t>330F50400007</t>
  </si>
  <si>
    <t>70B4202845F0</t>
  </si>
  <si>
    <t>510000400000</t>
  </si>
  <si>
    <t>300391000000</t>
  </si>
  <si>
    <t>00000D68A028</t>
  </si>
  <si>
    <t>681400334000</t>
  </si>
  <si>
    <t>4034 C024 21B3</t>
  </si>
  <si>
    <t>0028 0000 0038</t>
  </si>
  <si>
    <t>M3/2017/AT/LED/ALH/ESS/HBC/LDWS/LAS/A-SCBS/SCBS-R/BSM/RCTA/FOW/SBS/DRSS/MRCC/DAA/TSR/A-CLI</t>
  </si>
  <si>
    <t>BM5FP404374</t>
  </si>
  <si>
    <t>1B630080FFFFFFFFC100424D35465034C101303433373400C102000000000000C10338001B08A400C104000007B50000</t>
  </si>
  <si>
    <t>38001B08A400</t>
  </si>
  <si>
    <t>110000000000</t>
  </si>
  <si>
    <t>400003000000</t>
  </si>
  <si>
    <t>308400430007</t>
  </si>
  <si>
    <t>70B420500A80</t>
  </si>
  <si>
    <t>310000500000</t>
  </si>
  <si>
    <t>301F90000000</t>
  </si>
  <si>
    <t>2810 C404 A1DB</t>
  </si>
  <si>
    <t>0809 0347 A036</t>
  </si>
  <si>
    <t>8400 0000 0094</t>
  </si>
  <si>
    <t>E266 196A D8D2</t>
  </si>
  <si>
    <t>0140 0005 A3A9</t>
  </si>
  <si>
    <t>0038 9010 9A</t>
  </si>
  <si>
    <t>M2/2018/4WD/LED/ALS/HBC/LDWS/A-SCBS/SCBS-R/BSM/RCTA/A-CLI</t>
  </si>
  <si>
    <t>DJ3AS502090</t>
  </si>
  <si>
    <t>2DAA0100FFFFFFFFC100444A33415335C101303230393000C102000000000000C10338000189A400C104000007660000</t>
  </si>
  <si>
    <t>144900000000</t>
  </si>
  <si>
    <t>305064470006</t>
  </si>
  <si>
    <t>110000500000</t>
  </si>
  <si>
    <t>00400D68A028</t>
  </si>
  <si>
    <t>600400264000</t>
  </si>
  <si>
    <t>042240000000</t>
  </si>
  <si>
    <t>4C18 C484 A187</t>
  </si>
  <si>
    <t>0709 0147 9023</t>
  </si>
  <si>
    <t>0078 0000 1098</t>
  </si>
  <si>
    <t>M2/2015/LED/ALS/ESS/SCBS/BSM/RCTA/A-CLI</t>
  </si>
  <si>
    <t>DJ3FS120838</t>
  </si>
  <si>
    <t>2C230100FFFFFFFFC100444A33465331C101323038333800C102000000000000C10338000189A400C104000007660000</t>
  </si>
  <si>
    <t>359064000000</t>
  </si>
  <si>
    <t>100000311000</t>
  </si>
  <si>
    <t>201F80000000</t>
  </si>
  <si>
    <t>600400260000</t>
  </si>
  <si>
    <t>4C18 C484 A086</t>
  </si>
  <si>
    <t>M2/LED/ALH/ESS/HBC/LDWS/A-SCBS/SCBS-R/BSM/RCTA/DAA/FOW/SBS/DRSS/MRCC/A-CLI</t>
  </si>
  <si>
    <t>DJ5FS504690</t>
  </si>
  <si>
    <t>2FAC0100FFFFFFFFC100444A35465335C101303436393000C102000000000000C10338000189A400C104000007810000</t>
  </si>
  <si>
    <t>114A00000000</t>
  </si>
  <si>
    <t>308FFC470007</t>
  </si>
  <si>
    <t>70B420000001</t>
  </si>
  <si>
    <t>A20000100000</t>
  </si>
  <si>
    <t>222200337700</t>
  </si>
  <si>
    <t>4818 C484 A183</t>
  </si>
  <si>
    <t>0078 0000 0088</t>
  </si>
  <si>
    <t>CX-3/2015/D/AT/RHD/LED/AFLS/ESS/HBC/LDWS/SCBS/BSM/RCTA/FOW/SBS/DRSS/MRCC/A-CLI</t>
  </si>
  <si>
    <t>DK5FW100870</t>
  </si>
  <si>
    <t>2D3A0100FFFFFFFFC100444B35465731C101303038373000C102000000000000C103380001892400C104000008140000</t>
  </si>
  <si>
    <t>380001892400</t>
  </si>
  <si>
    <t>324F50000000</t>
  </si>
  <si>
    <t>300000311000</t>
  </si>
  <si>
    <t>201F81000000</t>
  </si>
  <si>
    <t>702465000000</t>
  </si>
  <si>
    <t>4814 C484 A07E</t>
  </si>
  <si>
    <t>0809 0179 A066</t>
  </si>
  <si>
    <t>2720 9210 00F8</t>
  </si>
  <si>
    <t>2C82 0000 00BE</t>
  </si>
  <si>
    <t>CX-3/2015/D/AT/RHD/LED/AFLS/ESS/SCBS/BSM/RCTA/CC/A-CLI</t>
  </si>
  <si>
    <t>DK5FW107943</t>
  </si>
  <si>
    <t>2B130100FFFFFFFFC100444B35465731C101303739343300C102000000000000C103380001892400C104000008140000</t>
  </si>
  <si>
    <t>200000311000</t>
  </si>
  <si>
    <t>CX-5-Touring/2020/AT/RHD/LED/ALS/ADL/ESS/ADD/HBC/LDWS/LAS/A-SCBS/SCBS-R/BSM/RCTA/DAA/EPB/TSR/MRCC-LIM/FOW/SBS/DRSS/A-CLI2Z/KE/AUTOHOLD</t>
  </si>
  <si>
    <t>JM0KF4WLA00380353</t>
  </si>
  <si>
    <t>1E5D0080FFFFFFFFC1004A4D304B4634C101574C41303033C102383033353300C103380039092400C104000008974000</t>
  </si>
  <si>
    <t>380039092400</t>
  </si>
  <si>
    <t>000008974000</t>
  </si>
  <si>
    <t>540000000000</t>
  </si>
  <si>
    <t>000000534000</t>
  </si>
  <si>
    <t>30E090000000</t>
  </si>
  <si>
    <t>B814 C884 A1F3</t>
  </si>
  <si>
    <t>0909 1826 901B</t>
  </si>
  <si>
    <t>8420 0000 00B4</t>
  </si>
  <si>
    <t>E266 216A D8DA</t>
  </si>
  <si>
    <t>66AA 0054 56EA</t>
  </si>
  <si>
    <t>81D0 0005 A7BD</t>
  </si>
  <si>
    <t>A504 C308 2055</t>
  </si>
  <si>
    <t>CX-5-Akera/2020/AT/RHD/LED/ALH/ADL/ADD/ESS/HBC/LDWS/LAS/A-SCBS/SCBS-R/DAA/TSR/MRCC-LIM/FOW/SBS/DRSS/EPB/BOSE/A-CLI2Z/AUTOHOLD</t>
  </si>
  <si>
    <t>JM0KF4WLA00380857</t>
  </si>
  <si>
    <t>1F5F0080FFFFFFFFC1004A4D304B4634C101574C41303033C102383038353700C103380039092400C104000008BE4000</t>
  </si>
  <si>
    <t>544840000000</t>
  </si>
  <si>
    <t>400002200000</t>
  </si>
  <si>
    <t>38E090000000</t>
  </si>
  <si>
    <t>B814 CA84 A1F5</t>
  </si>
  <si>
    <t>0909 2326 9026</t>
  </si>
  <si>
    <t>F166 216A D8E9</t>
  </si>
  <si>
    <t>0038 9110 9B</t>
  </si>
  <si>
    <t>MX-5/2017/AT/LED/AFLS/HBC/LDWS/BSM/RCTA/A-CLI/i-ELOOP/BOSE</t>
  </si>
  <si>
    <t>JM1NDAM79H0107244</t>
  </si>
  <si>
    <t>2B480100FFFFFFFFC1004A4D314E4441C1014D3739483031C102303732343400C1033800090A1400C104000007570000</t>
  </si>
  <si>
    <t>3800090A1400</t>
  </si>
  <si>
    <t>000007570000</t>
  </si>
  <si>
    <t>21000000012B</t>
  </si>
  <si>
    <t>320000000000</t>
  </si>
  <si>
    <t>210000100000</t>
  </si>
  <si>
    <t>100000200011</t>
  </si>
  <si>
    <t>000000000113</t>
  </si>
  <si>
    <t>00000840A028</t>
  </si>
  <si>
    <t>8BBA65200000</t>
  </si>
  <si>
    <t>742200000000</t>
  </si>
  <si>
    <t>5001 D414 2194</t>
  </si>
  <si>
    <t>0809 0937 A02C</t>
  </si>
  <si>
    <t>2610 5120 00B6</t>
  </si>
  <si>
    <t>CX-5/2015/LED/AFLS/ADL/HBC/LDWS/SCBS/FOW/SBS/DRSS/MRCC/BOSE/A-CLI</t>
  </si>
  <si>
    <t>JM3KE2DY0G0795607</t>
  </si>
  <si>
    <t>1C9E0080FFFFFFFFC1004A4D334B4532C101445930473037C102393536303700C103380029891400C104000008BE0000</t>
  </si>
  <si>
    <t>380029891400</t>
  </si>
  <si>
    <t>000008BE0000</t>
  </si>
  <si>
    <t>220000000003</t>
  </si>
  <si>
    <t>314000000000</t>
  </si>
  <si>
    <t>900000100000</t>
  </si>
  <si>
    <t>100000204000</t>
  </si>
  <si>
    <t>0005 D494 20C7</t>
  </si>
  <si>
    <t>0809 0648 A03A</t>
  </si>
  <si>
    <t>9120 5220 0032</t>
  </si>
  <si>
    <t>5082 0000 00E2</t>
  </si>
  <si>
    <t>F567 C128 D84C</t>
  </si>
  <si>
    <t>65AA D354 56BC</t>
  </si>
  <si>
    <t>E501 C300 208A</t>
  </si>
  <si>
    <t>CX9/2016/AT/LED/AFLS/ADL/ADD/EPB/HBC/LDWS/LAS/SCBS/A-BSM/RCTA/MRCC/FOW/SBS/DRSS/MRCC/BOSE/A-CLI3Z</t>
  </si>
  <si>
    <t>JM3TCBDY1G0105714</t>
  </si>
  <si>
    <t>1BE00080FFFFFFFFC1004A4D33544342C101445931473031C102303537313400C10338003C091400C104000009110000</t>
  </si>
  <si>
    <t>222000000003</t>
  </si>
  <si>
    <t>320800200006</t>
  </si>
  <si>
    <t>310000211000</t>
  </si>
  <si>
    <t>200384000000</t>
  </si>
  <si>
    <t>A005 D694 2069</t>
  </si>
  <si>
    <t>C820 5220 0069</t>
  </si>
  <si>
    <t>7081 0000 7071</t>
  </si>
  <si>
    <t>F467 D168 D89B</t>
  </si>
  <si>
    <t>66AA D357 56CO</t>
  </si>
  <si>
    <t>A9D4 0005 7FC1</t>
  </si>
  <si>
    <t>E501 C388 2012</t>
  </si>
  <si>
    <t>CX-3/2017/ADL/RHD/HALO/BOSE</t>
  </si>
  <si>
    <t>JM7DK4W7AH0123905</t>
  </si>
  <si>
    <t>2D530100FFFFFFFFC1004A4D37444B34C101573741483031C102323339303500C103380001891400C104000008140000</t>
  </si>
  <si>
    <t>CX-3/2018/Diesel/LED/AFLS/ADD/HBC/LDWS/A-SCBS/BSM/DAA/TSR/FOW/SBS/DRSS/MRCC-LIM/BOSE/A-CLI2Z</t>
  </si>
  <si>
    <t>JMZDK6WS601350192</t>
  </si>
  <si>
    <t>31020100FFFFFFFFC1004A4D5A444B36C101575336303133C102353031393200C103380001891200C104000008140000</t>
  </si>
  <si>
    <t>338F50400007</t>
  </si>
  <si>
    <t>CX-5/2015/LED/AFLS/HBC/LDWS/SCBS/RVM/A-CLI</t>
  </si>
  <si>
    <t>JMZKEN91600325859</t>
  </si>
  <si>
    <t>18E30080FFFFFFFFC1004A4D5A4B454EC101393136303033C102323538353900C103380029891200C104000008970000</t>
  </si>
  <si>
    <t>380029891200</t>
  </si>
  <si>
    <t>000008970000</t>
  </si>
  <si>
    <t>30C000000000</t>
  </si>
  <si>
    <t>200000200000</t>
  </si>
  <si>
    <t>0034 C024 2072</t>
  </si>
  <si>
    <t>180C 1847 904E</t>
  </si>
  <si>
    <t>2120 5130 00D1</t>
  </si>
  <si>
    <t>F266 016E D8CE</t>
  </si>
  <si>
    <t>64AA D354 56BB</t>
  </si>
  <si>
    <t>8550 0006 A13C</t>
  </si>
  <si>
    <t>A501 C300 0832</t>
  </si>
  <si>
    <t>0018 9000 6A</t>
  </si>
  <si>
    <t>CX-5/2015/LED/ALH/ESS/HBC/LDWS/LAS/SCBS/SCBS-R/BSM/DAA/DPL/BOSE/A-CLI</t>
  </si>
  <si>
    <t>JMZKEN91600408705</t>
  </si>
  <si>
    <t>1B130080FFFFFFFFC1004A4D5A4B454EC101393136303034C102303837303500C103380029891200C104000008BE0000</t>
  </si>
  <si>
    <t>400002000000</t>
  </si>
  <si>
    <t>30C400440007</t>
  </si>
  <si>
    <t>100000330000</t>
  </si>
  <si>
    <t>200388000000</t>
  </si>
  <si>
    <t>180D 1847 904F</t>
  </si>
  <si>
    <t>B120 6130 0071</t>
  </si>
  <si>
    <t>8C82 0000 708E</t>
  </si>
  <si>
    <t>F266 012A D88A</t>
  </si>
  <si>
    <t>CX-5/2017/LED/ALH/ADL/HBC/LDWS/LAS/A-SCBS/SCBS-R/BSM/DAA/TSR/BOSE/A-CLI/AUTOHOLD</t>
  </si>
  <si>
    <t>JMZKF6W1600610116</t>
  </si>
  <si>
    <t>1C680080FFFFFFFFC1004A4D5A4B4636C101573136303036C102313031313600C103380039091200C104000008BE0000</t>
  </si>
  <si>
    <t>380039091200</t>
  </si>
  <si>
    <t>312840000000</t>
  </si>
  <si>
    <t>B034 CA24 212D</t>
  </si>
  <si>
    <t>190D 2326 903A</t>
  </si>
  <si>
    <t>F266 216E D8EE</t>
  </si>
  <si>
    <t>85D0 0005 A5BF</t>
  </si>
  <si>
    <t>CX-5/2017/LED/AFLS/ADL/HBC/LDWS/LAS/A-SCBS/SCBS-R/BSM/RCTA/DAA/TSR/A-CLI</t>
  </si>
  <si>
    <t>JMZKF6W7600622961</t>
  </si>
  <si>
    <t>1BA80080FFFFFFFFC1004A4D5A4B4636C101573736303036C102323239363100C103380039091200C104000008970000</t>
  </si>
  <si>
    <t>304400440007</t>
  </si>
  <si>
    <t>B034 4824 21AB</t>
  </si>
  <si>
    <t>100D 1826 9026</t>
  </si>
  <si>
    <t>MX-5/2019/MT/RHD/LED/ALH/HBC/LDWS/A-SCBS/SCBS-R/BSM/RCTA/TSR/A-CLI/i-ELOOP/BOSE/AKE</t>
  </si>
  <si>
    <t>JMZND6E7600410233</t>
  </si>
  <si>
    <t>2E5E0100FFFFFFFFC1004A4D5A4E4436C101453736303034C102313032333300C1033800090A1200C104000007570000</t>
  </si>
  <si>
    <t>3800090A1200</t>
  </si>
  <si>
    <t>210000000139</t>
  </si>
  <si>
    <t>320000400007</t>
  </si>
  <si>
    <t>200000200011</t>
  </si>
  <si>
    <t>7A5B955A55F3</t>
  </si>
  <si>
    <t>00000848A028</t>
  </si>
  <si>
    <t>693400334000</t>
  </si>
  <si>
    <t>902465000000</t>
  </si>
  <si>
    <t>642200000000</t>
  </si>
  <si>
    <t>5030 C824 21C7</t>
  </si>
  <si>
    <t>180D 1926 902F</t>
  </si>
  <si>
    <t>0098 0000 40E8</t>
  </si>
  <si>
    <t>MX-5/2015/MT/RHD/LED/ALS/LDWS/M-CLI</t>
  </si>
  <si>
    <t>JMZND6E7610101720</t>
  </si>
  <si>
    <t>2D040100FFFFFFFFC1004A4D5A4E4436C101453736313031C102303137323000C1033800090A1200C104000007570000</t>
  </si>
  <si>
    <t>21000000003B</t>
  </si>
  <si>
    <t>308000000000</t>
  </si>
  <si>
    <t>683400330000</t>
  </si>
  <si>
    <t>402200000000</t>
  </si>
  <si>
    <t>5020 4024 202E</t>
  </si>
  <si>
    <t>0009 1926 9013</t>
  </si>
  <si>
    <t>4610 5130 00E6</t>
  </si>
  <si>
    <t>MX-5/2017/MT/RHD/LED/AFLS/HBC/LDWS/BSM/BOSE/A-CLI</t>
  </si>
  <si>
    <t>JMZND6E7640127095</t>
  </si>
  <si>
    <t>2D4D0100FFFFFFFFC1004A4D5A4E4436C101453736343031C102323730393500C1033800090A1200C104000007570000</t>
  </si>
  <si>
    <t>200000200001</t>
  </si>
  <si>
    <t>442200000000</t>
  </si>
  <si>
    <t>5030 C024 20BE</t>
  </si>
  <si>
    <t>2610 5130 00C6</t>
  </si>
  <si>
    <t>CX-5/2017/D/2.2L/AT/LED/ALH/ESS/HBC/LDWS/LAS/A-SCBS/SCBS-R/A-BSM/RCTA/FOW/SBS/DRSS/MRCC/DAA/TSR/A-CLI/AUTOHOLD</t>
  </si>
  <si>
    <t>KF2P123489</t>
  </si>
  <si>
    <t>1BCA0080FFFFFFFFC1004B4632503132C101333438390000C102000000000000C103380039092400C104000008970000</t>
  </si>
  <si>
    <t>113040000000</t>
  </si>
  <si>
    <t>400001200000</t>
  </si>
  <si>
    <t>30C200430007</t>
  </si>
  <si>
    <t>72B420000000</t>
  </si>
  <si>
    <t>222009000000</t>
  </si>
  <si>
    <t>301F98000000</t>
  </si>
  <si>
    <t>B814 C684 A1F1</t>
  </si>
  <si>
    <t>4909 0D26 9050</t>
  </si>
  <si>
    <t>8140 0005 A329</t>
  </si>
  <si>
    <t>A504 C308 083D</t>
  </si>
  <si>
    <t>M2-Pure/2019/AT/HB/RHD/LED/ALS/ESS/LDWS/LAS/A-SCBS/BSM/RCTA/M-CLI</t>
  </si>
  <si>
    <t>MM0DJ2HAA0W608356</t>
  </si>
  <si>
    <t>2EA10100FFFFFFFFC1004D4D30444A32C101484141305736C102303833353600C10338000189A400C104000007660000</t>
  </si>
  <si>
    <t>000009682028</t>
  </si>
  <si>
    <t>610000324000</t>
  </si>
  <si>
    <t>84B8 0000 307C</t>
  </si>
  <si>
    <t>M2/2017/SD/RHD/HALO/ESS/SCBS/SCBS-R/M-CLI/ESS?</t>
  </si>
  <si>
    <t>MM0DL2SAA0W333175</t>
  </si>
  <si>
    <t>2D770100FFFFFFFFC1004D4D30444C32C101534141305733C102333331373500C10338000188A400C104000007660000</t>
  </si>
  <si>
    <t>38000188A400</t>
  </si>
  <si>
    <t>311064400006</t>
  </si>
  <si>
    <t>210000211000</t>
  </si>
  <si>
    <t>30E393000000</t>
  </si>
  <si>
    <t>000000324000</t>
  </si>
  <si>
    <t>102465000000</t>
  </si>
  <si>
    <t>4810 4004 A177</t>
  </si>
  <si>
    <t>0009 1947 9034</t>
  </si>
  <si>
    <t>M2/SD/RHD/LED/ALS/ADL/CC</t>
  </si>
  <si>
    <t>MM8DL2S3A0W439819</t>
  </si>
  <si>
    <t>2EC90100FFFFFFFFC1004D4D38444C32C101533341305734C102333938313900C10338000188A400C104000007660000</t>
  </si>
  <si>
    <t>610000000000</t>
  </si>
  <si>
    <t>30D064200006</t>
  </si>
  <si>
    <t>200000000000</t>
  </si>
  <si>
    <t>300393000000</t>
  </si>
  <si>
    <t>000009689028</t>
  </si>
  <si>
    <t>701400324000</t>
  </si>
  <si>
    <t>03A865200000</t>
  </si>
  <si>
    <t>162200000000</t>
  </si>
  <si>
    <t>4C10 C004 A1FB</t>
  </si>
  <si>
    <t>0709 0347 9025</t>
  </si>
  <si>
    <t>M2/HB/RHD?/LED/ALS/LDWS/SCBS/BSM/RCTA/MRCC/A-CLI</t>
  </si>
  <si>
    <t>MMZDJ6HVAZW357049</t>
  </si>
  <si>
    <t>2F1C0100FFFFFFFFC1004D4D5A444A36C1014856415A5733C102353730343900C103380001899400C104000007810000</t>
  </si>
  <si>
    <t>200000000007</t>
  </si>
  <si>
    <t>310FFC000000</t>
  </si>
  <si>
    <t>410000211000</t>
  </si>
  <si>
    <t>681400324000</t>
  </si>
  <si>
    <t>4408 4084 206A</t>
  </si>
  <si>
    <t>4530 5170 0045</t>
  </si>
  <si>
    <t>M2/2016/HB/LED/ALS/ADL/A-CLI</t>
  </si>
  <si>
    <t>RN2DJ5AA6FC021498</t>
  </si>
  <si>
    <t>2E3B0100FFFFFFFFC100524E32444A35C101414136464330C102323134393800C103380001899400C104000007810000</t>
  </si>
  <si>
    <t>000008601028</t>
  </si>
  <si>
    <t>701000320000</t>
  </si>
  <si>
    <t>43AC65200000</t>
  </si>
  <si>
    <t>4018 C084 20F6</t>
  </si>
  <si>
    <t>CX-3/2016/2.0L/RHD/LED/ALS/ESS/HBC/LDWS/A-SCBS/SCBS-R/BSM/RCTA/A-CLI</t>
  </si>
  <si>
    <t>DKEFW100717</t>
  </si>
  <si>
    <t>2C830100FFFFFFFFC100444B45465731C101303037313700C102000000000000C103380001892400C104000008140000</t>
  </si>
  <si>
    <t>324F50430006</t>
  </si>
  <si>
    <t>301F91000000</t>
  </si>
  <si>
    <t>4814 C484 A17F</t>
  </si>
  <si>
    <t>0028 0000 1048</t>
  </si>
  <si>
    <t>CX-3/2017/RHD/LED/ALH/ESS/ADL/HBC/LDWS/A-SCBS/SCBS-R/BSM/RCTA/FOW/SBS/DRSS/MRCC/DAA/A-CLI/AUTOHOLD</t>
  </si>
  <si>
    <t>MM8DK2W7A0W308751</t>
  </si>
  <si>
    <t>322A0100FFFFFFFFC1004D4D38444B32C101573741305733C102303837353100C103380001892400C104000008140000</t>
  </si>
  <si>
    <t>614800000000</t>
  </si>
  <si>
    <t>354F50448007</t>
  </si>
  <si>
    <t>70B424600F00</t>
  </si>
  <si>
    <t>380391000000</t>
  </si>
  <si>
    <t>63AC65200000</t>
  </si>
  <si>
    <t>002F 0000 104F</t>
  </si>
  <si>
    <t>CX-3/2017/RHD/HALO/ESS/ADL/BSM/RCTA/CC/A-CLI/AUTOHOLD</t>
  </si>
  <si>
    <t>MM8DK2W7A0W308759</t>
  </si>
  <si>
    <t>2E220100FFFFFFFFC1004D4D38444B32C101573741305733C102303837353900C103380001892400C104000007EF0000</t>
  </si>
  <si>
    <t>330F50000000</t>
  </si>
  <si>
    <t>000009681028</t>
  </si>
  <si>
    <t>200000324000</t>
  </si>
  <si>
    <t>4814 C084 A17B</t>
  </si>
  <si>
    <t>M2/4WD/RHD/LED/ALH/ESS/HBC/LDWS/SCBS/SCBS-R/BSM/RCTA/FOW/SBS/DRSS/MRCC/DAA/A-CLI</t>
  </si>
  <si>
    <t>DJ3AS302209</t>
  </si>
  <si>
    <t>2FAC0100FFFFFFFFC100444A33415333C101303232303900C102000000000000C10338000189A400C104000007660000</t>
  </si>
  <si>
    <t>140000000000</t>
  </si>
  <si>
    <t>305064420007</t>
  </si>
  <si>
    <t>310000311000</t>
  </si>
  <si>
    <t>A530 9210 0086</t>
  </si>
  <si>
    <t>M3/HALO/ESS/ADL/A-CLI</t>
  </si>
  <si>
    <t>RN2BM4AA6FC015380</t>
  </si>
  <si>
    <t>194B0080FFFFFFFFC100524E32424D34C101414136464330C102313533383000C10338001B089400C104000007B50000</t>
  </si>
  <si>
    <t>308000100000</t>
  </si>
  <si>
    <t>2010 C004 204E</t>
  </si>
  <si>
    <t>0609 1924 60E7</t>
  </si>
  <si>
    <t>7166 192A D821</t>
  </si>
  <si>
    <t>09D8 0004 670C</t>
  </si>
  <si>
    <t>A50A 0300 2093</t>
  </si>
  <si>
    <t>0010 5400 26</t>
  </si>
  <si>
    <t>CX-5-Touring/2020/4WD/AT/RHD/LED/ALS/ADL/ESS/ADD/HBC/LDWS/LAS/A-SCBS/SCBS-R/A-BSM/RCTA/DAA/EPB/TSR/MRCC-LIM/FOW/SBS/DRSS/A-CLI2Z/KE/AUTOHOLD</t>
  </si>
  <si>
    <t>JM0KF4WLA00400743</t>
  </si>
  <si>
    <t>1D990080FFFFFFFFC1004A4D304B4634C101574C41303034C102303037343300C103380039092400C104000008974000</t>
  </si>
  <si>
    <t>22D000000005</t>
  </si>
  <si>
    <t>C01000100000</t>
  </si>
  <si>
    <t>300090000000</t>
  </si>
  <si>
    <t>CX-5-Maxx/2014/RHD/4WD/HALO/CC/A-CLI</t>
  </si>
  <si>
    <t>JM0KE102100282508</t>
  </si>
  <si>
    <t>18680080FFFFFFFFC1004A4D304B4531C101303231303032C102383235303800C103380029892400C104000008970000</t>
  </si>
  <si>
    <t>380029892400</t>
  </si>
  <si>
    <t>0814 4084 A0BA</t>
  </si>
  <si>
    <t>0008 1847 9032</t>
  </si>
  <si>
    <t>E066 012A D878</t>
  </si>
  <si>
    <t>8150 0004 A338</t>
  </si>
  <si>
    <t>CX-5-Akera/2017/4WD/RHD/ADL/LED/ALH/HBC/LDWS/LAS/A-SCBS/SCBS-R/A-BSM/RCTA/FOW/SBS/DRSS/MRCC-LIM/DAA/TSR/BOSE/A-CLI/AUTOHOLD</t>
  </si>
  <si>
    <t>JM0KF4W2A00145879</t>
  </si>
  <si>
    <t>1F370080FFFFFFFFC1004A4D304B4634C101573241303031C102343538373900C103380039092400C104000008BE0000</t>
  </si>
  <si>
    <t>543040000000</t>
  </si>
  <si>
    <t>22C000000009</t>
  </si>
  <si>
    <t>30C200440007</t>
  </si>
  <si>
    <t>30E398000000</t>
  </si>
  <si>
    <t>B814 C284 A1ED</t>
  </si>
  <si>
    <t>66AA D354 56BD</t>
  </si>
  <si>
    <t>M3-Astina/2015/RHD/LED/AFLS/HBC/LDWS/SCBS/FOW/SBS/DRSS/MRCC/BOSE/A-CLI</t>
  </si>
  <si>
    <t>JM0BM543810180376</t>
  </si>
  <si>
    <t>1C1A0080FFFFFFFFC1004A4D30424D35C101343338313031C102383033373600C10338001B09A400C104000007BD0000</t>
  </si>
  <si>
    <t>38001B09A400</t>
  </si>
  <si>
    <t>000007BD0000</t>
  </si>
  <si>
    <t>20000000000D</t>
  </si>
  <si>
    <t>308000240000</t>
  </si>
  <si>
    <t>000000200000</t>
  </si>
  <si>
    <t>300000200000</t>
  </si>
  <si>
    <t>2818 C084 A05E</t>
  </si>
  <si>
    <t>0809 1847 A04B</t>
  </si>
  <si>
    <t>2330 9250 0044</t>
  </si>
  <si>
    <t>F166 196E D8E5</t>
  </si>
  <si>
    <t>4150 0005 A3F9</t>
  </si>
  <si>
    <t>A50C 4300 08BD</t>
  </si>
  <si>
    <t>M3-Astina/2017/SD/RHD/ESS/LED/ALH/HBC/LDWS/LAS/A-SCBS/SCBS-R/A-BSM/RCTA/MRCC/DAA/TSR/BOSE/A-CLI</t>
  </si>
  <si>
    <t>JM0BN523610184666</t>
  </si>
  <si>
    <t>1E240080FFFFFFFFC1004A4D30424E35C101323336313031C102383436363600C10338001B08A200C104000007BD0000</t>
  </si>
  <si>
    <t>38001B08A200</t>
  </si>
  <si>
    <t>22000000000D</t>
  </si>
  <si>
    <t>308400400007</t>
  </si>
  <si>
    <t>30E390000000</t>
  </si>
  <si>
    <t>2830 C004 A1F7</t>
  </si>
  <si>
    <t>080D 1947 A050</t>
  </si>
  <si>
    <t>F166 196A D8E1</t>
  </si>
  <si>
    <t>0150 0005 A3B9</t>
  </si>
  <si>
    <t>M6-GT/2018/RHD/ADL/LED/AFLS/ESS/HBC/LDWS/LAS/A-SCBS/SCBS-R/A-BSM/RCTA/FOW/SBS/DRSS/MRCC-LIM/BOSE/A-CLI/AUTOHOLD</t>
  </si>
  <si>
    <t>JM0GL103200307646</t>
  </si>
  <si>
    <t>1F2B0080FFFFFFFFC1004A4D30474C31C101303332303033C102303736343600C10338003888A400C1040000082C0000</t>
  </si>
  <si>
    <t>38003888A400</t>
  </si>
  <si>
    <t>22C000000501</t>
  </si>
  <si>
    <t>30C800448007</t>
  </si>
  <si>
    <t>710000400000</t>
  </si>
  <si>
    <t>1810 E004 A1E7</t>
  </si>
  <si>
    <t>0709 1946 802A</t>
  </si>
  <si>
    <t>84A8 0000 205C</t>
  </si>
  <si>
    <t>F976 096A D8E9</t>
  </si>
  <si>
    <t>11D0 0005 E78D</t>
  </si>
  <si>
    <t>A504 0300 208D</t>
  </si>
  <si>
    <t>0138 9010 9B</t>
  </si>
  <si>
    <t>M6-Touring/2017/RHD/LED/ALS/ESS/A-SCBS/SCBS-R/A-BSM/RCTA/CC/DAA/BOSE/A-CLI</t>
  </si>
  <si>
    <t>JM0GL103100125338</t>
  </si>
  <si>
    <t>1A7C0080FFFFFFFFC1004A4D30474C31C101303331303031C102323533333800C10338003888A400C104000008190000</t>
  </si>
  <si>
    <t>000008190000</t>
  </si>
  <si>
    <t>220000000215</t>
  </si>
  <si>
    <t>340000440007</t>
  </si>
  <si>
    <t>200000200003</t>
  </si>
  <si>
    <t>1810 6004 A167</t>
  </si>
  <si>
    <t>0009 1946 8023</t>
  </si>
  <si>
    <t>0000 9000 009F</t>
  </si>
  <si>
    <t>0018 0000 1038</t>
  </si>
  <si>
    <t>F966 092A D899</t>
  </si>
  <si>
    <t>1150 0006 E30A</t>
  </si>
  <si>
    <t>A504 0308 087D</t>
  </si>
  <si>
    <t>M3-GT/2018/ADL/LED/AFLS/HBC/LDWS/LAS/A-SCBS/A-BSM/RCTA/FOW/SBS/DRSS/MRCC/BOSE/A-CLI</t>
  </si>
  <si>
    <t>3MZBN1W33JM241208</t>
  </si>
  <si>
    <t>1CBE0080FFFFFFFFC100334D5A424E31C1015733334A4D32C102343132303800C10338001B089400C104000007BD0000</t>
  </si>
  <si>
    <t>22000000000F</t>
  </si>
  <si>
    <t>310200100000</t>
  </si>
  <si>
    <t>2001 D414 2164</t>
  </si>
  <si>
    <t>0609 0935 70F8</t>
  </si>
  <si>
    <t>8407 0000 009B</t>
  </si>
  <si>
    <t>F567 F968 D8A4</t>
  </si>
  <si>
    <t>28D0 0005 6D2A</t>
  </si>
  <si>
    <t>E50A 0308 20DB</t>
  </si>
  <si>
    <t>CX-5-GT/2019/4WD/ADL/LED/AFLS/HBC/LDWS/LAS/A-SCBS/A-BSM/RCTA/FOW/SBS/DRSS/MRCC/BOSE/A-CLI/AUTOHOLD</t>
  </si>
  <si>
    <t>JM3KFBDM9K0632425</t>
  </si>
  <si>
    <t>1D2B0080FFFFFFFFC1004A4D334B4642C101444D394B3036C102333234323500C103380039091400C104000008BE4000</t>
  </si>
  <si>
    <t>314400000000</t>
  </si>
  <si>
    <t>3000A4000000</t>
  </si>
  <si>
    <t>B005 DE94 2182</t>
  </si>
  <si>
    <t>0A09 0E47 A043</t>
  </si>
  <si>
    <t>8424 0000 10C8</t>
  </si>
  <si>
    <t>F567 E168 D8AC</t>
  </si>
  <si>
    <t>66AA 0056 56EC</t>
  </si>
  <si>
    <t>E504 C308 2095</t>
  </si>
  <si>
    <t>CX-9-T/2019/4WD/ADL/LED/ALS/HBC/LDWS/LAS/A-SCBS/SCBS-R/A-BSM/RCTA/FOW/SBS/DRSS/MRCC/BOSE/A-CLI/AUTOHOLD?</t>
  </si>
  <si>
    <t>JM3TCBCY8K0331453</t>
  </si>
  <si>
    <t>1D690080FFFFFFFFC1004A4D33544342C1014359384B3033C102333134353300C10338003C091400C104000008F90000</t>
  </si>
  <si>
    <t>000008F90000</t>
  </si>
  <si>
    <t>22A000000001</t>
  </si>
  <si>
    <t>200001280000</t>
  </si>
  <si>
    <t>31C800240006</t>
  </si>
  <si>
    <t>845C 0000 1000</t>
  </si>
  <si>
    <t>MX-5-GT/2018/LED/AFLS/ESS/HBC/LDWS/BSM/RCTA/CC/BOSE/A-CLI</t>
  </si>
  <si>
    <t>JM1NDAM70J0206184</t>
  </si>
  <si>
    <t>2C190100FFFFFFFFC1004A4D314E4441C1014D37304A3032C102303631383400C1033800090A1400C104000007570000</t>
  </si>
  <si>
    <t>210000000129</t>
  </si>
  <si>
    <t>300380000000</t>
  </si>
  <si>
    <t>717D8033C000</t>
  </si>
  <si>
    <t>5001 DC14 219C</t>
  </si>
  <si>
    <t>CX9-T/2019/RHD/ADL/ESS/LED/ALS/HBC/LDWS/LAS/A-SCBS/SCBS-R/A-BSM/RCTA/FOW/SBS/DRSS/MRCC/DAA/TSR/A-CLI</t>
  </si>
  <si>
    <t>JM0TC2WLA00333332</t>
  </si>
  <si>
    <t>1E340080FFFFFFFFC1004A4D30544332C101574C41303033C102333333333200C10338003C092400C104000008F90000</t>
  </si>
  <si>
    <t>38003C092400</t>
  </si>
  <si>
    <t>31C600440007</t>
  </si>
  <si>
    <t>A814 C884 A1E3</t>
  </si>
  <si>
    <t>0809 1837 902B</t>
  </si>
  <si>
    <t>8458 0000 00EC</t>
  </si>
  <si>
    <t>F066 116A D8D8</t>
  </si>
  <si>
    <t>A503 C308 2054</t>
  </si>
  <si>
    <t>CX9-Azami/2017/RHD/ESS/LED/ALH/HBC/LDWS/LAS/SCBS/SCBS-R/A-BSM/RCTA/FOW/SBS/DRSS/MRCC/DAA/BOSE/A-CLI</t>
  </si>
  <si>
    <t>JM0TC2WLA00112419</t>
  </si>
  <si>
    <t>1D200080FFFFFFFFC1004A4D30544332C101574C41303031C102313234313900C10338003C092400C104000009110000</t>
  </si>
  <si>
    <t>320600440007</t>
  </si>
  <si>
    <t>72B420784F80</t>
  </si>
  <si>
    <t>200000200015</t>
  </si>
  <si>
    <t>20E390000000</t>
  </si>
  <si>
    <t>A814 C284 A0DC</t>
  </si>
  <si>
    <t>0809 2337 9036</t>
  </si>
  <si>
    <t>B820 9250 00C9</t>
  </si>
  <si>
    <t>8C81 0000 708D</t>
  </si>
  <si>
    <t>F066 112A D898</t>
  </si>
  <si>
    <t>66AA D355 56BE</t>
  </si>
  <si>
    <t>8150 0005 A339</t>
  </si>
  <si>
    <t>A501 C308 083A</t>
  </si>
  <si>
    <t>MX-5-Thai/2017/RHD/ADL/ESS/LED/AFLS/HBC/LDWS/CC/BOSE/A-CLI</t>
  </si>
  <si>
    <t>JM6ND2E7AJ0100677</t>
  </si>
  <si>
    <t>2D810100FFFFFFFFC1004A4D364E4432C1014537414A3031C102303036373700C1033800090A2400C104000007570000</t>
  </si>
  <si>
    <t>3800090A2400</t>
  </si>
  <si>
    <t>000008409028</t>
  </si>
  <si>
    <t>703400320000</t>
  </si>
  <si>
    <t>83A865200000</t>
  </si>
  <si>
    <t>5810 C004 A107</t>
  </si>
  <si>
    <t>0809 0326 9005</t>
  </si>
  <si>
    <t>2610 9160 0036</t>
  </si>
  <si>
    <t>PASTE BELOW as Transpose</t>
  </si>
  <si>
    <t>Copy data from column L</t>
  </si>
  <si>
    <t>Paste data into column O as Values</t>
  </si>
  <si>
    <t>Copy data from column O</t>
  </si>
  <si>
    <t>Paste copied data in B1 cell of this sheet</t>
  </si>
  <si>
    <t>Paste data into CCC Research sheet in column C (first empty line) as Transpose</t>
  </si>
  <si>
    <t>© by Nikodim</t>
  </si>
  <si>
    <t>FORScan backup</t>
  </si>
  <si>
    <t>Orig</t>
  </si>
  <si>
    <t>New</t>
  </si>
  <si>
    <t>;Block 1</t>
  </si>
  <si>
    <t>;Block 2</t>
  </si>
  <si>
    <t>;Block 3</t>
  </si>
  <si>
    <t>7B7G3G100C2</t>
  </si>
  <si>
    <t>737G3G1FFFFFFFFFF3D</t>
  </si>
  <si>
    <t>737G3G2FFFFFFFFFF3E</t>
  </si>
  <si>
    <t>737G3G3FFFFFFFFFF3F</t>
  </si>
  <si>
    <t>737G3G4FFFFFFFFFF40</t>
  </si>
  <si>
    <t>737G3G5FFFFFFFF42</t>
  </si>
  <si>
    <t>;Block 4</t>
  </si>
  <si>
    <t>;Block 5</t>
  </si>
  <si>
    <t>706G2G2000000000011</t>
  </si>
  <si>
    <t>706G2G3000012</t>
  </si>
  <si>
    <t>720G1G400000000002C</t>
  </si>
  <si>
    <t>720G1G500000000002D</t>
  </si>
  <si>
    <t>720G3G1012C</t>
  </si>
  <si>
    <t>726G2G1000030</t>
  </si>
  <si>
    <t>&lt;- CCC Checksum 720-04-01</t>
  </si>
  <si>
    <r>
      <rPr>
        <b/>
        <sz val="11"/>
        <color theme="1"/>
        <rFont val="Calibri"/>
        <family val="2"/>
        <charset val="204"/>
        <scheme val="minor"/>
      </rPr>
      <t>LDWS on</t>
    </r>
    <r>
      <rPr>
        <sz val="11"/>
        <color theme="1"/>
        <rFont val="Calibri"/>
        <family val="2"/>
        <charset val="204"/>
        <scheme val="minor"/>
      </rPr>
      <t xml:space="preserve"> (always 1)</t>
    </r>
  </si>
  <si>
    <t>LDWS on (always 1)</t>
  </si>
  <si>
    <r>
      <t>720-01-03</t>
    </r>
    <r>
      <rPr>
        <sz val="11"/>
        <color theme="1"/>
        <rFont val="Calibri"/>
        <family val="2"/>
        <scheme val="minor"/>
      </rPr>
      <t xml:space="preserve"> B0 B1 B2 B3 B4 B5 in HEX</t>
    </r>
  </si>
  <si>
    <r>
      <t>720-01-03</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</si>
  <si>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720-01-04</t>
    </r>
    <r>
      <rPr>
        <sz val="11"/>
        <color theme="1"/>
        <rFont val="Calibri"/>
        <family val="2"/>
        <scheme val="minor"/>
      </rPr>
      <t xml:space="preserve"> B0 B1 B2 B3 B4 B5 in HEX</t>
    </r>
  </si>
  <si>
    <r>
      <t>720-01-04</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</si>
  <si>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720-01-05</t>
    </r>
    <r>
      <rPr>
        <sz val="11"/>
        <color theme="1"/>
        <rFont val="Calibri"/>
        <family val="2"/>
        <scheme val="minor"/>
      </rPr>
      <t xml:space="preserve"> B0 B1 B2 B3 B4 B5 in HEX</t>
    </r>
  </si>
  <si>
    <r>
      <t>720-01-05</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</si>
  <si>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720-01-06</t>
    </r>
    <r>
      <rPr>
        <sz val="11"/>
        <color theme="1"/>
        <rFont val="Calibri"/>
        <family val="2"/>
        <scheme val="minor"/>
      </rPr>
      <t xml:space="preserve"> B0 B1 B2 B3 B4 B5 in HEX</t>
    </r>
  </si>
  <si>
    <r>
      <t>720-01-06</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</si>
  <si>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720-01-07</t>
    </r>
    <r>
      <rPr>
        <sz val="11"/>
        <color theme="1"/>
        <rFont val="Calibri"/>
        <family val="2"/>
        <scheme val="minor"/>
      </rPr>
      <t xml:space="preserve"> B0 B1 B2 B3 B4 B5 in HEX</t>
    </r>
  </si>
  <si>
    <r>
      <t>720-01-07</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</si>
  <si>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720-01-08</t>
    </r>
    <r>
      <rPr>
        <sz val="11"/>
        <color theme="1"/>
        <rFont val="Calibri"/>
        <family val="2"/>
        <scheme val="minor"/>
      </rPr>
      <t xml:space="preserve"> B0 B1 B2 B3 B4 B5 in HEX</t>
    </r>
  </si>
  <si>
    <r>
      <t>720-01-08</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</si>
  <si>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t>Can be absent on some cars</t>
  </si>
  <si>
    <t>Can be of different length on various cars</t>
  </si>
  <si>
    <t>;Block 1 &lt;- PASTE HERE</t>
  </si>
  <si>
    <t>706G2G20011</t>
  </si>
  <si>
    <t>IC - 720-04-17 B2 (MRCC)</t>
  </si>
  <si>
    <t>IC - 720-04-17 B4 (MRCC)</t>
  </si>
  <si>
    <t>Seat heating</t>
  </si>
  <si>
    <t>IC - 720-04-26 B0</t>
  </si>
  <si>
    <r>
      <rPr>
        <b/>
        <sz val="11"/>
        <color theme="1"/>
        <rFont val="Calibri"/>
        <family val="2"/>
        <scheme val="minor"/>
      </rPr>
      <t xml:space="preserve">Auto Door Lock: </t>
    </r>
    <r>
      <rPr>
        <sz val="11"/>
        <color theme="1"/>
        <rFont val="Calibri"/>
        <family val="2"/>
        <charset val="204"/>
        <scheme val="minor"/>
      </rPr>
      <t>0 - OFF / 1 - ON</t>
    </r>
  </si>
  <si>
    <t>H9</t>
  </si>
  <si>
    <t>HA</t>
  </si>
  <si>
    <t>HB</t>
  </si>
  <si>
    <t>HC</t>
  </si>
  <si>
    <t>HD</t>
  </si>
  <si>
    <t>HE</t>
  </si>
  <si>
    <t>HF</t>
  </si>
  <si>
    <t>I0</t>
  </si>
  <si>
    <t>I1</t>
  </si>
  <si>
    <t>I2</t>
  </si>
  <si>
    <t>I3</t>
  </si>
  <si>
    <t>I4</t>
  </si>
  <si>
    <t>I5</t>
  </si>
  <si>
    <t>I6</t>
  </si>
  <si>
    <t>I7</t>
  </si>
  <si>
    <t>I8</t>
  </si>
  <si>
    <t>I9</t>
  </si>
  <si>
    <t>IA</t>
  </si>
  <si>
    <t>IB</t>
  </si>
  <si>
    <t>IC</t>
  </si>
  <si>
    <t>ID</t>
  </si>
  <si>
    <t>IE</t>
  </si>
  <si>
    <t>IF</t>
  </si>
  <si>
    <t>J0</t>
  </si>
  <si>
    <t>J1</t>
  </si>
  <si>
    <t>J2</t>
  </si>
  <si>
    <t>J3</t>
  </si>
  <si>
    <t>J4</t>
  </si>
  <si>
    <t>J5</t>
  </si>
  <si>
    <t>J6</t>
  </si>
  <si>
    <t>J7</t>
  </si>
  <si>
    <t>J8</t>
  </si>
  <si>
    <t>720G1G300000000002B</t>
  </si>
  <si>
    <r>
      <rPr>
        <b/>
        <sz val="11"/>
        <color theme="1"/>
        <rFont val="Calibri"/>
        <family val="2"/>
        <charset val="204"/>
        <scheme val="minor"/>
      </rPr>
      <t>Fuel type division</t>
    </r>
    <r>
      <rPr>
        <sz val="11"/>
        <color theme="1"/>
        <rFont val="Calibri"/>
        <family val="2"/>
        <charset val="204"/>
        <scheme val="minor"/>
      </rPr>
      <t xml:space="preserve">
</t>
    </r>
    <r>
      <rPr>
        <i/>
        <sz val="10"/>
        <color theme="1"/>
        <rFont val="Calibri"/>
        <family val="2"/>
        <charset val="204"/>
        <scheme val="minor"/>
      </rPr>
      <t>b6b5b4 - Value:</t>
    </r>
    <r>
      <rPr>
        <sz val="11"/>
        <color theme="1"/>
        <rFont val="Calibri"/>
        <family val="2"/>
        <charset val="204"/>
        <scheme val="minor"/>
      </rPr>
      <t xml:space="preserve">
</t>
    </r>
    <r>
      <rPr>
        <b/>
        <sz val="11"/>
        <color theme="1"/>
        <rFont val="Calibri"/>
        <family val="2"/>
        <charset val="204"/>
        <scheme val="minor"/>
      </rPr>
      <t>000</t>
    </r>
    <r>
      <rPr>
        <sz val="11"/>
        <color theme="1"/>
        <rFont val="Calibri"/>
        <family val="2"/>
        <charset val="204"/>
        <scheme val="minor"/>
      </rPr>
      <t xml:space="preserve">: P </t>
    </r>
    <r>
      <rPr>
        <sz val="8"/>
        <color theme="1"/>
        <rFont val="Calibri"/>
        <family val="2"/>
        <charset val="204"/>
        <scheme val="minor"/>
      </rPr>
      <t>(except CX3</t>
    </r>
    <r>
      <rPr>
        <sz val="11"/>
        <color theme="1"/>
        <rFont val="Calibri"/>
        <family val="2"/>
        <charset val="204"/>
        <scheme val="minor"/>
      </rPr>
      <t xml:space="preserve">) 
</t>
    </r>
    <r>
      <rPr>
        <b/>
        <sz val="11"/>
        <color theme="1"/>
        <rFont val="Calibri"/>
        <family val="2"/>
        <charset val="204"/>
        <scheme val="minor"/>
      </rPr>
      <t>001</t>
    </r>
    <r>
      <rPr>
        <sz val="11"/>
        <color theme="1"/>
        <rFont val="Calibri"/>
        <family val="2"/>
        <charset val="204"/>
        <scheme val="minor"/>
      </rPr>
      <t xml:space="preserve">: P </t>
    </r>
    <r>
      <rPr>
        <sz val="8"/>
        <color theme="1"/>
        <rFont val="Calibri"/>
        <family val="2"/>
        <charset val="204"/>
        <scheme val="minor"/>
      </rPr>
      <t>(M2/M3/CX5/CX8)</t>
    </r>
    <r>
      <rPr>
        <sz val="11"/>
        <color theme="1"/>
        <rFont val="Calibri"/>
        <family val="2"/>
        <charset val="204"/>
        <scheme val="minor"/>
      </rPr>
      <t xml:space="preserve">
</t>
    </r>
    <r>
      <rPr>
        <b/>
        <sz val="11"/>
        <color theme="1"/>
        <rFont val="Calibri"/>
        <family val="2"/>
        <charset val="204"/>
        <scheme val="minor"/>
      </rPr>
      <t>010</t>
    </r>
    <r>
      <rPr>
        <sz val="11"/>
        <color theme="1"/>
        <rFont val="Calibri"/>
        <family val="2"/>
        <charset val="204"/>
        <scheme val="minor"/>
      </rPr>
      <t>: P (</t>
    </r>
    <r>
      <rPr>
        <sz val="8"/>
        <color theme="1"/>
        <rFont val="Calibri"/>
        <family val="2"/>
        <charset val="204"/>
        <scheme val="minor"/>
      </rPr>
      <t>all</t>
    </r>
    <r>
      <rPr>
        <sz val="11"/>
        <color theme="1"/>
        <rFont val="Calibri"/>
        <family val="2"/>
        <charset val="204"/>
        <scheme val="minor"/>
      </rPr>
      <t xml:space="preserve">)
</t>
    </r>
    <r>
      <rPr>
        <b/>
        <sz val="11"/>
        <color theme="1"/>
        <rFont val="Calibri"/>
        <family val="2"/>
        <charset val="204"/>
        <scheme val="minor"/>
      </rPr>
      <t>011</t>
    </r>
    <r>
      <rPr>
        <sz val="11"/>
        <color theme="1"/>
        <rFont val="Calibri"/>
        <family val="2"/>
        <charset val="204"/>
        <scheme val="minor"/>
      </rPr>
      <t>: P (</t>
    </r>
    <r>
      <rPr>
        <sz val="8"/>
        <color theme="1"/>
        <rFont val="Calibri"/>
        <family val="2"/>
        <charset val="204"/>
        <scheme val="minor"/>
      </rPr>
      <t>CX3</t>
    </r>
    <r>
      <rPr>
        <sz val="11"/>
        <color theme="1"/>
        <rFont val="Calibri"/>
        <family val="2"/>
        <charset val="204"/>
        <scheme val="minor"/>
      </rPr>
      <t xml:space="preserve">)
</t>
    </r>
    <r>
      <rPr>
        <b/>
        <sz val="11"/>
        <color theme="1"/>
        <rFont val="Calibri"/>
        <family val="2"/>
        <charset val="204"/>
        <scheme val="minor"/>
      </rPr>
      <t>100</t>
    </r>
    <r>
      <rPr>
        <sz val="11"/>
        <color theme="1"/>
        <rFont val="Calibri"/>
        <family val="2"/>
        <charset val="204"/>
        <scheme val="minor"/>
      </rPr>
      <t>: D (</t>
    </r>
    <r>
      <rPr>
        <sz val="8"/>
        <color theme="1"/>
        <rFont val="Calibri"/>
        <family val="2"/>
        <charset val="204"/>
        <scheme val="minor"/>
      </rPr>
      <t>except CX3</t>
    </r>
    <r>
      <rPr>
        <sz val="11"/>
        <color theme="1"/>
        <rFont val="Calibri"/>
        <family val="2"/>
        <charset val="204"/>
        <scheme val="minor"/>
      </rPr>
      <t xml:space="preserve">)        </t>
    </r>
    <r>
      <rPr>
        <b/>
        <sz val="11"/>
        <color theme="1"/>
        <rFont val="Calibri"/>
        <family val="2"/>
        <charset val="204"/>
        <scheme val="minor"/>
      </rPr>
      <t>101</t>
    </r>
    <r>
      <rPr>
        <sz val="11"/>
        <color theme="1"/>
        <rFont val="Calibri"/>
        <family val="2"/>
        <charset val="204"/>
        <scheme val="minor"/>
      </rPr>
      <t>: D (</t>
    </r>
    <r>
      <rPr>
        <sz val="8"/>
        <color theme="1"/>
        <rFont val="Calibri"/>
        <family val="2"/>
        <charset val="204"/>
        <scheme val="minor"/>
      </rPr>
      <t>only M2</t>
    </r>
    <r>
      <rPr>
        <sz val="11"/>
        <color theme="1"/>
        <rFont val="Calibri"/>
        <family val="2"/>
        <charset val="204"/>
        <scheme val="minor"/>
      </rPr>
      <t xml:space="preserve">)
</t>
    </r>
    <r>
      <rPr>
        <b/>
        <sz val="11"/>
        <color theme="1"/>
        <rFont val="Calibri"/>
        <family val="2"/>
        <charset val="204"/>
        <scheme val="minor"/>
      </rPr>
      <t>110</t>
    </r>
    <r>
      <rPr>
        <sz val="11"/>
        <color theme="1"/>
        <rFont val="Calibri"/>
        <family val="2"/>
        <charset val="204"/>
        <scheme val="minor"/>
      </rPr>
      <t>: D (</t>
    </r>
    <r>
      <rPr>
        <sz val="8"/>
        <color theme="1"/>
        <rFont val="Calibri"/>
        <family val="2"/>
        <charset val="204"/>
        <scheme val="minor"/>
      </rPr>
      <t>CX3/CX5</t>
    </r>
    <r>
      <rPr>
        <sz val="11"/>
        <color theme="1"/>
        <rFont val="Calibri"/>
        <family val="2"/>
        <charset val="204"/>
        <scheme val="minor"/>
      </rPr>
      <t xml:space="preserve">)
</t>
    </r>
  </si>
  <si>
    <t>1=America/Singapore</t>
  </si>
  <si>
    <t>1=if 731-01-01 B2b3=1 --&gt; 720-01-03 -:- 720-01-09 = Value</t>
  </si>
  <si>
    <t>1=4WD/RWD, 1=D(M3)</t>
  </si>
  <si>
    <r>
      <rPr>
        <b/>
        <sz val="11"/>
        <color theme="1"/>
        <rFont val="Calibri"/>
        <family val="2"/>
        <charset val="204"/>
        <scheme val="minor"/>
      </rPr>
      <t>BF11=</t>
    </r>
    <r>
      <rPr>
        <sz val="11"/>
        <color theme="1"/>
        <rFont val="Calibri"/>
        <family val="2"/>
        <charset val="204"/>
        <scheme val="minor"/>
      </rPr>
      <t xml:space="preserve">
</t>
    </r>
    <r>
      <rPr>
        <i/>
        <sz val="10"/>
        <color theme="1"/>
        <rFont val="Calibri"/>
        <family val="2"/>
        <charset val="204"/>
        <scheme val="minor"/>
      </rPr>
      <t>b2b1- Value:</t>
    </r>
    <r>
      <rPr>
        <sz val="11"/>
        <color theme="1"/>
        <rFont val="Calibri"/>
        <family val="2"/>
        <charset val="204"/>
        <scheme val="minor"/>
      </rPr>
      <t xml:space="preserve">
</t>
    </r>
    <r>
      <rPr>
        <b/>
        <sz val="8"/>
        <color theme="1"/>
        <rFont val="Calibri"/>
        <family val="2"/>
        <charset val="204"/>
        <scheme val="minor"/>
      </rPr>
      <t>00</t>
    </r>
    <r>
      <rPr>
        <sz val="8"/>
        <color theme="1"/>
        <rFont val="Calibri"/>
        <family val="2"/>
        <charset val="204"/>
        <scheme val="minor"/>
      </rPr>
      <t xml:space="preserve">= BF11=000000000000,
</t>
    </r>
    <r>
      <rPr>
        <b/>
        <sz val="8"/>
        <color theme="1"/>
        <rFont val="Calibri"/>
        <family val="2"/>
        <charset val="204"/>
        <scheme val="minor"/>
      </rPr>
      <t>01</t>
    </r>
    <r>
      <rPr>
        <sz val="8"/>
        <color theme="1"/>
        <rFont val="Calibri"/>
        <family val="2"/>
        <charset val="204"/>
        <scheme val="minor"/>
      </rPr>
      <t xml:space="preserve">=BF11&gt;000000000000,
</t>
    </r>
    <r>
      <rPr>
        <b/>
        <sz val="8"/>
        <color theme="1"/>
        <rFont val="Calibri"/>
        <family val="2"/>
        <charset val="204"/>
        <scheme val="minor"/>
      </rPr>
      <t>10</t>
    </r>
    <r>
      <rPr>
        <sz val="8"/>
        <color theme="1"/>
        <rFont val="Calibri"/>
        <family val="2"/>
        <charset val="204"/>
        <scheme val="minor"/>
      </rPr>
      <t>= BF11=000000000000 (JP only)</t>
    </r>
  </si>
  <si>
    <t>0=CX-9 only</t>
  </si>
  <si>
    <t>0=M2/CX3 only</t>
  </si>
  <si>
    <r>
      <rPr>
        <b/>
        <sz val="11"/>
        <color theme="1"/>
        <rFont val="Calibri"/>
        <family val="2"/>
        <charset val="204"/>
        <scheme val="minor"/>
      </rPr>
      <t>Fuel Type</t>
    </r>
    <r>
      <rPr>
        <sz val="11"/>
        <color theme="1"/>
        <rFont val="Calibri"/>
        <family val="2"/>
        <charset val="204"/>
        <scheme val="minor"/>
      </rPr>
      <t xml:space="preserve">
</t>
    </r>
    <r>
      <rPr>
        <i/>
        <sz val="10"/>
        <color theme="1"/>
        <rFont val="Calibri"/>
        <family val="2"/>
        <charset val="204"/>
        <scheme val="minor"/>
      </rPr>
      <t>b7b6b5b4 - Value:</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P,
</t>
    </r>
    <r>
      <rPr>
        <b/>
        <sz val="11"/>
        <color theme="1"/>
        <rFont val="Calibri"/>
        <family val="2"/>
        <charset val="204"/>
        <scheme val="minor"/>
      </rPr>
      <t>01</t>
    </r>
    <r>
      <rPr>
        <sz val="11"/>
        <color theme="1"/>
        <rFont val="Calibri"/>
        <family val="2"/>
        <charset val="204"/>
        <scheme val="minor"/>
      </rPr>
      <t xml:space="preserve">= D,
</t>
    </r>
    <r>
      <rPr>
        <b/>
        <sz val="11"/>
        <color theme="1"/>
        <rFont val="Calibri"/>
        <family val="2"/>
        <charset val="204"/>
        <scheme val="minor"/>
      </rPr>
      <t>10</t>
    </r>
    <r>
      <rPr>
        <sz val="11"/>
        <color theme="1"/>
        <rFont val="Calibri"/>
        <family val="2"/>
        <charset val="204"/>
        <scheme val="minor"/>
      </rPr>
      <t>= P</t>
    </r>
    <r>
      <rPr>
        <sz val="11"/>
        <color theme="1"/>
        <rFont val="Calibri"/>
        <family val="2"/>
        <charset val="204"/>
        <scheme val="minor"/>
      </rPr>
      <t xml:space="preserve">,
</t>
    </r>
    <r>
      <rPr>
        <b/>
        <sz val="11"/>
        <color theme="1"/>
        <rFont val="Calibri"/>
        <family val="2"/>
        <charset val="204"/>
        <scheme val="minor"/>
      </rPr>
      <t>11</t>
    </r>
    <r>
      <rPr>
        <sz val="11"/>
        <color theme="1"/>
        <rFont val="Calibri"/>
        <family val="2"/>
        <charset val="204"/>
        <scheme val="minor"/>
      </rPr>
      <t>= P</t>
    </r>
  </si>
  <si>
    <t>48 = 360VMC</t>
  </si>
  <si>
    <t>never used</t>
  </si>
  <si>
    <t>Related to Low Level W/shield washer Liquid (in 720-01-01 B1 b5=1)</t>
  </si>
  <si>
    <t>1=always ON M2/CX-3/MX-5</t>
  </si>
  <si>
    <t>1=300 LED M2/CX-3/MX-5</t>
  </si>
  <si>
    <t>1=300 M2/CX-3/MX-5</t>
  </si>
  <si>
    <t xml:space="preserve">01 = MX-5;
11 = M2/CX-3
</t>
  </si>
  <si>
    <t>1=all Areas except 61/71 + Israel</t>
  </si>
  <si>
    <t>1=Areas 61/71 except Israel</t>
  </si>
  <si>
    <t>00 = HALO M2;
01 = HALO CX-3;
11 = LED</t>
  </si>
  <si>
    <t>1=Areas 21/51/61/71</t>
  </si>
  <si>
    <t>1=Areas 31/41/CAN/ISR/Malay</t>
  </si>
  <si>
    <t>1=300 in MX-5</t>
  </si>
  <si>
    <t>1=US CX-3 HALO</t>
  </si>
  <si>
    <t>1=US</t>
  </si>
  <si>
    <t>1-MX-5</t>
  </si>
  <si>
    <t>1=if  720-04-32 B3b7=1</t>
  </si>
  <si>
    <t xml:space="preserve">01 = JPN only;
11 = any except JPN
</t>
  </si>
  <si>
    <t>110 = JPN only;
010 = AUS/ASIA;
011 = EU/UK/US</t>
  </si>
  <si>
    <r>
      <rPr>
        <b/>
        <sz val="11"/>
        <color theme="1"/>
        <rFont val="Calibri"/>
        <family val="2"/>
        <charset val="204"/>
        <scheme val="minor"/>
      </rPr>
      <t>Auto Door Lock</t>
    </r>
    <r>
      <rPr>
        <sz val="11"/>
        <color theme="1"/>
        <rFont val="Calibri"/>
        <family val="2"/>
        <charset val="204"/>
        <scheme val="minor"/>
      </rPr>
      <t xml:space="preserve">
</t>
    </r>
    <r>
      <rPr>
        <i/>
        <sz val="10"/>
        <color theme="1"/>
        <rFont val="Calibri"/>
        <family val="2"/>
        <charset val="204"/>
        <scheme val="minor"/>
      </rPr>
      <t>b7b6b5b4 - value:</t>
    </r>
    <r>
      <rPr>
        <sz val="11"/>
        <color theme="1"/>
        <rFont val="Calibri"/>
        <family val="2"/>
        <charset val="204"/>
        <scheme val="minor"/>
      </rPr>
      <t xml:space="preserve">
</t>
    </r>
    <r>
      <rPr>
        <b/>
        <sz val="11"/>
        <color theme="1"/>
        <rFont val="Calibri"/>
        <family val="2"/>
        <charset val="204"/>
        <scheme val="minor"/>
      </rPr>
      <t>0000</t>
    </r>
    <r>
      <rPr>
        <sz val="11"/>
        <color theme="1"/>
        <rFont val="Calibri"/>
        <family val="2"/>
        <charset val="204"/>
        <scheme val="minor"/>
      </rPr>
      <t xml:space="preserve"> - Not equipped
No for CX3 EU
</t>
    </r>
    <r>
      <rPr>
        <b/>
        <sz val="11"/>
        <color theme="1"/>
        <rFont val="Calibri"/>
        <family val="2"/>
        <charset val="204"/>
        <scheme val="minor"/>
      </rPr>
      <t xml:space="preserve">0001 </t>
    </r>
    <r>
      <rPr>
        <sz val="11"/>
        <color theme="1"/>
        <rFont val="Calibri"/>
        <family val="2"/>
        <charset val="204"/>
        <scheme val="minor"/>
      </rPr>
      <t xml:space="preserve">- OFF
</t>
    </r>
    <r>
      <rPr>
        <b/>
        <sz val="11"/>
        <color theme="1"/>
        <rFont val="Calibri"/>
        <family val="2"/>
        <charset val="204"/>
        <scheme val="minor"/>
      </rPr>
      <t>0010</t>
    </r>
    <r>
      <rPr>
        <sz val="11"/>
        <color theme="1"/>
        <rFont val="Calibri"/>
        <family val="2"/>
        <charset val="204"/>
        <scheme val="minor"/>
      </rPr>
      <t xml:space="preserve"> - Lock: When driving
</t>
    </r>
    <r>
      <rPr>
        <b/>
        <sz val="11"/>
        <color theme="1"/>
        <rFont val="Calibri"/>
        <family val="2"/>
        <charset val="204"/>
        <scheme val="minor"/>
      </rPr>
      <t>0011</t>
    </r>
    <r>
      <rPr>
        <sz val="11"/>
        <color theme="1"/>
        <rFont val="Calibri"/>
        <family val="2"/>
        <charset val="204"/>
        <scheme val="minor"/>
      </rPr>
      <t xml:space="preserve"> - Lock: When driving / Unlock: IGN Off
</t>
    </r>
    <r>
      <rPr>
        <b/>
        <sz val="11"/>
        <color theme="1"/>
        <rFont val="Calibri"/>
        <family val="2"/>
        <charset val="204"/>
        <scheme val="minor"/>
      </rPr>
      <t>0100</t>
    </r>
    <r>
      <rPr>
        <sz val="11"/>
        <color theme="1"/>
        <rFont val="Calibri"/>
        <family val="2"/>
        <charset val="204"/>
        <scheme val="minor"/>
      </rPr>
      <t xml:space="preserve"> - Lock: Shifting Out of Park
</t>
    </r>
    <r>
      <rPr>
        <b/>
        <sz val="11"/>
        <color theme="1"/>
        <rFont val="Calibri"/>
        <family val="2"/>
        <charset val="204"/>
        <scheme val="minor"/>
      </rPr>
      <t>0101</t>
    </r>
    <r>
      <rPr>
        <sz val="11"/>
        <color theme="1"/>
        <rFont val="Calibri"/>
        <family val="2"/>
        <charset val="204"/>
        <scheme val="minor"/>
      </rPr>
      <t xml:space="preserve"> - Lock:  Out of Park / Unlock: In Park
</t>
    </r>
    <r>
      <rPr>
        <b/>
        <sz val="11"/>
        <color theme="1"/>
        <rFont val="Calibri"/>
        <family val="2"/>
        <charset val="204"/>
        <scheme val="minor"/>
      </rPr>
      <t>1010</t>
    </r>
    <r>
      <rPr>
        <sz val="11"/>
        <color theme="1"/>
        <rFont val="Calibri"/>
        <family val="2"/>
        <charset val="204"/>
        <scheme val="minor"/>
      </rPr>
      <t xml:space="preserve"> - Lock:  When driving / Unlock: in Park</t>
    </r>
  </si>
  <si>
    <t>Mazda model related</t>
  </si>
  <si>
    <t>1=used only in CX4</t>
  </si>
  <si>
    <t>1=3MZ(M3)</t>
  </si>
  <si>
    <t>1=D2.2L(M6,CX5); 1=JMZ(M3)</t>
  </si>
  <si>
    <t>1=AT; 0=MT</t>
  </si>
  <si>
    <t>1=if 720-04-27 B0b4=1</t>
  </si>
  <si>
    <t>1=AUTOHOLD</t>
  </si>
  <si>
    <t>1=???</t>
  </si>
  <si>
    <t>1=US only together with b5</t>
  </si>
  <si>
    <t>1=any M6/CX5KE (exceprt those having 720-01-01 B2=60/78/79)</t>
  </si>
  <si>
    <t>1=RHD, 0=LHD</t>
  </si>
  <si>
    <t>1=only Saudi</t>
  </si>
  <si>
    <t>1=US only</t>
  </si>
  <si>
    <t>1=all models</t>
  </si>
  <si>
    <t>1=in Market Area 41/South America &amp; if 726-01-01 B3b2=0 for M6 ("Headlight Washers" - OFF in Market Areas: 31/51)</t>
  </si>
  <si>
    <t>1--&gt;720-01-01 B1b6=1</t>
  </si>
  <si>
    <r>
      <rPr>
        <b/>
        <sz val="11"/>
        <color theme="1"/>
        <rFont val="Calibri"/>
        <family val="2"/>
        <charset val="204"/>
        <scheme val="minor"/>
      </rPr>
      <t>Bodystyle dependant</t>
    </r>
    <r>
      <rPr>
        <sz val="11"/>
        <color theme="1"/>
        <rFont val="Calibri"/>
        <family val="2"/>
        <charset val="204"/>
        <scheme val="minor"/>
      </rPr>
      <t xml:space="preserve">
</t>
    </r>
    <r>
      <rPr>
        <i/>
        <sz val="10"/>
        <color theme="1"/>
        <rFont val="Calibri"/>
        <family val="2"/>
        <charset val="204"/>
        <scheme val="minor"/>
      </rPr>
      <t>b7b6b5 - Value</t>
    </r>
    <r>
      <rPr>
        <sz val="10"/>
        <color theme="1"/>
        <rFont val="Calibri"/>
        <family val="2"/>
        <charset val="204"/>
        <scheme val="minor"/>
      </rPr>
      <t>:</t>
    </r>
    <r>
      <rPr>
        <sz val="11"/>
        <color theme="1"/>
        <rFont val="Calibri"/>
        <family val="2"/>
        <charset val="204"/>
        <scheme val="minor"/>
      </rPr>
      <t xml:space="preserve">
</t>
    </r>
    <r>
      <rPr>
        <b/>
        <sz val="11"/>
        <color theme="1"/>
        <rFont val="Calibri"/>
        <family val="2"/>
        <charset val="204"/>
        <scheme val="minor"/>
      </rPr>
      <t>000</t>
    </r>
    <r>
      <rPr>
        <sz val="11"/>
        <color theme="1"/>
        <rFont val="Calibri"/>
        <family val="2"/>
        <charset val="204"/>
        <scheme val="minor"/>
      </rPr>
      <t xml:space="preserve"> — Sedan.
</t>
    </r>
    <r>
      <rPr>
        <b/>
        <sz val="11"/>
        <color theme="1"/>
        <rFont val="Calibri"/>
        <family val="2"/>
        <charset val="204"/>
        <scheme val="minor"/>
      </rPr>
      <t>001</t>
    </r>
    <r>
      <rPr>
        <sz val="11"/>
        <color theme="1"/>
        <rFont val="Calibri"/>
        <family val="2"/>
        <charset val="204"/>
        <scheme val="minor"/>
      </rPr>
      <t xml:space="preserve"> — any in EU,
</t>
    </r>
    <r>
      <rPr>
        <b/>
        <sz val="11"/>
        <color theme="1"/>
        <rFont val="Calibri"/>
        <family val="2"/>
        <charset val="204"/>
        <scheme val="minor"/>
      </rPr>
      <t>100</t>
    </r>
    <r>
      <rPr>
        <sz val="11"/>
        <color theme="1"/>
        <rFont val="Calibri"/>
        <family val="2"/>
        <charset val="204"/>
        <scheme val="minor"/>
      </rPr>
      <t xml:space="preserve"> — HB/Wgn</t>
    </r>
  </si>
  <si>
    <t>1=Always used</t>
  </si>
  <si>
    <t>1=RHD, 0=LHD (+UK&amp;SA)</t>
  </si>
  <si>
    <t>1=JP only CX5/CX8 with 720-04-14 B4b5=1</t>
  </si>
  <si>
    <r>
      <rPr>
        <b/>
        <sz val="11"/>
        <color theme="1"/>
        <rFont val="Calibri"/>
        <family val="2"/>
        <charset val="204"/>
        <scheme val="minor"/>
      </rPr>
      <t>i-Stop</t>
    </r>
    <r>
      <rPr>
        <sz val="11"/>
        <color theme="1"/>
        <rFont val="Calibri"/>
        <family val="2"/>
        <charset val="204"/>
        <scheme val="minor"/>
      </rPr>
      <t>: 0 - OFF / 1 - ON (EU only)</t>
    </r>
  </si>
  <si>
    <r>
      <rPr>
        <b/>
        <sz val="11"/>
        <color theme="1"/>
        <rFont val="Calibri"/>
        <family val="2"/>
        <charset val="204"/>
        <scheme val="minor"/>
      </rPr>
      <t>Model/Drive dependant</t>
    </r>
    <r>
      <rPr>
        <sz val="11"/>
        <color theme="1"/>
        <rFont val="Calibri"/>
        <family val="2"/>
        <scheme val="minor"/>
      </rPr>
      <t xml:space="preserve">
</t>
    </r>
    <r>
      <rPr>
        <i/>
        <sz val="8"/>
        <color theme="1"/>
        <rFont val="Calibri"/>
        <family val="2"/>
        <charset val="204"/>
        <scheme val="minor"/>
      </rPr>
      <t>b3b2b1b0 -</t>
    </r>
    <r>
      <rPr>
        <sz val="11"/>
        <color theme="1"/>
        <rFont val="Calibri"/>
        <family val="2"/>
        <scheme val="minor"/>
      </rPr>
      <t xml:space="preserve"> </t>
    </r>
    <r>
      <rPr>
        <i/>
        <sz val="8"/>
        <color theme="1"/>
        <rFont val="Calibri"/>
        <family val="2"/>
        <charset val="204"/>
        <scheme val="minor"/>
      </rPr>
      <t>Value:</t>
    </r>
    <r>
      <rPr>
        <sz val="8"/>
        <color theme="1"/>
        <rFont val="Calibri"/>
        <family val="2"/>
        <charset val="204"/>
        <scheme val="minor"/>
      </rPr>
      <t xml:space="preserve">
</t>
    </r>
    <r>
      <rPr>
        <b/>
        <sz val="8"/>
        <color theme="1"/>
        <rFont val="Calibri"/>
        <family val="2"/>
        <charset val="204"/>
        <scheme val="minor"/>
      </rPr>
      <t>0110</t>
    </r>
    <r>
      <rPr>
        <sz val="8"/>
        <color theme="1"/>
        <rFont val="Calibri"/>
        <family val="2"/>
        <charset val="204"/>
        <scheme val="minor"/>
      </rPr>
      <t xml:space="preserve"> - M2(LHD),M3(LHD);
</t>
    </r>
    <r>
      <rPr>
        <b/>
        <sz val="8"/>
        <color theme="1"/>
        <rFont val="Calibri"/>
        <family val="2"/>
        <charset val="204"/>
        <scheme val="minor"/>
      </rPr>
      <t>0111</t>
    </r>
    <r>
      <rPr>
        <sz val="8"/>
        <color theme="1"/>
        <rFont val="Calibri"/>
        <family val="2"/>
        <charset val="204"/>
        <scheme val="minor"/>
      </rPr>
      <t xml:space="preserve"> - M6,M2(RHD), CX3(LHD);
</t>
    </r>
    <r>
      <rPr>
        <b/>
        <sz val="8"/>
        <color theme="1"/>
        <rFont val="Calibri"/>
        <family val="2"/>
        <charset val="204"/>
        <scheme val="minor"/>
      </rPr>
      <t>1000</t>
    </r>
    <r>
      <rPr>
        <sz val="8"/>
        <color theme="1"/>
        <rFont val="Calibri"/>
        <family val="2"/>
        <charset val="204"/>
        <scheme val="minor"/>
      </rPr>
      <t xml:space="preserve"> - MX5,CX9,CX5KE, 
               M3(RHD),CX3(RHD);
</t>
    </r>
    <r>
      <rPr>
        <b/>
        <sz val="8"/>
        <color theme="1"/>
        <rFont val="Calibri"/>
        <family val="2"/>
        <charset val="204"/>
        <scheme val="minor"/>
      </rPr>
      <t>1001</t>
    </r>
    <r>
      <rPr>
        <sz val="8"/>
        <color theme="1"/>
        <rFont val="Calibri"/>
        <family val="2"/>
        <charset val="204"/>
        <scheme val="minor"/>
      </rPr>
      <t xml:space="preserve"> - CX8,CX5KF
 (except US);
</t>
    </r>
    <r>
      <rPr>
        <b/>
        <sz val="8"/>
        <color theme="1"/>
        <rFont val="Calibri"/>
        <family val="2"/>
        <charset val="204"/>
        <scheme val="minor"/>
      </rPr>
      <t>1010</t>
    </r>
    <r>
      <rPr>
        <sz val="8"/>
        <color theme="1"/>
        <rFont val="Calibri"/>
        <family val="2"/>
        <charset val="204"/>
        <scheme val="minor"/>
      </rPr>
      <t xml:space="preserve"> - CX5KF(US only)</t>
    </r>
  </si>
  <si>
    <t>always used</t>
  </si>
  <si>
    <t>1=MT+i-STOP, 0=Other</t>
  </si>
  <si>
    <r>
      <rPr>
        <b/>
        <sz val="11"/>
        <color theme="1"/>
        <rFont val="Calibri"/>
        <family val="2"/>
        <charset val="204"/>
        <scheme val="minor"/>
      </rPr>
      <t>Model/Drive dependant</t>
    </r>
    <r>
      <rPr>
        <sz val="11"/>
        <color theme="1"/>
        <rFont val="Calibri"/>
        <family val="2"/>
        <charset val="204"/>
        <scheme val="minor"/>
      </rPr>
      <t xml:space="preserve">
</t>
    </r>
    <r>
      <rPr>
        <i/>
        <sz val="10"/>
        <color theme="1"/>
        <rFont val="Calibri"/>
        <family val="2"/>
        <charset val="204"/>
        <scheme val="minor"/>
      </rPr>
      <t>Value</t>
    </r>
    <r>
      <rPr>
        <sz val="10"/>
        <color theme="1"/>
        <rFont val="Calibri"/>
        <family val="2"/>
        <charset val="204"/>
        <scheme val="minor"/>
      </rPr>
      <t>:</t>
    </r>
    <r>
      <rPr>
        <sz val="11"/>
        <color theme="1"/>
        <rFont val="Calibri"/>
        <family val="2"/>
        <charset val="204"/>
        <scheme val="minor"/>
      </rPr>
      <t xml:space="preserve">
</t>
    </r>
    <r>
      <rPr>
        <b/>
        <sz val="8"/>
        <color theme="1"/>
        <rFont val="Calibri"/>
        <family val="2"/>
        <charset val="204"/>
        <scheme val="minor"/>
      </rPr>
      <t>24</t>
    </r>
    <r>
      <rPr>
        <sz val="8"/>
        <color theme="1"/>
        <rFont val="Calibri"/>
        <family val="2"/>
        <charset val="204"/>
        <scheme val="minor"/>
      </rPr>
      <t xml:space="preserve"> — M3(LHD);
</t>
    </r>
    <r>
      <rPr>
        <b/>
        <sz val="8"/>
        <color theme="1"/>
        <rFont val="Calibri"/>
        <family val="2"/>
        <charset val="204"/>
        <scheme val="minor"/>
      </rPr>
      <t>25</t>
    </r>
    <r>
      <rPr>
        <sz val="8"/>
        <color theme="1"/>
        <rFont val="Calibri"/>
        <family val="2"/>
        <charset val="204"/>
        <scheme val="minor"/>
      </rPr>
      <t xml:space="preserve"> — CX4(LHD);
</t>
    </r>
    <r>
      <rPr>
        <b/>
        <sz val="8"/>
        <color theme="1"/>
        <rFont val="Calibri"/>
        <family val="2"/>
        <charset val="204"/>
        <scheme val="minor"/>
      </rPr>
      <t>26</t>
    </r>
    <r>
      <rPr>
        <sz val="8"/>
        <color theme="1"/>
        <rFont val="Calibri"/>
        <family val="2"/>
        <charset val="204"/>
        <scheme val="minor"/>
      </rPr>
      <t xml:space="preserve"> — MX5(except US), CX5KF(except US),CX8(RHD);
</t>
    </r>
    <r>
      <rPr>
        <b/>
        <sz val="8"/>
        <color theme="1"/>
        <rFont val="Calibri"/>
        <family val="2"/>
        <charset val="204"/>
        <scheme val="minor"/>
      </rPr>
      <t>35</t>
    </r>
    <r>
      <rPr>
        <sz val="8"/>
        <color theme="1"/>
        <rFont val="Calibri"/>
        <family val="2"/>
        <charset val="204"/>
        <scheme val="minor"/>
      </rPr>
      <t xml:space="preserve"> — M2(LHD),M3(US), CX3(LHD-ISR/NAM);
</t>
    </r>
    <r>
      <rPr>
        <b/>
        <sz val="8"/>
        <color theme="1"/>
        <rFont val="Calibri"/>
        <family val="2"/>
        <charset val="204"/>
        <scheme val="minor"/>
      </rPr>
      <t>37</t>
    </r>
    <r>
      <rPr>
        <sz val="8"/>
        <color theme="1"/>
        <rFont val="Calibri"/>
        <family val="2"/>
        <charset val="204"/>
        <scheme val="minor"/>
      </rPr>
      <t xml:space="preserve"> — CX9(except US), MX5(US); 
</t>
    </r>
    <r>
      <rPr>
        <b/>
        <sz val="8"/>
        <color theme="1"/>
        <rFont val="Calibri"/>
        <family val="2"/>
        <charset val="204"/>
        <scheme val="minor"/>
      </rPr>
      <t>46</t>
    </r>
    <r>
      <rPr>
        <sz val="8"/>
        <color theme="1"/>
        <rFont val="Calibri"/>
        <family val="2"/>
        <charset val="204"/>
        <scheme val="minor"/>
      </rPr>
      <t xml:space="preserve"> — M6(except US);
</t>
    </r>
    <r>
      <rPr>
        <b/>
        <sz val="8"/>
        <color theme="1"/>
        <rFont val="Calibri"/>
        <family val="2"/>
        <charset val="204"/>
        <scheme val="minor"/>
      </rPr>
      <t>47</t>
    </r>
    <r>
      <rPr>
        <sz val="8"/>
        <color theme="1"/>
        <rFont val="Calibri"/>
        <family val="2"/>
        <charset val="204"/>
        <scheme val="minor"/>
      </rPr>
      <t xml:space="preserve"> — M2(RHD),CX3(LHD), M3(RHD),CX5KF(US), CX5KE(except US);
</t>
    </r>
    <r>
      <rPr>
        <b/>
        <sz val="8"/>
        <color theme="1"/>
        <rFont val="Calibri"/>
        <family val="2"/>
        <charset val="204"/>
        <scheme val="minor"/>
      </rPr>
      <t>48</t>
    </r>
    <r>
      <rPr>
        <sz val="8"/>
        <color theme="1"/>
        <rFont val="Calibri"/>
        <family val="2"/>
        <charset val="204"/>
        <scheme val="minor"/>
      </rPr>
      <t xml:space="preserve"> — CX5KE(US),CX9(US);
</t>
    </r>
    <r>
      <rPr>
        <b/>
        <sz val="8"/>
        <color theme="1"/>
        <rFont val="Calibri"/>
        <family val="2"/>
        <charset val="204"/>
        <scheme val="minor"/>
      </rPr>
      <t>57</t>
    </r>
    <r>
      <rPr>
        <sz val="8"/>
        <color theme="1"/>
        <rFont val="Calibri"/>
        <family val="2"/>
        <charset val="204"/>
        <scheme val="minor"/>
      </rPr>
      <t xml:space="preserve"> —M6(US);
</t>
    </r>
    <r>
      <rPr>
        <b/>
        <sz val="8"/>
        <color theme="1"/>
        <rFont val="Calibri"/>
        <family val="2"/>
        <charset val="204"/>
        <scheme val="minor"/>
      </rPr>
      <t>58</t>
    </r>
    <r>
      <rPr>
        <sz val="8"/>
        <color theme="1"/>
        <rFont val="Calibri"/>
        <family val="2"/>
        <charset val="204"/>
        <scheme val="minor"/>
      </rPr>
      <t xml:space="preserve"> — CX3(US); 
</t>
    </r>
    <r>
      <rPr>
        <b/>
        <sz val="8"/>
        <color theme="1"/>
        <rFont val="Calibri"/>
        <family val="2"/>
        <charset val="204"/>
        <scheme val="minor"/>
      </rPr>
      <t>79</t>
    </r>
    <r>
      <rPr>
        <sz val="8"/>
        <color theme="1"/>
        <rFont val="Calibri"/>
        <family val="2"/>
        <charset val="204"/>
        <scheme val="minor"/>
      </rPr>
      <t xml:space="preserve"> —CX3(RHD)</t>
    </r>
  </si>
  <si>
    <r>
      <rPr>
        <b/>
        <sz val="11"/>
        <color theme="1"/>
        <rFont val="Calibri"/>
        <family val="2"/>
        <charset val="204"/>
        <scheme val="minor"/>
      </rPr>
      <t>Model/Drive dependant</t>
    </r>
    <r>
      <rPr>
        <sz val="11"/>
        <color theme="1"/>
        <rFont val="Calibri"/>
        <family val="2"/>
        <charset val="204"/>
        <scheme val="minor"/>
      </rPr>
      <t xml:space="preserve">
</t>
    </r>
    <r>
      <rPr>
        <i/>
        <sz val="10"/>
        <color theme="1"/>
        <rFont val="Calibri"/>
        <family val="2"/>
        <charset val="204"/>
        <scheme val="minor"/>
      </rPr>
      <t>b7b6b5b4 - Value</t>
    </r>
    <r>
      <rPr>
        <sz val="10"/>
        <color theme="1"/>
        <rFont val="Calibri"/>
        <family val="2"/>
        <charset val="204"/>
        <scheme val="minor"/>
      </rPr>
      <t>:</t>
    </r>
    <r>
      <rPr>
        <sz val="11"/>
        <color theme="1"/>
        <rFont val="Calibri"/>
        <family val="2"/>
        <charset val="204"/>
        <scheme val="minor"/>
      </rPr>
      <t xml:space="preserve">
</t>
    </r>
    <r>
      <rPr>
        <b/>
        <sz val="8"/>
        <color theme="1"/>
        <rFont val="Calibri"/>
        <family val="2"/>
        <charset val="204"/>
        <scheme val="minor"/>
      </rPr>
      <t>0110</t>
    </r>
    <r>
      <rPr>
        <sz val="8"/>
        <color theme="1"/>
        <rFont val="Calibri"/>
        <family val="2"/>
        <charset val="204"/>
        <scheme val="minor"/>
      </rPr>
      <t xml:space="preserve"> — M3(LHD),
</t>
    </r>
    <r>
      <rPr>
        <b/>
        <sz val="8"/>
        <color theme="1"/>
        <rFont val="Calibri"/>
        <family val="2"/>
        <charset val="204"/>
        <scheme val="minor"/>
      </rPr>
      <t>0111</t>
    </r>
    <r>
      <rPr>
        <sz val="8"/>
        <color theme="1"/>
        <rFont val="Calibri"/>
        <family val="2"/>
        <charset val="204"/>
        <scheme val="minor"/>
      </rPr>
      <t xml:space="preserve"> — M2(LHD),M3(US),
1</t>
    </r>
    <r>
      <rPr>
        <b/>
        <sz val="8"/>
        <color theme="1"/>
        <rFont val="Calibri"/>
        <family val="2"/>
        <charset val="204"/>
        <scheme val="minor"/>
      </rPr>
      <t>000</t>
    </r>
    <r>
      <rPr>
        <sz val="8"/>
        <color theme="1"/>
        <rFont val="Calibri"/>
        <family val="2"/>
        <charset val="204"/>
        <scheme val="minor"/>
      </rPr>
      <t xml:space="preserve"> — M6(except US),
</t>
    </r>
    <r>
      <rPr>
        <b/>
        <sz val="8"/>
        <color theme="1"/>
        <rFont val="Calibri"/>
        <family val="2"/>
        <charset val="204"/>
        <scheme val="minor"/>
      </rPr>
      <t>1001</t>
    </r>
    <r>
      <rPr>
        <sz val="8"/>
        <color theme="1"/>
        <rFont val="Calibri"/>
        <family val="2"/>
        <charset val="204"/>
        <scheme val="minor"/>
      </rPr>
      <t xml:space="preserve"> — M2(RHD),M6(US)CX3(LHD), MX5(except US),CX5(except US),CX4,CX8,CX9(except US),
</t>
    </r>
    <r>
      <rPr>
        <b/>
        <sz val="8"/>
        <color theme="1"/>
        <rFont val="Calibri"/>
        <family val="2"/>
        <charset val="204"/>
        <scheme val="minor"/>
      </rPr>
      <t>1010</t>
    </r>
    <r>
      <rPr>
        <sz val="8"/>
        <color theme="1"/>
        <rFont val="Calibri"/>
        <family val="2"/>
        <charset val="204"/>
        <scheme val="minor"/>
      </rPr>
      <t xml:space="preserve"> — M3(RHD), MX5(US), CX3(RHD)+(US), CX5(US), CX9(US) </t>
    </r>
  </si>
  <si>
    <t>1=only some in US/China</t>
  </si>
  <si>
    <t>0=HALO/ALH; 1=ALS/AFLS/ALH</t>
  </si>
  <si>
    <t>1=?</t>
  </si>
  <si>
    <t>1 - LED front turn signal lights (HB/WGN only)</t>
  </si>
  <si>
    <r>
      <rPr>
        <b/>
        <sz val="11"/>
        <color theme="1"/>
        <rFont val="Calibri"/>
        <family val="2"/>
        <charset val="204"/>
        <scheme val="minor"/>
      </rPr>
      <t>Bodystyle</t>
    </r>
    <r>
      <rPr>
        <sz val="11"/>
        <color theme="1"/>
        <rFont val="Calibri"/>
        <family val="2"/>
        <charset val="204"/>
        <scheme val="minor"/>
      </rPr>
      <t xml:space="preserve">
     </t>
    </r>
    <r>
      <rPr>
        <i/>
        <sz val="11"/>
        <color theme="1"/>
        <rFont val="Calibri"/>
        <family val="2"/>
        <charset val="204"/>
        <scheme val="minor"/>
      </rPr>
      <t xml:space="preserve"> </t>
    </r>
    <r>
      <rPr>
        <i/>
        <sz val="10"/>
        <color theme="1"/>
        <rFont val="Calibri"/>
        <family val="2"/>
        <charset val="204"/>
        <scheme val="minor"/>
      </rPr>
      <t xml:space="preserve"> b7b6 - values:</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Sedan,
</t>
    </r>
    <r>
      <rPr>
        <b/>
        <sz val="11"/>
        <color theme="1"/>
        <rFont val="Calibri"/>
        <family val="2"/>
        <charset val="204"/>
        <scheme val="minor"/>
      </rPr>
      <t>01</t>
    </r>
    <r>
      <rPr>
        <sz val="11"/>
        <color theme="1"/>
        <rFont val="Calibri"/>
        <family val="2"/>
        <charset val="204"/>
        <scheme val="minor"/>
      </rPr>
      <t xml:space="preserve"> - Hatchback,
</t>
    </r>
    <r>
      <rPr>
        <b/>
        <sz val="11"/>
        <color theme="1"/>
        <rFont val="Calibri"/>
        <family val="2"/>
        <charset val="204"/>
        <scheme val="minor"/>
      </rPr>
      <t>10</t>
    </r>
    <r>
      <rPr>
        <sz val="11"/>
        <color theme="1"/>
        <rFont val="Calibri"/>
        <family val="2"/>
        <charset val="204"/>
        <scheme val="minor"/>
      </rPr>
      <t xml:space="preserve"> - Wagon</t>
    </r>
  </si>
  <si>
    <t>together with b1</t>
  </si>
  <si>
    <t>Related to ADL</t>
  </si>
  <si>
    <t>Related to North American Alarm (7B7-01-01 B1b2=1)</t>
  </si>
  <si>
    <t>1=only when 726-01-01 B1b4=1</t>
  </si>
  <si>
    <r>
      <rPr>
        <b/>
        <sz val="11"/>
        <color theme="1"/>
        <rFont val="Calibri"/>
        <family val="2"/>
        <charset val="204"/>
        <scheme val="minor"/>
      </rPr>
      <t>Brake Light</t>
    </r>
    <r>
      <rPr>
        <sz val="11"/>
        <color theme="1"/>
        <rFont val="Calibri"/>
        <family val="2"/>
        <scheme val="minor"/>
      </rPr>
      <t xml:space="preserve">: 
</t>
    </r>
    <r>
      <rPr>
        <i/>
        <sz val="10"/>
        <color theme="1"/>
        <rFont val="Calibri"/>
        <family val="2"/>
        <charset val="204"/>
        <scheme val="minor"/>
      </rPr>
      <t>b2b1b0 - Value</t>
    </r>
    <r>
      <rPr>
        <sz val="11"/>
        <color theme="1"/>
        <rFont val="Calibri"/>
        <family val="2"/>
        <scheme val="minor"/>
      </rPr>
      <t xml:space="preserve">
</t>
    </r>
    <r>
      <rPr>
        <b/>
        <sz val="11"/>
        <color theme="1"/>
        <rFont val="Calibri"/>
        <family val="2"/>
        <charset val="204"/>
        <scheme val="minor"/>
      </rPr>
      <t xml:space="preserve">100 </t>
    </r>
    <r>
      <rPr>
        <sz val="11"/>
        <color theme="1"/>
        <rFont val="Calibri"/>
        <family val="2"/>
        <scheme val="minor"/>
      </rPr>
      <t xml:space="preserve">- Standard Brake
</t>
    </r>
    <r>
      <rPr>
        <b/>
        <sz val="11"/>
        <color theme="1"/>
        <rFont val="Calibri"/>
        <family val="2"/>
        <charset val="204"/>
        <scheme val="minor"/>
      </rPr>
      <t>101</t>
    </r>
    <r>
      <rPr>
        <sz val="11"/>
        <color theme="1"/>
        <rFont val="Calibri"/>
        <family val="2"/>
        <scheme val="minor"/>
      </rPr>
      <t xml:space="preserve"> - MRCC Brake
</t>
    </r>
    <r>
      <rPr>
        <b/>
        <sz val="11"/>
        <color theme="1"/>
        <rFont val="Calibri"/>
        <family val="2"/>
        <charset val="204"/>
        <scheme val="minor"/>
      </rPr>
      <t>110</t>
    </r>
    <r>
      <rPr>
        <sz val="11"/>
        <color theme="1"/>
        <rFont val="Calibri"/>
        <family val="2"/>
        <scheme val="minor"/>
      </rPr>
      <t xml:space="preserve"> - SCBS Brake</t>
    </r>
  </si>
  <si>
    <r>
      <t>1</t>
    </r>
    <r>
      <rPr>
        <sz val="11"/>
        <color theme="1"/>
        <rFont val="Calibri"/>
        <family val="2"/>
        <charset val="204"/>
        <scheme val="minor"/>
      </rPr>
      <t>=always ON</t>
    </r>
  </si>
  <si>
    <r>
      <rPr>
        <b/>
        <sz val="11"/>
        <color theme="1"/>
        <rFont val="Calibri"/>
        <family val="2"/>
        <charset val="204"/>
        <scheme val="minor"/>
      </rPr>
      <t>Rear Fog Light (light + icon on IC)</t>
    </r>
    <r>
      <rPr>
        <sz val="11"/>
        <color theme="1"/>
        <rFont val="Calibri"/>
        <family val="2"/>
        <scheme val="minor"/>
      </rPr>
      <t xml:space="preserve">: </t>
    </r>
    <r>
      <rPr>
        <b/>
        <sz val="11"/>
        <color theme="1"/>
        <rFont val="Calibri"/>
        <family val="2"/>
        <charset val="204"/>
        <scheme val="minor"/>
      </rPr>
      <t>0</t>
    </r>
    <r>
      <rPr>
        <sz val="11"/>
        <color theme="1"/>
        <rFont val="Calibri"/>
        <family val="2"/>
        <scheme val="minor"/>
      </rPr>
      <t xml:space="preserve"> - Disabled / </t>
    </r>
    <r>
      <rPr>
        <b/>
        <sz val="11"/>
        <color theme="1"/>
        <rFont val="Calibri"/>
        <family val="2"/>
        <charset val="204"/>
        <scheme val="minor"/>
      </rPr>
      <t>1</t>
    </r>
    <r>
      <rPr>
        <sz val="11"/>
        <color theme="1"/>
        <rFont val="Calibri"/>
        <family val="2"/>
        <scheme val="minor"/>
      </rPr>
      <t xml:space="preserve"> - Enabled</t>
    </r>
  </si>
  <si>
    <r>
      <rPr>
        <b/>
        <sz val="11"/>
        <color theme="1"/>
        <rFont val="Calibri"/>
        <family val="2"/>
        <charset val="204"/>
        <scheme val="minor"/>
      </rPr>
      <t>Bonnet Lock</t>
    </r>
    <r>
      <rPr>
        <sz val="11"/>
        <color theme="1"/>
        <rFont val="Calibri"/>
        <family val="2"/>
        <charset val="204"/>
        <scheme val="minor"/>
      </rPr>
      <t xml:space="preserve">: </t>
    </r>
    <r>
      <rPr>
        <b/>
        <sz val="11"/>
        <color theme="1"/>
        <rFont val="Calibri"/>
        <family val="2"/>
        <charset val="204"/>
        <scheme val="minor"/>
      </rPr>
      <t xml:space="preserve">0 </t>
    </r>
    <r>
      <rPr>
        <sz val="11"/>
        <color theme="1"/>
        <rFont val="Calibri"/>
        <family val="2"/>
        <charset val="204"/>
        <scheme val="minor"/>
      </rPr>
      <t>- OFF /</t>
    </r>
    <r>
      <rPr>
        <b/>
        <sz val="11"/>
        <color theme="1"/>
        <rFont val="Calibri"/>
        <family val="2"/>
        <charset val="204"/>
        <scheme val="minor"/>
      </rPr>
      <t xml:space="preserve"> 1</t>
    </r>
    <r>
      <rPr>
        <sz val="11"/>
        <color theme="1"/>
        <rFont val="Calibri"/>
        <family val="2"/>
        <charset val="204"/>
        <scheme val="minor"/>
      </rPr>
      <t xml:space="preserve"> - ON</t>
    </r>
  </si>
  <si>
    <r>
      <t>1</t>
    </r>
    <r>
      <rPr>
        <sz val="11"/>
        <color theme="1"/>
        <rFont val="Calibri"/>
        <family val="2"/>
        <charset val="204"/>
        <scheme val="minor"/>
      </rPr>
      <t>=always used</t>
    </r>
  </si>
  <si>
    <r>
      <t>1=</t>
    </r>
    <r>
      <rPr>
        <sz val="11"/>
        <color theme="1"/>
        <rFont val="Calibri"/>
        <family val="2"/>
        <charset val="204"/>
        <scheme val="minor"/>
      </rPr>
      <t>always used</t>
    </r>
  </si>
  <si>
    <r>
      <rPr>
        <b/>
        <sz val="11"/>
        <color theme="1"/>
        <rFont val="Calibri"/>
        <family val="2"/>
        <charset val="204"/>
        <scheme val="minor"/>
      </rPr>
      <t>1=</t>
    </r>
    <r>
      <rPr>
        <sz val="11"/>
        <color theme="1"/>
        <rFont val="Calibri"/>
        <family val="2"/>
        <charset val="204"/>
        <scheme val="minor"/>
      </rPr>
      <t>M3</t>
    </r>
    <r>
      <rPr>
        <sz val="11"/>
        <color theme="1"/>
        <rFont val="Calibri"/>
        <family val="2"/>
        <scheme val="minor"/>
      </rPr>
      <t xml:space="preserve"> (only in 41/71)</t>
    </r>
  </si>
  <si>
    <r>
      <rPr>
        <b/>
        <sz val="11"/>
        <color theme="1"/>
        <rFont val="Calibri"/>
        <family val="2"/>
        <charset val="204"/>
        <scheme val="minor"/>
      </rPr>
      <t>Horn on Lock (Find My Car)</t>
    </r>
    <r>
      <rPr>
        <sz val="11"/>
        <color theme="1"/>
        <rFont val="Calibri"/>
        <family val="2"/>
        <scheme val="minor"/>
      </rPr>
      <t xml:space="preserve">: </t>
    </r>
    <r>
      <rPr>
        <b/>
        <sz val="11"/>
        <color theme="1"/>
        <rFont val="Calibri"/>
        <family val="2"/>
        <charset val="204"/>
        <scheme val="minor"/>
      </rPr>
      <t>0</t>
    </r>
    <r>
      <rPr>
        <sz val="11"/>
        <color theme="1"/>
        <rFont val="Calibri"/>
        <family val="2"/>
        <scheme val="minor"/>
      </rPr>
      <t xml:space="preserve"> - Disabled / </t>
    </r>
    <r>
      <rPr>
        <b/>
        <sz val="11"/>
        <color theme="1"/>
        <rFont val="Calibri"/>
        <family val="2"/>
        <charset val="204"/>
        <scheme val="minor"/>
      </rPr>
      <t>1</t>
    </r>
    <r>
      <rPr>
        <sz val="11"/>
        <color theme="1"/>
        <rFont val="Calibri"/>
        <family val="2"/>
        <scheme val="minor"/>
      </rPr>
      <t xml:space="preserve"> - Enabled</t>
    </r>
  </si>
  <si>
    <r>
      <rPr>
        <b/>
        <sz val="11"/>
        <color theme="1"/>
        <rFont val="Calibri"/>
        <family val="2"/>
        <charset val="204"/>
        <scheme val="minor"/>
      </rPr>
      <t>Mazda model</t>
    </r>
    <r>
      <rPr>
        <sz val="11"/>
        <color theme="1"/>
        <rFont val="Calibri"/>
        <family val="2"/>
        <charset val="204"/>
        <scheme val="minor"/>
      </rPr>
      <t xml:space="preserve">
</t>
    </r>
    <r>
      <rPr>
        <i/>
        <sz val="10"/>
        <color theme="1"/>
        <rFont val="Calibri"/>
        <family val="2"/>
        <charset val="204"/>
        <scheme val="minor"/>
      </rPr>
      <t>b3b2b1b0 - Value</t>
    </r>
    <r>
      <rPr>
        <sz val="10"/>
        <color theme="1"/>
        <rFont val="Calibri"/>
        <family val="2"/>
        <charset val="204"/>
        <scheme val="minor"/>
      </rPr>
      <t>:</t>
    </r>
    <r>
      <rPr>
        <sz val="11"/>
        <color theme="1"/>
        <rFont val="Calibri"/>
        <family val="2"/>
        <charset val="204"/>
        <scheme val="minor"/>
      </rPr>
      <t xml:space="preserve">
</t>
    </r>
    <r>
      <rPr>
        <b/>
        <sz val="11"/>
        <color theme="1"/>
        <rFont val="Calibri"/>
        <family val="2"/>
        <charset val="204"/>
        <scheme val="minor"/>
      </rPr>
      <t>0001</t>
    </r>
    <r>
      <rPr>
        <sz val="11"/>
        <color theme="1"/>
        <rFont val="Calibri"/>
        <family val="2"/>
        <charset val="204"/>
        <scheme val="minor"/>
      </rPr>
      <t xml:space="preserve"> - CX5-KE (</t>
    </r>
    <r>
      <rPr>
        <sz val="8"/>
        <color theme="1"/>
        <rFont val="Calibri"/>
        <family val="2"/>
        <charset val="204"/>
        <scheme val="minor"/>
      </rPr>
      <t>11</t>
    </r>
    <r>
      <rPr>
        <sz val="11"/>
        <color theme="1"/>
        <rFont val="Calibri"/>
        <family val="2"/>
        <charset val="204"/>
        <scheme val="minor"/>
      </rPr>
      <t>) + B1b1 (</t>
    </r>
    <r>
      <rPr>
        <sz val="8"/>
        <color theme="1"/>
        <rFont val="Calibri"/>
        <family val="2"/>
        <charset val="204"/>
        <scheme val="minor"/>
      </rPr>
      <t>21</t>
    </r>
    <r>
      <rPr>
        <sz val="11"/>
        <color theme="1"/>
        <rFont val="Calibri"/>
        <family val="2"/>
        <charset val="204"/>
        <scheme val="minor"/>
      </rPr>
      <t xml:space="preserve">), CX-9 (2016-17);
</t>
    </r>
    <r>
      <rPr>
        <b/>
        <sz val="11"/>
        <color theme="1"/>
        <rFont val="Calibri"/>
        <family val="2"/>
        <charset val="204"/>
        <scheme val="minor"/>
      </rPr>
      <t>0011</t>
    </r>
    <r>
      <rPr>
        <sz val="11"/>
        <color theme="1"/>
        <rFont val="Calibri"/>
        <family val="2"/>
        <charset val="204"/>
        <scheme val="minor"/>
      </rPr>
      <t xml:space="preserve"> - CX9 (</t>
    </r>
    <r>
      <rPr>
        <sz val="8"/>
        <color theme="1"/>
        <rFont val="Calibri"/>
        <family val="2"/>
        <charset val="204"/>
        <scheme val="minor"/>
      </rPr>
      <t>51</t>
    </r>
    <r>
      <rPr>
        <sz val="11"/>
        <color theme="1"/>
        <rFont val="Calibri"/>
        <family val="2"/>
        <charset val="204"/>
        <scheme val="minor"/>
      </rPr>
      <t>) + B1b1 (</t>
    </r>
    <r>
      <rPr>
        <sz val="8"/>
        <color theme="1"/>
        <rFont val="Calibri"/>
        <family val="2"/>
        <charset val="204"/>
        <scheme val="minor"/>
      </rPr>
      <t>21</t>
    </r>
    <r>
      <rPr>
        <sz val="11"/>
        <color theme="1"/>
        <rFont val="Calibri"/>
        <family val="2"/>
        <charset val="204"/>
        <scheme val="minor"/>
      </rPr>
      <t xml:space="preserve">);
</t>
    </r>
    <r>
      <rPr>
        <b/>
        <sz val="11"/>
        <color theme="1"/>
        <rFont val="Calibri"/>
        <family val="2"/>
        <charset val="204"/>
        <scheme val="minor"/>
      </rPr>
      <t>0100</t>
    </r>
    <r>
      <rPr>
        <sz val="11"/>
        <color theme="1"/>
        <rFont val="Calibri"/>
        <family val="2"/>
        <charset val="204"/>
        <scheme val="minor"/>
      </rPr>
      <t xml:space="preserve"> - M6 (</t>
    </r>
    <r>
      <rPr>
        <sz val="8"/>
        <color theme="1"/>
        <rFont val="Calibri"/>
        <family val="2"/>
        <charset val="204"/>
        <scheme val="minor"/>
      </rPr>
      <t>11,31,51</t>
    </r>
    <r>
      <rPr>
        <sz val="11"/>
        <color theme="1"/>
        <rFont val="Calibri"/>
        <family val="2"/>
        <charset val="204"/>
        <scheme val="minor"/>
      </rPr>
      <t>) + B1b1 (</t>
    </r>
    <r>
      <rPr>
        <sz val="8"/>
        <color theme="1"/>
        <rFont val="Calibri"/>
        <family val="2"/>
        <charset val="204"/>
        <scheme val="minor"/>
      </rPr>
      <t>21</t>
    </r>
    <r>
      <rPr>
        <sz val="11"/>
        <color theme="1"/>
        <rFont val="Calibri"/>
        <family val="2"/>
        <charset val="204"/>
        <scheme val="minor"/>
      </rPr>
      <t xml:space="preserve">);
</t>
    </r>
    <r>
      <rPr>
        <b/>
        <sz val="11"/>
        <color theme="1"/>
        <rFont val="Calibri"/>
        <family val="2"/>
        <charset val="204"/>
        <scheme val="minor"/>
      </rPr>
      <t>0100</t>
    </r>
    <r>
      <rPr>
        <sz val="11"/>
        <color theme="1"/>
        <rFont val="Calibri"/>
        <family val="2"/>
        <charset val="204"/>
        <scheme val="minor"/>
      </rPr>
      <t xml:space="preserve"> - CX5-KF (</t>
    </r>
    <r>
      <rPr>
        <sz val="8"/>
        <color theme="1"/>
        <rFont val="Calibri"/>
        <family val="2"/>
        <charset val="204"/>
        <scheme val="minor"/>
      </rPr>
      <t>11,31,51,61,71</t>
    </r>
    <r>
      <rPr>
        <sz val="11"/>
        <color theme="1"/>
        <rFont val="Calibri"/>
        <family val="2"/>
        <charset val="204"/>
        <scheme val="minor"/>
      </rPr>
      <t>) + B1b1 (</t>
    </r>
    <r>
      <rPr>
        <sz val="8"/>
        <color theme="1"/>
        <rFont val="Calibri"/>
        <family val="2"/>
        <charset val="204"/>
        <scheme val="minor"/>
      </rPr>
      <t>21</t>
    </r>
    <r>
      <rPr>
        <sz val="11"/>
        <color theme="1"/>
        <rFont val="Calibri"/>
        <family val="2"/>
        <charset val="204"/>
        <scheme val="minor"/>
      </rPr>
      <t>), CX8 (</t>
    </r>
    <r>
      <rPr>
        <sz val="8"/>
        <color theme="1"/>
        <rFont val="Calibri"/>
        <family val="2"/>
        <charset val="204"/>
        <scheme val="minor"/>
      </rPr>
      <t>41,71</t>
    </r>
    <r>
      <rPr>
        <sz val="11"/>
        <color theme="1"/>
        <rFont val="Calibri"/>
        <family val="2"/>
        <charset val="204"/>
        <scheme val="minor"/>
      </rPr>
      <t xml:space="preserve">);
</t>
    </r>
    <r>
      <rPr>
        <b/>
        <sz val="11"/>
        <color theme="1"/>
        <rFont val="Calibri"/>
        <family val="2"/>
        <charset val="204"/>
        <scheme val="minor"/>
      </rPr>
      <t>0111</t>
    </r>
    <r>
      <rPr>
        <sz val="11"/>
        <color theme="1"/>
        <rFont val="Calibri"/>
        <family val="2"/>
        <charset val="204"/>
        <scheme val="minor"/>
      </rPr>
      <t xml:space="preserve"> - M6 (</t>
    </r>
    <r>
      <rPr>
        <sz val="8"/>
        <color theme="1"/>
        <rFont val="Calibri"/>
        <family val="2"/>
        <charset val="204"/>
        <scheme val="minor"/>
      </rPr>
      <t>31</t>
    </r>
    <r>
      <rPr>
        <sz val="11"/>
        <color theme="1"/>
        <rFont val="Calibri"/>
        <family val="2"/>
        <charset val="204"/>
        <scheme val="minor"/>
      </rPr>
      <t xml:space="preserve">);
</t>
    </r>
    <r>
      <rPr>
        <b/>
        <sz val="11"/>
        <color theme="1"/>
        <rFont val="Calibri"/>
        <family val="2"/>
        <charset val="204"/>
        <scheme val="minor"/>
      </rPr>
      <t>1001</t>
    </r>
    <r>
      <rPr>
        <sz val="11"/>
        <color theme="1"/>
        <rFont val="Calibri"/>
        <family val="2"/>
        <charset val="204"/>
        <scheme val="minor"/>
      </rPr>
      <t xml:space="preserve"> - M6 (</t>
    </r>
    <r>
      <rPr>
        <sz val="8"/>
        <color theme="1"/>
        <rFont val="Calibri"/>
        <family val="2"/>
        <charset val="204"/>
        <scheme val="minor"/>
      </rPr>
      <t>31,41</t>
    </r>
    <r>
      <rPr>
        <sz val="11"/>
        <color theme="1"/>
        <rFont val="Calibri"/>
        <family val="2"/>
        <charset val="204"/>
        <scheme val="minor"/>
      </rPr>
      <t xml:space="preserve">);
</t>
    </r>
    <r>
      <rPr>
        <b/>
        <sz val="11"/>
        <color theme="1"/>
        <rFont val="Calibri"/>
        <family val="2"/>
        <charset val="204"/>
        <scheme val="minor"/>
      </rPr>
      <t>1010</t>
    </r>
    <r>
      <rPr>
        <sz val="11"/>
        <color theme="1"/>
        <rFont val="Calibri"/>
        <family val="2"/>
        <charset val="204"/>
        <scheme val="minor"/>
      </rPr>
      <t xml:space="preserve"> - M3 (</t>
    </r>
    <r>
      <rPr>
        <sz val="8"/>
        <color theme="1"/>
        <rFont val="Calibri"/>
        <family val="2"/>
        <charset val="204"/>
        <scheme val="minor"/>
      </rPr>
      <t>11,31,61,71</t>
    </r>
    <r>
      <rPr>
        <sz val="11"/>
        <color theme="1"/>
        <rFont val="Calibri"/>
        <family val="2"/>
        <charset val="204"/>
        <scheme val="minor"/>
      </rPr>
      <t>) + B1b1 (</t>
    </r>
    <r>
      <rPr>
        <sz val="8"/>
        <color theme="1"/>
        <rFont val="Calibri"/>
        <family val="2"/>
        <charset val="204"/>
        <scheme val="minor"/>
      </rPr>
      <t>21</t>
    </r>
    <r>
      <rPr>
        <sz val="11"/>
        <color theme="1"/>
        <rFont val="Calibri"/>
        <family val="2"/>
        <charset val="204"/>
        <scheme val="minor"/>
      </rPr>
      <t>) +  b4 (</t>
    </r>
    <r>
      <rPr>
        <sz val="8"/>
        <color theme="1"/>
        <rFont val="Calibri"/>
        <family val="2"/>
        <charset val="204"/>
        <scheme val="minor"/>
      </rPr>
      <t>41,71</t>
    </r>
    <r>
      <rPr>
        <sz val="11"/>
        <color theme="1"/>
        <rFont val="Calibri"/>
        <family val="2"/>
        <charset val="204"/>
        <scheme val="minor"/>
      </rPr>
      <t xml:space="preserve">);
</t>
    </r>
    <r>
      <rPr>
        <b/>
        <sz val="11"/>
        <color theme="1"/>
        <rFont val="Calibri"/>
        <family val="2"/>
        <charset val="204"/>
        <scheme val="minor"/>
      </rPr>
      <t>1100</t>
    </r>
    <r>
      <rPr>
        <sz val="11"/>
        <color theme="1"/>
        <rFont val="Calibri"/>
        <family val="2"/>
        <charset val="204"/>
        <scheme val="minor"/>
      </rPr>
      <t xml:space="preserve"> - M3 (</t>
    </r>
    <r>
      <rPr>
        <sz val="8"/>
        <color theme="1"/>
        <rFont val="Calibri"/>
        <family val="2"/>
        <charset val="204"/>
        <scheme val="minor"/>
      </rPr>
      <t>only w/B1b1=0</t>
    </r>
    <r>
      <rPr>
        <sz val="11"/>
        <color theme="1"/>
        <rFont val="Calibri"/>
        <family val="2"/>
        <charset val="204"/>
        <scheme val="minor"/>
      </rPr>
      <t xml:space="preserve">);
</t>
    </r>
    <r>
      <rPr>
        <b/>
        <sz val="11"/>
        <color theme="1"/>
        <rFont val="Calibri"/>
        <family val="2"/>
        <charset val="204"/>
        <scheme val="minor"/>
      </rPr>
      <t>1101</t>
    </r>
    <r>
      <rPr>
        <sz val="11"/>
        <color theme="1"/>
        <rFont val="Calibri"/>
        <family val="2"/>
        <charset val="204"/>
        <scheme val="minor"/>
      </rPr>
      <t xml:space="preserve"> - CX4 (</t>
    </r>
    <r>
      <rPr>
        <sz val="8"/>
        <color theme="1"/>
        <rFont val="Calibri"/>
        <family val="2"/>
        <charset val="204"/>
        <scheme val="minor"/>
      </rPr>
      <t>84</t>
    </r>
    <r>
      <rPr>
        <sz val="11"/>
        <color theme="1"/>
        <rFont val="Calibri"/>
        <family val="2"/>
        <charset val="204"/>
        <scheme val="minor"/>
      </rPr>
      <t>)</t>
    </r>
  </si>
  <si>
    <r>
      <rPr>
        <b/>
        <sz val="11"/>
        <color theme="1"/>
        <rFont val="Calibri"/>
        <family val="2"/>
        <charset val="204"/>
        <scheme val="minor"/>
      </rPr>
      <t>Bodystyle division:</t>
    </r>
    <r>
      <rPr>
        <sz val="11"/>
        <color theme="1"/>
        <rFont val="Calibri"/>
        <family val="2"/>
        <charset val="204"/>
        <scheme val="minor"/>
      </rPr>
      <t xml:space="preserve">
</t>
    </r>
    <r>
      <rPr>
        <i/>
        <sz val="10"/>
        <color theme="1"/>
        <rFont val="Calibri"/>
        <family val="2"/>
        <charset val="204"/>
        <scheme val="minor"/>
      </rPr>
      <t>b7b6b5b4 - Value</t>
    </r>
    <r>
      <rPr>
        <sz val="10"/>
        <color theme="1"/>
        <rFont val="Calibri"/>
        <family val="2"/>
        <charset val="204"/>
        <scheme val="minor"/>
      </rPr>
      <t>:</t>
    </r>
    <r>
      <rPr>
        <sz val="11"/>
        <color theme="1"/>
        <rFont val="Calibri"/>
        <family val="2"/>
        <charset val="204"/>
        <scheme val="minor"/>
      </rPr>
      <t xml:space="preserve">
</t>
    </r>
    <r>
      <rPr>
        <b/>
        <sz val="11"/>
        <color theme="1"/>
        <rFont val="Calibri"/>
        <family val="2"/>
        <charset val="204"/>
        <scheme val="minor"/>
      </rPr>
      <t xml:space="preserve">0000 - </t>
    </r>
    <r>
      <rPr>
        <sz val="11"/>
        <color theme="1"/>
        <rFont val="Calibri"/>
        <family val="2"/>
        <charset val="204"/>
        <scheme val="minor"/>
      </rPr>
      <t>SD-M6/SD-M3/HB-M3 (except with B1b2=1);</t>
    </r>
    <r>
      <rPr>
        <b/>
        <sz val="11"/>
        <color theme="1"/>
        <rFont val="Calibri"/>
        <family val="2"/>
        <charset val="204"/>
        <scheme val="minor"/>
      </rPr>
      <t xml:space="preserve">
0010 - </t>
    </r>
    <r>
      <rPr>
        <sz val="11"/>
        <color theme="1"/>
        <rFont val="Calibri"/>
        <family val="2"/>
        <charset val="204"/>
        <scheme val="minor"/>
      </rPr>
      <t>SD-M6 (only with B1b2=1);</t>
    </r>
    <r>
      <rPr>
        <b/>
        <sz val="11"/>
        <color theme="1"/>
        <rFont val="Calibri"/>
        <family val="2"/>
        <charset val="204"/>
        <scheme val="minor"/>
      </rPr>
      <t xml:space="preserve">
0100 - </t>
    </r>
    <r>
      <rPr>
        <sz val="11"/>
        <color theme="1"/>
        <rFont val="Calibri"/>
        <family val="2"/>
        <charset val="204"/>
        <scheme val="minor"/>
      </rPr>
      <t>HB-M3 (only with B1b2=1);</t>
    </r>
    <r>
      <rPr>
        <b/>
        <sz val="11"/>
        <color theme="1"/>
        <rFont val="Calibri"/>
        <family val="2"/>
        <charset val="204"/>
        <scheme val="minor"/>
      </rPr>
      <t xml:space="preserve">
0111 - </t>
    </r>
    <r>
      <rPr>
        <sz val="11"/>
        <color theme="1"/>
        <rFont val="Calibri"/>
        <family val="2"/>
        <charset val="204"/>
        <scheme val="minor"/>
      </rPr>
      <t xml:space="preserve">HB-M3 (41,71);
</t>
    </r>
    <r>
      <rPr>
        <b/>
        <sz val="11"/>
        <color theme="1"/>
        <rFont val="Calibri"/>
        <family val="2"/>
        <charset val="204"/>
        <scheme val="minor"/>
      </rPr>
      <t>1100</t>
    </r>
    <r>
      <rPr>
        <sz val="11"/>
        <color theme="1"/>
        <rFont val="Calibri"/>
        <family val="2"/>
        <charset val="204"/>
        <scheme val="minor"/>
      </rPr>
      <t xml:space="preserve"> - WGN</t>
    </r>
  </si>
  <si>
    <r>
      <rPr>
        <b/>
        <sz val="11"/>
        <color theme="1"/>
        <rFont val="Calibri"/>
        <family val="2"/>
        <charset val="204"/>
        <scheme val="minor"/>
      </rPr>
      <t>Lighting - Coming Home Light</t>
    </r>
    <r>
      <rPr>
        <sz val="11"/>
        <color theme="1"/>
        <rFont val="Calibri"/>
        <family val="2"/>
        <scheme val="minor"/>
      </rPr>
      <t xml:space="preserve"> (Default setting): 
</t>
    </r>
    <r>
      <rPr>
        <i/>
        <sz val="9"/>
        <color theme="1"/>
        <rFont val="Calibri"/>
        <family val="2"/>
        <charset val="204"/>
        <scheme val="minor"/>
      </rPr>
      <t>b7b6b5 - Value</t>
    </r>
    <r>
      <rPr>
        <sz val="11"/>
        <color theme="1"/>
        <rFont val="Calibri"/>
        <family val="2"/>
        <scheme val="minor"/>
      </rPr>
      <t xml:space="preserve">
</t>
    </r>
    <r>
      <rPr>
        <b/>
        <sz val="11"/>
        <color theme="1"/>
        <rFont val="Calibri"/>
        <family val="2"/>
        <charset val="204"/>
        <scheme val="minor"/>
      </rPr>
      <t>000</t>
    </r>
    <r>
      <rPr>
        <sz val="11"/>
        <color theme="1"/>
        <rFont val="Calibri"/>
        <family val="2"/>
        <scheme val="minor"/>
      </rPr>
      <t xml:space="preserve"> - Off
</t>
    </r>
    <r>
      <rPr>
        <b/>
        <sz val="11"/>
        <color theme="1"/>
        <rFont val="Calibri"/>
        <family val="2"/>
        <charset val="204"/>
        <scheme val="minor"/>
      </rPr>
      <t>001</t>
    </r>
    <r>
      <rPr>
        <sz val="11"/>
        <color theme="1"/>
        <rFont val="Calibri"/>
        <family val="2"/>
        <scheme val="minor"/>
      </rPr>
      <t xml:space="preserve"> - 30 s
</t>
    </r>
    <r>
      <rPr>
        <b/>
        <sz val="11"/>
        <color theme="1"/>
        <rFont val="Calibri"/>
        <family val="2"/>
        <charset val="204"/>
        <scheme val="minor"/>
      </rPr>
      <t>010</t>
    </r>
    <r>
      <rPr>
        <sz val="11"/>
        <color theme="1"/>
        <rFont val="Calibri"/>
        <family val="2"/>
        <scheme val="minor"/>
      </rPr>
      <t xml:space="preserve"> - 60 s
</t>
    </r>
    <r>
      <rPr>
        <b/>
        <sz val="11"/>
        <color theme="1"/>
        <rFont val="Calibri"/>
        <family val="2"/>
        <charset val="204"/>
        <scheme val="minor"/>
      </rPr>
      <t>011</t>
    </r>
    <r>
      <rPr>
        <sz val="11"/>
        <color theme="1"/>
        <rFont val="Calibri"/>
        <family val="2"/>
        <scheme val="minor"/>
      </rPr>
      <t xml:space="preserve"> - 90 s
</t>
    </r>
    <r>
      <rPr>
        <b/>
        <sz val="11"/>
        <color theme="1"/>
        <rFont val="Calibri"/>
        <family val="2"/>
        <charset val="204"/>
        <scheme val="minor"/>
      </rPr>
      <t>100</t>
    </r>
    <r>
      <rPr>
        <sz val="11"/>
        <color theme="1"/>
        <rFont val="Calibri"/>
        <family val="2"/>
        <scheme val="minor"/>
      </rPr>
      <t xml:space="preserve"> - 120 s</t>
    </r>
  </si>
  <si>
    <r>
      <rPr>
        <b/>
        <sz val="11"/>
        <color theme="1"/>
        <rFont val="Calibri"/>
        <family val="2"/>
        <charset val="204"/>
        <scheme val="minor"/>
      </rPr>
      <t>Lighting - Headlight Off Timer</t>
    </r>
    <r>
      <rPr>
        <sz val="11"/>
        <color theme="1"/>
        <rFont val="Calibri"/>
        <family val="2"/>
        <scheme val="minor"/>
      </rPr>
      <t xml:space="preserve">: </t>
    </r>
    <r>
      <rPr>
        <b/>
        <sz val="11"/>
        <color theme="1"/>
        <rFont val="Calibri"/>
        <family val="2"/>
        <charset val="204"/>
        <scheme val="minor"/>
      </rPr>
      <t>0</t>
    </r>
    <r>
      <rPr>
        <sz val="11"/>
        <color theme="1"/>
        <rFont val="Calibri"/>
        <family val="2"/>
        <scheme val="minor"/>
      </rPr>
      <t xml:space="preserve"> - Show / </t>
    </r>
    <r>
      <rPr>
        <b/>
        <sz val="11"/>
        <color theme="1"/>
        <rFont val="Calibri"/>
        <family val="2"/>
        <charset val="204"/>
        <scheme val="minor"/>
      </rPr>
      <t>1</t>
    </r>
    <r>
      <rPr>
        <sz val="11"/>
        <color theme="1"/>
        <rFont val="Calibri"/>
        <family val="2"/>
        <scheme val="minor"/>
      </rPr>
      <t xml:space="preserve"> - Hide</t>
    </r>
  </si>
  <si>
    <r>
      <rPr>
        <b/>
        <sz val="11"/>
        <color theme="1"/>
        <rFont val="Calibri"/>
        <family val="2"/>
        <charset val="204"/>
        <scheme val="minor"/>
      </rPr>
      <t>Turn - 3-Flash Indicator</t>
    </r>
    <r>
      <rPr>
        <sz val="11"/>
        <color theme="1"/>
        <rFont val="Calibri"/>
        <family val="2"/>
        <scheme val="minor"/>
      </rPr>
      <t xml:space="preserve"> (Default setting): </t>
    </r>
    <r>
      <rPr>
        <b/>
        <sz val="11"/>
        <color theme="1"/>
        <rFont val="Calibri"/>
        <family val="2"/>
        <charset val="204"/>
        <scheme val="minor"/>
      </rPr>
      <t>0</t>
    </r>
    <r>
      <rPr>
        <sz val="11"/>
        <color theme="1"/>
        <rFont val="Calibri"/>
        <family val="2"/>
        <scheme val="minor"/>
      </rPr>
      <t xml:space="preserve"> - Disabled / </t>
    </r>
    <r>
      <rPr>
        <b/>
        <sz val="11"/>
        <color theme="1"/>
        <rFont val="Calibri"/>
        <family val="2"/>
        <charset val="204"/>
        <scheme val="minor"/>
      </rPr>
      <t>1</t>
    </r>
    <r>
      <rPr>
        <sz val="11"/>
        <color theme="1"/>
        <rFont val="Calibri"/>
        <family val="2"/>
        <scheme val="minor"/>
      </rPr>
      <t xml:space="preserve"> - Enabled</t>
    </r>
  </si>
  <si>
    <r>
      <rPr>
        <b/>
        <sz val="11"/>
        <color theme="1"/>
        <rFont val="Calibri"/>
        <family val="2"/>
        <charset val="204"/>
        <scheme val="minor"/>
      </rPr>
      <t>Turn - 3-Flash Indicator</t>
    </r>
    <r>
      <rPr>
        <sz val="11"/>
        <color theme="1"/>
        <rFont val="Calibri"/>
        <family val="2"/>
        <scheme val="minor"/>
      </rPr>
      <t xml:space="preserve">: </t>
    </r>
    <r>
      <rPr>
        <b/>
        <sz val="11"/>
        <color theme="1"/>
        <rFont val="Calibri"/>
        <family val="2"/>
        <charset val="204"/>
        <scheme val="minor"/>
      </rPr>
      <t xml:space="preserve">0 </t>
    </r>
    <r>
      <rPr>
        <sz val="11"/>
        <color theme="1"/>
        <rFont val="Calibri"/>
        <family val="2"/>
        <scheme val="minor"/>
      </rPr>
      <t xml:space="preserve">- Show / </t>
    </r>
    <r>
      <rPr>
        <b/>
        <sz val="11"/>
        <color theme="1"/>
        <rFont val="Calibri"/>
        <family val="2"/>
        <charset val="204"/>
        <scheme val="minor"/>
      </rPr>
      <t>1</t>
    </r>
    <r>
      <rPr>
        <sz val="11"/>
        <color theme="1"/>
        <rFont val="Calibri"/>
        <family val="2"/>
        <scheme val="minor"/>
      </rPr>
      <t xml:space="preserve"> - Hide</t>
    </r>
  </si>
  <si>
    <r>
      <rPr>
        <b/>
        <sz val="11"/>
        <color theme="1"/>
        <rFont val="Calibri"/>
        <family val="2"/>
        <charset val="204"/>
        <scheme val="minor"/>
      </rPr>
      <t>Rain Sensing Wiper</t>
    </r>
    <r>
      <rPr>
        <sz val="11"/>
        <color theme="1"/>
        <rFont val="Calibri"/>
        <family val="2"/>
        <scheme val="minor"/>
      </rPr>
      <t xml:space="preserve"> (Default setting): </t>
    </r>
    <r>
      <rPr>
        <b/>
        <sz val="11"/>
        <color theme="1"/>
        <rFont val="Calibri"/>
        <family val="2"/>
        <charset val="204"/>
        <scheme val="minor"/>
      </rPr>
      <t>0</t>
    </r>
    <r>
      <rPr>
        <sz val="11"/>
        <color theme="1"/>
        <rFont val="Calibri"/>
        <family val="2"/>
        <scheme val="minor"/>
      </rPr>
      <t xml:space="preserve"> - Disabled / </t>
    </r>
    <r>
      <rPr>
        <b/>
        <sz val="11"/>
        <color theme="1"/>
        <rFont val="Calibri"/>
        <family val="2"/>
        <charset val="204"/>
        <scheme val="minor"/>
      </rPr>
      <t>1</t>
    </r>
    <r>
      <rPr>
        <sz val="11"/>
        <color theme="1"/>
        <rFont val="Calibri"/>
        <family val="2"/>
        <scheme val="minor"/>
      </rPr>
      <t xml:space="preserve"> - Enabled</t>
    </r>
  </si>
  <si>
    <r>
      <rPr>
        <b/>
        <sz val="11"/>
        <color theme="1"/>
        <rFont val="Calibri"/>
        <family val="2"/>
        <charset val="204"/>
        <scheme val="minor"/>
      </rPr>
      <t>Rain Sensing Wiper</t>
    </r>
    <r>
      <rPr>
        <sz val="11"/>
        <color theme="1"/>
        <rFont val="Calibri"/>
        <family val="2"/>
        <scheme val="minor"/>
      </rPr>
      <t xml:space="preserve">: </t>
    </r>
    <r>
      <rPr>
        <b/>
        <sz val="11"/>
        <color theme="1"/>
        <rFont val="Calibri"/>
        <family val="2"/>
        <charset val="204"/>
        <scheme val="minor"/>
      </rPr>
      <t>0</t>
    </r>
    <r>
      <rPr>
        <sz val="11"/>
        <color theme="1"/>
        <rFont val="Calibri"/>
        <family val="2"/>
        <scheme val="minor"/>
      </rPr>
      <t xml:space="preserve"> - Show / </t>
    </r>
    <r>
      <rPr>
        <b/>
        <sz val="11"/>
        <color theme="1"/>
        <rFont val="Calibri"/>
        <family val="2"/>
        <charset val="204"/>
        <scheme val="minor"/>
      </rPr>
      <t>1</t>
    </r>
    <r>
      <rPr>
        <sz val="11"/>
        <color theme="1"/>
        <rFont val="Calibri"/>
        <family val="2"/>
        <scheme val="minor"/>
      </rPr>
      <t xml:space="preserve"> - Hide</t>
    </r>
  </si>
  <si>
    <r>
      <rPr>
        <b/>
        <sz val="11"/>
        <color theme="1"/>
        <rFont val="Calibri"/>
        <family val="2"/>
        <charset val="204"/>
        <scheme val="minor"/>
      </rPr>
      <t>Lighting - Auto Headlight On</t>
    </r>
    <r>
      <rPr>
        <sz val="11"/>
        <color theme="1"/>
        <rFont val="Calibri"/>
        <family val="2"/>
        <scheme val="minor"/>
      </rPr>
      <t xml:space="preserve"> (Default setting):
</t>
    </r>
    <r>
      <rPr>
        <i/>
        <sz val="10"/>
        <color theme="1"/>
        <rFont val="Calibri"/>
        <family val="2"/>
        <charset val="204"/>
        <scheme val="minor"/>
      </rPr>
      <t>b4b3 - Value</t>
    </r>
    <r>
      <rPr>
        <sz val="11"/>
        <color theme="1"/>
        <rFont val="Calibri"/>
        <family val="2"/>
        <scheme val="minor"/>
      </rPr>
      <t xml:space="preserve">
</t>
    </r>
    <r>
      <rPr>
        <b/>
        <sz val="11"/>
        <color theme="1"/>
        <rFont val="Calibri"/>
        <family val="2"/>
        <charset val="204"/>
        <scheme val="minor"/>
      </rPr>
      <t>00</t>
    </r>
    <r>
      <rPr>
        <sz val="11"/>
        <color theme="1"/>
        <rFont val="Calibri"/>
        <family val="2"/>
        <scheme val="minor"/>
      </rPr>
      <t xml:space="preserve"> - Low
</t>
    </r>
    <r>
      <rPr>
        <b/>
        <sz val="11"/>
        <color theme="1"/>
        <rFont val="Calibri"/>
        <family val="2"/>
        <charset val="204"/>
        <scheme val="minor"/>
      </rPr>
      <t>01</t>
    </r>
    <r>
      <rPr>
        <sz val="11"/>
        <color theme="1"/>
        <rFont val="Calibri"/>
        <family val="2"/>
        <scheme val="minor"/>
      </rPr>
      <t xml:space="preserve"> - Med. Low
</t>
    </r>
    <r>
      <rPr>
        <b/>
        <sz val="11"/>
        <color theme="1"/>
        <rFont val="Calibri"/>
        <family val="2"/>
        <charset val="204"/>
        <scheme val="minor"/>
      </rPr>
      <t>10</t>
    </r>
    <r>
      <rPr>
        <sz val="11"/>
        <color theme="1"/>
        <rFont val="Calibri"/>
        <family val="2"/>
        <scheme val="minor"/>
      </rPr>
      <t xml:space="preserve"> - Medium
</t>
    </r>
    <r>
      <rPr>
        <b/>
        <sz val="11"/>
        <color theme="1"/>
        <rFont val="Calibri"/>
        <family val="2"/>
        <charset val="204"/>
        <scheme val="minor"/>
      </rPr>
      <t>11</t>
    </r>
    <r>
      <rPr>
        <sz val="11"/>
        <color theme="1"/>
        <rFont val="Calibri"/>
        <family val="2"/>
        <scheme val="minor"/>
      </rPr>
      <t xml:space="preserve"> -  Med. High</t>
    </r>
  </si>
  <si>
    <r>
      <rPr>
        <b/>
        <sz val="11"/>
        <color theme="1"/>
        <rFont val="Calibri"/>
        <family val="2"/>
        <charset val="204"/>
        <scheme val="minor"/>
      </rPr>
      <t>Lighting - Auto Headlight On</t>
    </r>
    <r>
      <rPr>
        <sz val="11"/>
        <color theme="1"/>
        <rFont val="Calibri"/>
        <family val="2"/>
        <scheme val="minor"/>
      </rPr>
      <t xml:space="preserve">: </t>
    </r>
    <r>
      <rPr>
        <b/>
        <sz val="11"/>
        <color theme="1"/>
        <rFont val="Calibri"/>
        <family val="2"/>
        <charset val="204"/>
        <scheme val="minor"/>
      </rPr>
      <t>0</t>
    </r>
    <r>
      <rPr>
        <sz val="11"/>
        <color theme="1"/>
        <rFont val="Calibri"/>
        <family val="2"/>
        <scheme val="minor"/>
      </rPr>
      <t xml:space="preserve"> - Show / </t>
    </r>
    <r>
      <rPr>
        <b/>
        <sz val="11"/>
        <color theme="1"/>
        <rFont val="Calibri"/>
        <family val="2"/>
        <charset val="204"/>
        <scheme val="minor"/>
      </rPr>
      <t>1</t>
    </r>
    <r>
      <rPr>
        <sz val="11"/>
        <color theme="1"/>
        <rFont val="Calibri"/>
        <family val="2"/>
        <scheme val="minor"/>
      </rPr>
      <t xml:space="preserve"> - Hide</t>
    </r>
  </si>
  <si>
    <r>
      <rPr>
        <b/>
        <sz val="11"/>
        <color theme="1"/>
        <rFont val="Calibri"/>
        <family val="2"/>
        <charset val="204"/>
        <scheme val="minor"/>
      </rPr>
      <t>Lighting - Leaving Home Light</t>
    </r>
    <r>
      <rPr>
        <sz val="11"/>
        <color theme="1"/>
        <rFont val="Calibri"/>
        <family val="2"/>
        <scheme val="minor"/>
      </rPr>
      <t xml:space="preserve"> (Default setting): </t>
    </r>
    <r>
      <rPr>
        <b/>
        <sz val="11"/>
        <color theme="1"/>
        <rFont val="Calibri"/>
        <family val="2"/>
        <charset val="204"/>
        <scheme val="minor"/>
      </rPr>
      <t>0</t>
    </r>
    <r>
      <rPr>
        <sz val="11"/>
        <color theme="1"/>
        <rFont val="Calibri"/>
        <family val="2"/>
        <scheme val="minor"/>
      </rPr>
      <t xml:space="preserve"> - Disabled / </t>
    </r>
    <r>
      <rPr>
        <b/>
        <sz val="11"/>
        <color theme="1"/>
        <rFont val="Calibri"/>
        <family val="2"/>
        <charset val="204"/>
        <scheme val="minor"/>
      </rPr>
      <t>1</t>
    </r>
    <r>
      <rPr>
        <sz val="11"/>
        <color theme="1"/>
        <rFont val="Calibri"/>
        <family val="2"/>
        <scheme val="minor"/>
      </rPr>
      <t xml:space="preserve"> - Enabled</t>
    </r>
  </si>
  <si>
    <r>
      <rPr>
        <b/>
        <sz val="11"/>
        <color theme="1"/>
        <rFont val="Calibri"/>
        <family val="2"/>
        <charset val="204"/>
        <scheme val="minor"/>
      </rPr>
      <t>Lighting - Interior Light</t>
    </r>
    <r>
      <rPr>
        <sz val="11"/>
        <color theme="1"/>
        <rFont val="Calibri"/>
        <family val="2"/>
        <charset val="204"/>
        <scheme val="minor"/>
      </rPr>
      <t xml:space="preserve">: </t>
    </r>
    <r>
      <rPr>
        <b/>
        <sz val="11"/>
        <color theme="1"/>
        <rFont val="Calibri"/>
        <family val="2"/>
        <charset val="204"/>
        <scheme val="minor"/>
      </rPr>
      <t>1</t>
    </r>
    <r>
      <rPr>
        <sz val="11"/>
        <color theme="1"/>
        <rFont val="Calibri"/>
        <family val="2"/>
        <charset val="204"/>
        <scheme val="minor"/>
      </rPr>
      <t xml:space="preserve"> - Show / </t>
    </r>
    <r>
      <rPr>
        <b/>
        <sz val="11"/>
        <color theme="1"/>
        <rFont val="Calibri"/>
        <family val="2"/>
        <charset val="204"/>
        <scheme val="minor"/>
      </rPr>
      <t>0</t>
    </r>
    <r>
      <rPr>
        <sz val="11"/>
        <color theme="1"/>
        <rFont val="Calibri"/>
        <family val="2"/>
        <charset val="204"/>
        <scheme val="minor"/>
      </rPr>
      <t xml:space="preserve"> - Hide</t>
    </r>
  </si>
  <si>
    <r>
      <rPr>
        <b/>
        <sz val="11"/>
        <color theme="1"/>
        <rFont val="Calibri"/>
        <family val="2"/>
        <charset val="204"/>
        <scheme val="minor"/>
      </rPr>
      <t>Lighting - Coming/Leaving Home Light</t>
    </r>
    <r>
      <rPr>
        <sz val="11"/>
        <color theme="1"/>
        <rFont val="Calibri"/>
        <family val="2"/>
        <scheme val="minor"/>
      </rPr>
      <t xml:space="preserve">: </t>
    </r>
    <r>
      <rPr>
        <b/>
        <sz val="11"/>
        <color theme="1"/>
        <rFont val="Calibri"/>
        <family val="2"/>
        <charset val="204"/>
        <scheme val="minor"/>
      </rPr>
      <t>0</t>
    </r>
    <r>
      <rPr>
        <sz val="11"/>
        <color theme="1"/>
        <rFont val="Calibri"/>
        <family val="2"/>
        <scheme val="minor"/>
      </rPr>
      <t xml:space="preserve"> - Hide / </t>
    </r>
    <r>
      <rPr>
        <b/>
        <sz val="11"/>
        <color theme="1"/>
        <rFont val="Calibri"/>
        <family val="2"/>
        <charset val="204"/>
        <scheme val="minor"/>
      </rPr>
      <t>1</t>
    </r>
    <r>
      <rPr>
        <sz val="11"/>
        <color theme="1"/>
        <rFont val="Calibri"/>
        <family val="2"/>
        <scheme val="minor"/>
      </rPr>
      <t xml:space="preserve"> - Show</t>
    </r>
  </si>
  <si>
    <r>
      <rPr>
        <b/>
        <sz val="11"/>
        <color theme="1"/>
        <rFont val="Calibri"/>
        <family val="2"/>
        <charset val="204"/>
        <scheme val="minor"/>
      </rPr>
      <t>Lighting - Interior Light Timeout-Door Close</t>
    </r>
    <r>
      <rPr>
        <sz val="11"/>
        <color theme="1"/>
        <rFont val="Calibri"/>
        <family val="2"/>
        <scheme val="minor"/>
      </rPr>
      <t xml:space="preserve">:
</t>
    </r>
    <r>
      <rPr>
        <i/>
        <sz val="10"/>
        <color theme="1"/>
        <rFont val="Calibri"/>
        <family val="2"/>
        <charset val="204"/>
        <scheme val="minor"/>
      </rPr>
      <t>b7b6b5 - Value</t>
    </r>
    <r>
      <rPr>
        <sz val="11"/>
        <color theme="1"/>
        <rFont val="Calibri"/>
        <family val="2"/>
        <scheme val="minor"/>
      </rPr>
      <t xml:space="preserve">
</t>
    </r>
    <r>
      <rPr>
        <b/>
        <sz val="11"/>
        <color theme="1"/>
        <rFont val="Calibri"/>
        <family val="2"/>
        <charset val="204"/>
        <scheme val="minor"/>
      </rPr>
      <t>000</t>
    </r>
    <r>
      <rPr>
        <sz val="11"/>
        <color theme="1"/>
        <rFont val="Calibri"/>
        <family val="2"/>
        <scheme val="minor"/>
      </rPr>
      <t xml:space="preserve"> - NA
</t>
    </r>
    <r>
      <rPr>
        <b/>
        <sz val="11"/>
        <color theme="1"/>
        <rFont val="Calibri"/>
        <family val="2"/>
        <charset val="204"/>
        <scheme val="minor"/>
      </rPr>
      <t>001</t>
    </r>
    <r>
      <rPr>
        <sz val="11"/>
        <color theme="1"/>
        <rFont val="Calibri"/>
        <family val="2"/>
        <scheme val="minor"/>
      </rPr>
      <t xml:space="preserve"> - 15 seconds
</t>
    </r>
    <r>
      <rPr>
        <b/>
        <sz val="11"/>
        <color theme="1"/>
        <rFont val="Calibri"/>
        <family val="2"/>
        <charset val="204"/>
        <scheme val="minor"/>
      </rPr>
      <t>010</t>
    </r>
    <r>
      <rPr>
        <sz val="11"/>
        <color theme="1"/>
        <rFont val="Calibri"/>
        <family val="2"/>
        <scheme val="minor"/>
      </rPr>
      <t xml:space="preserve"> - 1,5 seconds
</t>
    </r>
    <r>
      <rPr>
        <b/>
        <sz val="11"/>
        <color theme="1"/>
        <rFont val="Calibri"/>
        <family val="2"/>
        <charset val="204"/>
        <scheme val="minor"/>
      </rPr>
      <t>011</t>
    </r>
    <r>
      <rPr>
        <sz val="11"/>
        <color theme="1"/>
        <rFont val="Calibri"/>
        <family val="2"/>
        <scheme val="minor"/>
      </rPr>
      <t xml:space="preserve"> - 30 seconds
</t>
    </r>
    <r>
      <rPr>
        <b/>
        <sz val="11"/>
        <color theme="1"/>
        <rFont val="Calibri"/>
        <family val="2"/>
        <charset val="204"/>
        <scheme val="minor"/>
      </rPr>
      <t>100</t>
    </r>
    <r>
      <rPr>
        <sz val="11"/>
        <color theme="1"/>
        <rFont val="Calibri"/>
        <family val="2"/>
        <scheme val="minor"/>
      </rPr>
      <t xml:space="preserve"> - 60 seconds</t>
    </r>
  </si>
  <si>
    <r>
      <rPr>
        <b/>
        <sz val="11"/>
        <color theme="1"/>
        <rFont val="Calibri"/>
        <family val="2"/>
        <charset val="204"/>
        <scheme val="minor"/>
      </rPr>
      <t xml:space="preserve">Lighting - Interior Light Timeout-Door Open:
</t>
    </r>
    <r>
      <rPr>
        <i/>
        <sz val="10"/>
        <color theme="1"/>
        <rFont val="Calibri"/>
        <family val="2"/>
        <charset val="204"/>
        <scheme val="minor"/>
      </rPr>
      <t>b4b3 - Value</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N/A
</t>
    </r>
    <r>
      <rPr>
        <b/>
        <sz val="11"/>
        <color theme="1"/>
        <rFont val="Calibri"/>
        <family val="2"/>
        <charset val="204"/>
        <scheme val="minor"/>
      </rPr>
      <t>01</t>
    </r>
    <r>
      <rPr>
        <sz val="11"/>
        <color theme="1"/>
        <rFont val="Calibri"/>
        <family val="2"/>
        <charset val="204"/>
        <scheme val="minor"/>
      </rPr>
      <t xml:space="preserve"> - 30 min
</t>
    </r>
    <r>
      <rPr>
        <b/>
        <sz val="11"/>
        <color theme="1"/>
        <rFont val="Calibri"/>
        <family val="2"/>
        <charset val="204"/>
        <scheme val="minor"/>
      </rPr>
      <t>10</t>
    </r>
    <r>
      <rPr>
        <sz val="11"/>
        <color theme="1"/>
        <rFont val="Calibri"/>
        <family val="2"/>
        <charset val="204"/>
        <scheme val="minor"/>
      </rPr>
      <t xml:space="preserve"> - 60 min
</t>
    </r>
    <r>
      <rPr>
        <b/>
        <sz val="11"/>
        <color theme="1"/>
        <rFont val="Calibri"/>
        <family val="2"/>
        <charset val="204"/>
        <scheme val="minor"/>
      </rPr>
      <t>11</t>
    </r>
    <r>
      <rPr>
        <sz val="11"/>
        <color theme="1"/>
        <rFont val="Calibri"/>
        <family val="2"/>
        <charset val="204"/>
        <scheme val="minor"/>
      </rPr>
      <t xml:space="preserve"> - 10 min</t>
    </r>
  </si>
  <si>
    <r>
      <rPr>
        <b/>
        <sz val="11"/>
        <color theme="1"/>
        <rFont val="Calibri"/>
        <family val="2"/>
        <charset val="204"/>
        <scheme val="minor"/>
      </rPr>
      <t>Lighting - Interior Light</t>
    </r>
    <r>
      <rPr>
        <sz val="11"/>
        <color theme="1"/>
        <rFont val="Calibri"/>
        <family val="2"/>
        <charset val="204"/>
        <scheme val="minor"/>
      </rPr>
      <t xml:space="preserve">:
</t>
    </r>
    <r>
      <rPr>
        <i/>
        <sz val="10"/>
        <color theme="1"/>
        <rFont val="Calibri"/>
        <family val="2"/>
        <charset val="204"/>
        <scheme val="minor"/>
      </rPr>
      <t>b2b1b0 - Value:</t>
    </r>
    <r>
      <rPr>
        <sz val="11"/>
        <color theme="1"/>
        <rFont val="Calibri"/>
        <family val="2"/>
        <charset val="204"/>
        <scheme val="minor"/>
      </rPr>
      <t xml:space="preserve">
</t>
    </r>
    <r>
      <rPr>
        <b/>
        <sz val="11"/>
        <color theme="1"/>
        <rFont val="Calibri"/>
        <family val="2"/>
        <charset val="204"/>
        <scheme val="minor"/>
      </rPr>
      <t>010</t>
    </r>
    <r>
      <rPr>
        <sz val="11"/>
        <color theme="1"/>
        <rFont val="Calibri"/>
        <family val="2"/>
        <charset val="204"/>
        <scheme val="minor"/>
      </rPr>
      <t xml:space="preserve"> - Low
</t>
    </r>
    <r>
      <rPr>
        <b/>
        <sz val="11"/>
        <color theme="1"/>
        <rFont val="Calibri"/>
        <family val="2"/>
        <charset val="204"/>
        <scheme val="minor"/>
      </rPr>
      <t>011</t>
    </r>
    <r>
      <rPr>
        <sz val="11"/>
        <color theme="1"/>
        <rFont val="Calibri"/>
        <family val="2"/>
        <charset val="204"/>
        <scheme val="minor"/>
      </rPr>
      <t xml:space="preserve"> - Medium
</t>
    </r>
    <r>
      <rPr>
        <b/>
        <sz val="11"/>
        <color theme="1"/>
        <rFont val="Calibri"/>
        <family val="2"/>
        <charset val="204"/>
        <scheme val="minor"/>
      </rPr>
      <t>100</t>
    </r>
    <r>
      <rPr>
        <sz val="11"/>
        <color theme="1"/>
        <rFont val="Calibri"/>
        <family val="2"/>
        <charset val="204"/>
        <scheme val="minor"/>
      </rPr>
      <t xml:space="preserve"> - Bright</t>
    </r>
  </si>
  <si>
    <r>
      <rPr>
        <b/>
        <sz val="11"/>
        <color theme="1"/>
        <rFont val="Calibri"/>
        <family val="2"/>
        <charset val="204"/>
        <scheme val="minor"/>
      </rPr>
      <t>Lighting - Headlight Off Timer</t>
    </r>
    <r>
      <rPr>
        <sz val="11"/>
        <color theme="1"/>
        <rFont val="Calibri"/>
        <family val="2"/>
        <scheme val="minor"/>
      </rPr>
      <t xml:space="preserve">:
</t>
    </r>
    <r>
      <rPr>
        <i/>
        <sz val="10"/>
        <color theme="1"/>
        <rFont val="Calibri"/>
        <family val="2"/>
        <charset val="204"/>
        <scheme val="minor"/>
      </rPr>
      <t>b7b6b5 - Value</t>
    </r>
    <r>
      <rPr>
        <sz val="11"/>
        <color theme="1"/>
        <rFont val="Calibri"/>
        <family val="2"/>
        <scheme val="minor"/>
      </rPr>
      <t xml:space="preserve">
</t>
    </r>
    <r>
      <rPr>
        <b/>
        <sz val="11"/>
        <color theme="1"/>
        <rFont val="Calibri"/>
        <family val="2"/>
        <charset val="204"/>
        <scheme val="minor"/>
      </rPr>
      <t>000</t>
    </r>
    <r>
      <rPr>
        <sz val="11"/>
        <color theme="1"/>
        <rFont val="Calibri"/>
        <family val="2"/>
        <scheme val="minor"/>
      </rPr>
      <t xml:space="preserve"> - N/A
</t>
    </r>
    <r>
      <rPr>
        <b/>
        <sz val="11"/>
        <color theme="1"/>
        <rFont val="Calibri"/>
        <family val="2"/>
        <charset val="204"/>
        <scheme val="minor"/>
      </rPr>
      <t>001</t>
    </r>
    <r>
      <rPr>
        <sz val="11"/>
        <color theme="1"/>
        <rFont val="Calibri"/>
        <family val="2"/>
        <scheme val="minor"/>
      </rPr>
      <t xml:space="preserve"> - Off
</t>
    </r>
    <r>
      <rPr>
        <b/>
        <sz val="11"/>
        <color theme="1"/>
        <rFont val="Calibri"/>
        <family val="2"/>
        <charset val="204"/>
        <scheme val="minor"/>
      </rPr>
      <t>010</t>
    </r>
    <r>
      <rPr>
        <sz val="11"/>
        <color theme="1"/>
        <rFont val="Calibri"/>
        <family val="2"/>
        <scheme val="minor"/>
      </rPr>
      <t xml:space="preserve"> - 30 seconds
</t>
    </r>
    <r>
      <rPr>
        <b/>
        <sz val="11"/>
        <color theme="1"/>
        <rFont val="Calibri"/>
        <family val="2"/>
        <charset val="204"/>
        <scheme val="minor"/>
      </rPr>
      <t>011</t>
    </r>
    <r>
      <rPr>
        <sz val="11"/>
        <color theme="1"/>
        <rFont val="Calibri"/>
        <family val="2"/>
        <scheme val="minor"/>
      </rPr>
      <t xml:space="preserve"> - 60 seconds
</t>
    </r>
    <r>
      <rPr>
        <b/>
        <sz val="11"/>
        <color theme="1"/>
        <rFont val="Calibri"/>
        <family val="2"/>
        <charset val="204"/>
        <scheme val="minor"/>
      </rPr>
      <t>100</t>
    </r>
    <r>
      <rPr>
        <sz val="11"/>
        <color theme="1"/>
        <rFont val="Calibri"/>
        <family val="2"/>
        <scheme val="minor"/>
      </rPr>
      <t xml:space="preserve"> - 90 seconds
</t>
    </r>
    <r>
      <rPr>
        <b/>
        <sz val="11"/>
        <color theme="1"/>
        <rFont val="Calibri"/>
        <family val="2"/>
        <charset val="204"/>
        <scheme val="minor"/>
      </rPr>
      <t>101</t>
    </r>
    <r>
      <rPr>
        <sz val="11"/>
        <color theme="1"/>
        <rFont val="Calibri"/>
        <family val="2"/>
        <scheme val="minor"/>
      </rPr>
      <t xml:space="preserve"> - 120 seconds</t>
    </r>
  </si>
  <si>
    <r>
      <rPr>
        <b/>
        <sz val="11"/>
        <color theme="1"/>
        <rFont val="Calibri"/>
        <family val="2"/>
        <charset val="204"/>
        <scheme val="minor"/>
      </rPr>
      <t>3-Flash Indicator:</t>
    </r>
    <r>
      <rPr>
        <sz val="11"/>
        <color theme="1"/>
        <rFont val="Calibri"/>
        <family val="2"/>
        <scheme val="minor"/>
      </rPr>
      <t xml:space="preserve">
</t>
    </r>
    <r>
      <rPr>
        <i/>
        <sz val="10"/>
        <color theme="1"/>
        <rFont val="Calibri"/>
        <family val="2"/>
        <charset val="204"/>
        <scheme val="minor"/>
      </rPr>
      <t>b4b3 - Value</t>
    </r>
    <r>
      <rPr>
        <sz val="11"/>
        <color theme="1"/>
        <rFont val="Calibri"/>
        <family val="2"/>
        <scheme val="minor"/>
      </rPr>
      <t xml:space="preserve">
</t>
    </r>
    <r>
      <rPr>
        <b/>
        <sz val="11"/>
        <color theme="1"/>
        <rFont val="Calibri"/>
        <family val="2"/>
        <charset val="204"/>
        <scheme val="minor"/>
      </rPr>
      <t>00</t>
    </r>
    <r>
      <rPr>
        <sz val="11"/>
        <color theme="1"/>
        <rFont val="Calibri"/>
        <family val="2"/>
        <scheme val="minor"/>
      </rPr>
      <t xml:space="preserve"> - N/A
</t>
    </r>
    <r>
      <rPr>
        <b/>
        <sz val="11"/>
        <color theme="1"/>
        <rFont val="Calibri"/>
        <family val="2"/>
        <charset val="204"/>
        <scheme val="minor"/>
      </rPr>
      <t>01</t>
    </r>
    <r>
      <rPr>
        <sz val="11"/>
        <color theme="1"/>
        <rFont val="Calibri"/>
        <family val="2"/>
        <scheme val="minor"/>
      </rPr>
      <t xml:space="preserve"> - Disabled
</t>
    </r>
    <r>
      <rPr>
        <b/>
        <sz val="11"/>
        <color theme="1"/>
        <rFont val="Calibri"/>
        <family val="2"/>
        <charset val="204"/>
        <scheme val="minor"/>
      </rPr>
      <t>10</t>
    </r>
    <r>
      <rPr>
        <sz val="11"/>
        <color theme="1"/>
        <rFont val="Calibri"/>
        <family val="2"/>
        <scheme val="minor"/>
      </rPr>
      <t xml:space="preserve"> - Enabled</t>
    </r>
  </si>
  <si>
    <r>
      <rPr>
        <b/>
        <sz val="11"/>
        <color theme="1"/>
        <rFont val="Calibri"/>
        <family val="2"/>
        <charset val="204"/>
        <scheme val="minor"/>
      </rPr>
      <t>Rain Sensing Wiper:</t>
    </r>
    <r>
      <rPr>
        <sz val="11"/>
        <color theme="1"/>
        <rFont val="Calibri"/>
        <family val="2"/>
        <scheme val="minor"/>
      </rPr>
      <t xml:space="preserve">
</t>
    </r>
    <r>
      <rPr>
        <i/>
        <sz val="10"/>
        <color theme="1"/>
        <rFont val="Calibri"/>
        <family val="2"/>
        <charset val="204"/>
        <scheme val="minor"/>
      </rPr>
      <t>b7b6 - Value</t>
    </r>
    <r>
      <rPr>
        <sz val="11"/>
        <color theme="1"/>
        <rFont val="Calibri"/>
        <family val="2"/>
        <scheme val="minor"/>
      </rPr>
      <t xml:space="preserve">
</t>
    </r>
    <r>
      <rPr>
        <b/>
        <sz val="11"/>
        <color theme="1"/>
        <rFont val="Calibri"/>
        <family val="2"/>
        <charset val="204"/>
        <scheme val="minor"/>
      </rPr>
      <t>00</t>
    </r>
    <r>
      <rPr>
        <sz val="11"/>
        <color theme="1"/>
        <rFont val="Calibri"/>
        <family val="2"/>
        <scheme val="minor"/>
      </rPr>
      <t xml:space="preserve"> - N/A
</t>
    </r>
    <r>
      <rPr>
        <b/>
        <sz val="11"/>
        <color theme="1"/>
        <rFont val="Calibri"/>
        <family val="2"/>
        <charset val="204"/>
        <scheme val="minor"/>
      </rPr>
      <t>10</t>
    </r>
    <r>
      <rPr>
        <sz val="11"/>
        <color theme="1"/>
        <rFont val="Calibri"/>
        <family val="2"/>
        <scheme val="minor"/>
      </rPr>
      <t xml:space="preserve"> - Enabled
</t>
    </r>
    <r>
      <rPr>
        <b/>
        <sz val="11"/>
        <color theme="1"/>
        <rFont val="Calibri"/>
        <family val="2"/>
        <charset val="204"/>
        <scheme val="minor"/>
      </rPr>
      <t>01</t>
    </r>
    <r>
      <rPr>
        <sz val="11"/>
        <color theme="1"/>
        <rFont val="Calibri"/>
        <family val="2"/>
        <scheme val="minor"/>
      </rPr>
      <t xml:space="preserve"> - Disabled</t>
    </r>
  </si>
  <si>
    <r>
      <rPr>
        <b/>
        <sz val="11"/>
        <color theme="1"/>
        <rFont val="Calibri"/>
        <family val="2"/>
        <charset val="204"/>
        <scheme val="minor"/>
      </rPr>
      <t xml:space="preserve">Lighting - Auto Headlight On:
</t>
    </r>
    <r>
      <rPr>
        <i/>
        <sz val="10"/>
        <color theme="1"/>
        <rFont val="Calibri"/>
        <family val="2"/>
        <charset val="204"/>
        <scheme val="minor"/>
      </rPr>
      <t>b5b4b3 - Value</t>
    </r>
    <r>
      <rPr>
        <sz val="11"/>
        <color theme="1"/>
        <rFont val="Calibri"/>
        <family val="2"/>
        <charset val="204"/>
        <scheme val="minor"/>
      </rPr>
      <t xml:space="preserve">
</t>
    </r>
    <r>
      <rPr>
        <b/>
        <sz val="11"/>
        <color theme="1"/>
        <rFont val="Calibri"/>
        <family val="2"/>
        <charset val="204"/>
        <scheme val="minor"/>
      </rPr>
      <t>000</t>
    </r>
    <r>
      <rPr>
        <sz val="11"/>
        <color theme="1"/>
        <rFont val="Calibri"/>
        <family val="2"/>
        <charset val="204"/>
        <scheme val="minor"/>
      </rPr>
      <t xml:space="preserve"> - N/A
</t>
    </r>
    <r>
      <rPr>
        <b/>
        <sz val="11"/>
        <color theme="1"/>
        <rFont val="Calibri"/>
        <family val="2"/>
        <charset val="204"/>
        <scheme val="minor"/>
      </rPr>
      <t>001</t>
    </r>
    <r>
      <rPr>
        <sz val="11"/>
        <color theme="1"/>
        <rFont val="Calibri"/>
        <family val="2"/>
        <charset val="204"/>
        <scheme val="minor"/>
      </rPr>
      <t xml:space="preserve"> - Low
</t>
    </r>
    <r>
      <rPr>
        <b/>
        <sz val="11"/>
        <color theme="1"/>
        <rFont val="Calibri"/>
        <family val="2"/>
        <charset val="204"/>
        <scheme val="minor"/>
      </rPr>
      <t>010</t>
    </r>
    <r>
      <rPr>
        <sz val="11"/>
        <color theme="1"/>
        <rFont val="Calibri"/>
        <family val="2"/>
        <charset val="204"/>
        <scheme val="minor"/>
      </rPr>
      <t xml:space="preserve"> - Med. Low
</t>
    </r>
    <r>
      <rPr>
        <b/>
        <sz val="11"/>
        <color theme="1"/>
        <rFont val="Calibri"/>
        <family val="2"/>
        <charset val="204"/>
        <scheme val="minor"/>
      </rPr>
      <t>011</t>
    </r>
    <r>
      <rPr>
        <sz val="11"/>
        <color theme="1"/>
        <rFont val="Calibri"/>
        <family val="2"/>
        <charset val="204"/>
        <scheme val="minor"/>
      </rPr>
      <t xml:space="preserve"> - Medium
</t>
    </r>
    <r>
      <rPr>
        <b/>
        <sz val="11"/>
        <color theme="1"/>
        <rFont val="Calibri"/>
        <family val="2"/>
        <charset val="204"/>
        <scheme val="minor"/>
      </rPr>
      <t>100</t>
    </r>
    <r>
      <rPr>
        <sz val="11"/>
        <color theme="1"/>
        <rFont val="Calibri"/>
        <family val="2"/>
        <charset val="204"/>
        <scheme val="minor"/>
      </rPr>
      <t xml:space="preserve"> - Med. High
</t>
    </r>
    <r>
      <rPr>
        <b/>
        <sz val="11"/>
        <color theme="1"/>
        <rFont val="Calibri"/>
        <family val="2"/>
        <charset val="204"/>
        <scheme val="minor"/>
      </rPr>
      <t>101</t>
    </r>
    <r>
      <rPr>
        <sz val="11"/>
        <color theme="1"/>
        <rFont val="Calibri"/>
        <family val="2"/>
        <charset val="204"/>
        <scheme val="minor"/>
      </rPr>
      <t xml:space="preserve"> - High</t>
    </r>
  </si>
  <si>
    <r>
      <rPr>
        <b/>
        <sz val="11"/>
        <color theme="1"/>
        <rFont val="Calibri"/>
        <family val="2"/>
        <charset val="204"/>
        <scheme val="minor"/>
      </rPr>
      <t>Coming Home Light:</t>
    </r>
    <r>
      <rPr>
        <sz val="11"/>
        <color theme="1"/>
        <rFont val="Calibri"/>
        <family val="2"/>
        <scheme val="minor"/>
      </rPr>
      <t xml:space="preserve">
</t>
    </r>
    <r>
      <rPr>
        <i/>
        <sz val="10"/>
        <color theme="1"/>
        <rFont val="Calibri"/>
        <family val="2"/>
        <charset val="204"/>
        <scheme val="minor"/>
      </rPr>
      <t>b7b6b5 - Value</t>
    </r>
    <r>
      <rPr>
        <sz val="11"/>
        <color theme="1"/>
        <rFont val="Calibri"/>
        <family val="2"/>
        <scheme val="minor"/>
      </rPr>
      <t xml:space="preserve">
</t>
    </r>
    <r>
      <rPr>
        <b/>
        <sz val="11"/>
        <color theme="1"/>
        <rFont val="Calibri"/>
        <family val="2"/>
        <charset val="204"/>
        <scheme val="minor"/>
      </rPr>
      <t>000</t>
    </r>
    <r>
      <rPr>
        <sz val="11"/>
        <color theme="1"/>
        <rFont val="Calibri"/>
        <family val="2"/>
        <scheme val="minor"/>
      </rPr>
      <t xml:space="preserve"> - N/A
</t>
    </r>
    <r>
      <rPr>
        <b/>
        <sz val="11"/>
        <color theme="1"/>
        <rFont val="Calibri"/>
        <family val="2"/>
        <charset val="204"/>
        <scheme val="minor"/>
      </rPr>
      <t>001</t>
    </r>
    <r>
      <rPr>
        <sz val="11"/>
        <color theme="1"/>
        <rFont val="Calibri"/>
        <family val="2"/>
        <scheme val="minor"/>
      </rPr>
      <t xml:space="preserve"> - OFF
</t>
    </r>
    <r>
      <rPr>
        <b/>
        <sz val="11"/>
        <color theme="1"/>
        <rFont val="Calibri"/>
        <family val="2"/>
        <charset val="204"/>
        <scheme val="minor"/>
      </rPr>
      <t>010</t>
    </r>
    <r>
      <rPr>
        <sz val="11"/>
        <color theme="1"/>
        <rFont val="Calibri"/>
        <family val="2"/>
        <scheme val="minor"/>
      </rPr>
      <t xml:space="preserve"> - 30 sec
</t>
    </r>
    <r>
      <rPr>
        <b/>
        <sz val="11"/>
        <color theme="1"/>
        <rFont val="Calibri"/>
        <family val="2"/>
        <charset val="204"/>
        <scheme val="minor"/>
      </rPr>
      <t>011</t>
    </r>
    <r>
      <rPr>
        <sz val="11"/>
        <color theme="1"/>
        <rFont val="Calibri"/>
        <family val="2"/>
        <scheme val="minor"/>
      </rPr>
      <t xml:space="preserve"> - 60 sec
</t>
    </r>
    <r>
      <rPr>
        <b/>
        <sz val="11"/>
        <color theme="1"/>
        <rFont val="Calibri"/>
        <family val="2"/>
        <charset val="204"/>
        <scheme val="minor"/>
      </rPr>
      <t>100</t>
    </r>
    <r>
      <rPr>
        <sz val="11"/>
        <color theme="1"/>
        <rFont val="Calibri"/>
        <family val="2"/>
        <scheme val="minor"/>
      </rPr>
      <t xml:space="preserve"> - 90 sec
</t>
    </r>
    <r>
      <rPr>
        <b/>
        <sz val="11"/>
        <color theme="1"/>
        <rFont val="Calibri"/>
        <family val="2"/>
        <charset val="204"/>
        <scheme val="minor"/>
      </rPr>
      <t>101</t>
    </r>
    <r>
      <rPr>
        <sz val="11"/>
        <color theme="1"/>
        <rFont val="Calibri"/>
        <family val="2"/>
        <scheme val="minor"/>
      </rPr>
      <t xml:space="preserve"> - 120 sec</t>
    </r>
  </si>
  <si>
    <r>
      <rPr>
        <b/>
        <sz val="11"/>
        <color theme="1"/>
        <rFont val="Calibri"/>
        <family val="2"/>
        <charset val="204"/>
        <scheme val="minor"/>
      </rPr>
      <t>Leaving Home Light:</t>
    </r>
    <r>
      <rPr>
        <sz val="11"/>
        <color theme="1"/>
        <rFont val="Calibri"/>
        <family val="2"/>
        <scheme val="minor"/>
      </rPr>
      <t xml:space="preserve">
</t>
    </r>
    <r>
      <rPr>
        <i/>
        <sz val="10"/>
        <color theme="1"/>
        <rFont val="Calibri"/>
        <family val="2"/>
        <charset val="204"/>
        <scheme val="minor"/>
      </rPr>
      <t>b4b3 - Value</t>
    </r>
    <r>
      <rPr>
        <sz val="11"/>
        <color theme="1"/>
        <rFont val="Calibri"/>
        <family val="2"/>
        <scheme val="minor"/>
      </rPr>
      <t xml:space="preserve">
</t>
    </r>
    <r>
      <rPr>
        <b/>
        <sz val="11"/>
        <color theme="1"/>
        <rFont val="Calibri"/>
        <family val="2"/>
        <charset val="204"/>
        <scheme val="minor"/>
      </rPr>
      <t>00</t>
    </r>
    <r>
      <rPr>
        <sz val="11"/>
        <color theme="1"/>
        <rFont val="Calibri"/>
        <family val="2"/>
        <scheme val="minor"/>
      </rPr>
      <t xml:space="preserve"> - N/A
</t>
    </r>
    <r>
      <rPr>
        <b/>
        <sz val="11"/>
        <color theme="1"/>
        <rFont val="Calibri"/>
        <family val="2"/>
        <charset val="204"/>
        <scheme val="minor"/>
      </rPr>
      <t>01</t>
    </r>
    <r>
      <rPr>
        <sz val="11"/>
        <color theme="1"/>
        <rFont val="Calibri"/>
        <family val="2"/>
        <scheme val="minor"/>
      </rPr>
      <t xml:space="preserve"> - Disabled
</t>
    </r>
    <r>
      <rPr>
        <b/>
        <sz val="11"/>
        <color theme="1"/>
        <rFont val="Calibri"/>
        <family val="2"/>
        <charset val="204"/>
        <scheme val="minor"/>
      </rPr>
      <t>10</t>
    </r>
    <r>
      <rPr>
        <sz val="11"/>
        <color theme="1"/>
        <rFont val="Calibri"/>
        <family val="2"/>
        <scheme val="minor"/>
      </rPr>
      <t xml:space="preserve"> - Enabled</t>
    </r>
  </si>
  <si>
    <r>
      <rPr>
        <b/>
        <sz val="11"/>
        <color theme="1"/>
        <rFont val="Calibri"/>
        <family val="2"/>
        <scheme val="minor"/>
      </rPr>
      <t>US / non US:</t>
    </r>
    <r>
      <rPr>
        <sz val="11"/>
        <color theme="1"/>
        <rFont val="Calibri"/>
        <family val="2"/>
        <scheme val="minor"/>
      </rPr>
      <t xml:space="preserve">
b7b6 - Value
</t>
    </r>
    <r>
      <rPr>
        <b/>
        <sz val="11"/>
        <color theme="1"/>
        <rFont val="Calibri"/>
        <family val="2"/>
        <charset val="204"/>
        <scheme val="minor"/>
      </rPr>
      <t>00</t>
    </r>
    <r>
      <rPr>
        <sz val="11"/>
        <color theme="1"/>
        <rFont val="Calibri"/>
        <family val="2"/>
        <scheme val="minor"/>
      </rPr>
      <t xml:space="preserve"> - non US
</t>
    </r>
    <r>
      <rPr>
        <b/>
        <sz val="11"/>
        <color theme="1"/>
        <rFont val="Calibri"/>
        <family val="2"/>
        <charset val="204"/>
        <scheme val="minor"/>
      </rPr>
      <t>11</t>
    </r>
    <r>
      <rPr>
        <sz val="11"/>
        <color theme="1"/>
        <rFont val="Calibri"/>
        <family val="2"/>
        <scheme val="minor"/>
      </rPr>
      <t xml:space="preserve"> - US</t>
    </r>
  </si>
  <si>
    <r>
      <rPr>
        <b/>
        <sz val="11"/>
        <color theme="1"/>
        <rFont val="Calibri"/>
        <family val="2"/>
        <charset val="204"/>
        <scheme val="minor"/>
      </rPr>
      <t>Mazda model</t>
    </r>
    <r>
      <rPr>
        <sz val="11"/>
        <color theme="1"/>
        <rFont val="Calibri"/>
        <family val="2"/>
        <charset val="204"/>
        <scheme val="minor"/>
      </rPr>
      <t xml:space="preserve">
</t>
    </r>
    <r>
      <rPr>
        <i/>
        <sz val="10"/>
        <color theme="1"/>
        <rFont val="Calibri"/>
        <family val="2"/>
        <charset val="204"/>
        <scheme val="minor"/>
      </rPr>
      <t>B2 (HEX) - Value:</t>
    </r>
    <r>
      <rPr>
        <sz val="11"/>
        <color theme="1"/>
        <rFont val="Calibri"/>
        <family val="2"/>
        <charset val="204"/>
        <scheme val="minor"/>
      </rPr>
      <t xml:space="preserve">
</t>
    </r>
    <r>
      <rPr>
        <b/>
        <sz val="11"/>
        <color theme="1"/>
        <rFont val="Calibri"/>
        <family val="2"/>
        <charset val="204"/>
        <scheme val="minor"/>
      </rPr>
      <t>01</t>
    </r>
    <r>
      <rPr>
        <sz val="11"/>
        <color theme="1"/>
        <rFont val="Calibri"/>
        <family val="2"/>
        <charset val="204"/>
        <scheme val="minor"/>
      </rPr>
      <t xml:space="preserve"> - CX5KE;
</t>
    </r>
    <r>
      <rPr>
        <b/>
        <sz val="11"/>
        <color theme="1"/>
        <rFont val="Calibri"/>
        <family val="2"/>
        <charset val="204"/>
        <scheme val="minor"/>
      </rPr>
      <t xml:space="preserve">09 </t>
    </r>
    <r>
      <rPr>
        <sz val="11"/>
        <color theme="1"/>
        <rFont val="Calibri"/>
        <family val="2"/>
        <charset val="204"/>
        <scheme val="minor"/>
      </rPr>
      <t xml:space="preserve">- M6;
</t>
    </r>
    <r>
      <rPr>
        <b/>
        <sz val="11"/>
        <color theme="1"/>
        <rFont val="Calibri"/>
        <family val="2"/>
        <charset val="204"/>
        <scheme val="minor"/>
      </rPr>
      <t xml:space="preserve">11 </t>
    </r>
    <r>
      <rPr>
        <sz val="11"/>
        <color theme="1"/>
        <rFont val="Calibri"/>
        <family val="2"/>
        <charset val="204"/>
        <scheme val="minor"/>
      </rPr>
      <t xml:space="preserve">- CX9;
</t>
    </r>
    <r>
      <rPr>
        <b/>
        <sz val="11"/>
        <color theme="1"/>
        <rFont val="Calibri"/>
        <family val="2"/>
        <charset val="204"/>
        <scheme val="minor"/>
      </rPr>
      <t xml:space="preserve">19 </t>
    </r>
    <r>
      <rPr>
        <sz val="11"/>
        <color theme="1"/>
        <rFont val="Calibri"/>
        <family val="2"/>
        <charset val="204"/>
        <scheme val="minor"/>
      </rPr>
      <t xml:space="preserve">- M3;
</t>
    </r>
    <r>
      <rPr>
        <b/>
        <sz val="11"/>
        <color theme="1"/>
        <rFont val="Calibri"/>
        <family val="2"/>
        <charset val="204"/>
        <scheme val="minor"/>
      </rPr>
      <t>21</t>
    </r>
    <r>
      <rPr>
        <sz val="11"/>
        <color theme="1"/>
        <rFont val="Calibri"/>
        <family val="2"/>
        <charset val="204"/>
        <scheme val="minor"/>
      </rPr>
      <t xml:space="preserve"> - CX5KF, CX8;
</t>
    </r>
    <r>
      <rPr>
        <b/>
        <sz val="11"/>
        <color theme="1"/>
        <rFont val="Calibri"/>
        <family val="2"/>
        <charset val="204"/>
        <scheme val="minor"/>
      </rPr>
      <t xml:space="preserve">29 </t>
    </r>
    <r>
      <rPr>
        <sz val="11"/>
        <color theme="1"/>
        <rFont val="Calibri"/>
        <family val="2"/>
        <charset val="204"/>
        <scheme val="minor"/>
      </rPr>
      <t>- CX4</t>
    </r>
  </si>
  <si>
    <t>Date</t>
  </si>
  <si>
    <t># of update</t>
  </si>
  <si>
    <t>Changes</t>
  </si>
  <si>
    <t xml:space="preserve">You can always find the latest version of the file here: </t>
  </si>
  <si>
    <t xml:space="preserve">http://tiny.cc/MazdaAsBuiltEditor </t>
  </si>
  <si>
    <t>UPD28</t>
  </si>
  <si>
    <t>UPD27</t>
  </si>
  <si>
    <t>Version</t>
  </si>
  <si>
    <t>6.22</t>
  </si>
  <si>
    <t>6.23</t>
  </si>
  <si>
    <t>UPD26</t>
  </si>
  <si>
    <t>6.21</t>
  </si>
  <si>
    <t>UPD25</t>
  </si>
  <si>
    <t>6.20</t>
  </si>
  <si>
    <t>1. Added FORScan Backup columns to RCM, RBCM, FBCM, SSU, IC, FSC Gen 1, FSC Gen2 - this allows using Save All in Forscan and simply copy-paste data from *.abt file into Excel. No need to manually type in each byte anymore.
2. Few minor changes here and there.</t>
  </si>
  <si>
    <t>UPD24</t>
  </si>
  <si>
    <t>UPD23</t>
  </si>
  <si>
    <t>6.19</t>
  </si>
  <si>
    <t>UPD22</t>
  </si>
  <si>
    <t>6.18</t>
  </si>
  <si>
    <t>UPD21</t>
  </si>
  <si>
    <t>UPD1</t>
  </si>
  <si>
    <t>UPD2</t>
  </si>
  <si>
    <t>UPD3</t>
  </si>
  <si>
    <t>UPD4</t>
  </si>
  <si>
    <t>UPD5</t>
  </si>
  <si>
    <t>UPD6</t>
  </si>
  <si>
    <t>UPD8</t>
  </si>
  <si>
    <t>UPD9</t>
  </si>
  <si>
    <t>UPD10</t>
  </si>
  <si>
    <t>UPD11</t>
  </si>
  <si>
    <t>UPD12</t>
  </si>
  <si>
    <t>UPD13</t>
  </si>
  <si>
    <t>UPD14</t>
  </si>
  <si>
    <t>UPD15</t>
  </si>
  <si>
    <t>UPD16</t>
  </si>
  <si>
    <t>UPD17</t>
  </si>
  <si>
    <t>UPD18</t>
  </si>
  <si>
    <t>UPD19</t>
  </si>
  <si>
    <t>UPD20</t>
  </si>
  <si>
    <t>6.2</t>
  </si>
  <si>
    <t>6.1</t>
  </si>
  <si>
    <t>6.0</t>
  </si>
  <si>
    <t>6.4</t>
  </si>
  <si>
    <t>6.5</t>
  </si>
  <si>
    <t>6.6</t>
  </si>
  <si>
    <t>6.7</t>
  </si>
  <si>
    <t>6.8</t>
  </si>
  <si>
    <t>6.9</t>
  </si>
  <si>
    <t>6.10</t>
  </si>
  <si>
    <t>6.11</t>
  </si>
  <si>
    <t>6.12</t>
  </si>
  <si>
    <t>6.13</t>
  </si>
  <si>
    <t>6.14</t>
  </si>
  <si>
    <t>6.16</t>
  </si>
  <si>
    <t>6.17</t>
  </si>
  <si>
    <t>- Added RCM and FBCM sheets for testing purposes;
- Added some information to RBCM's 7B7-02-01 line;</t>
  </si>
  <si>
    <t>- Added "Snowflake icon and sound alarm when outside temperature is &lt;5°C: 1 - Enabled / 0 - Disabled" in 720-01-01 B2 b0</t>
  </si>
  <si>
    <t>- Added CCC Converter sheet for those who need to easily convert CCC Data from https://web.b2b.mazda.co.jp/AsBuilt/ to FORScan-like view to use in the file.
- Added "Low Level Windshield Washer Fluid indicator" value to IC
- Few minor UI changes
- Added 02-01 lines to IC, SSU, RBCM modules.</t>
  </si>
  <si>
    <t>- Added i-ACTIVSENSE sheet with descriptions of various systems in cars and sensors/radars needed for their operation + links to description of those systems on Mazda websites + video description of those systems.</t>
  </si>
  <si>
    <t>- Added IC sheet for Mazda 2 &amp; CX-3 (53 lines in last block of IC module, instead of 28 in most other cars). No functions have been tested. I verified only calculation of checksum in 720-04-01.</t>
  </si>
  <si>
    <t>- Added all missing lines in Block 3(4) of IC module.
- Added SSU sheet.
- Added newly found functions to RBCM, SSU, IC (blue fill). I have not tested any of them, so I don't guarantee that they exactly what is written in the file. Please test and give feedback
- Thanks to vic_bam85 for trying to do the same in this file.</t>
  </si>
  <si>
    <t>- Added support of FORScan v2.3.5+ in IC module (Block number does not really matter. In FORScan versions prior to 2.3.5 last block is 4, in versions after 2.3.4 - it has number 3. Just paste the last block from *.abt file [IC module backup] into Excel file [B4 cell]).</t>
  </si>
  <si>
    <t>- Added 7B7-02-01 RBCM block for future use
- Cosmetic changes in Block4 Checksum of IC module to show 00 in B0 and B1 of 720-04-01 when user has not pasted his IC data yet.
- Moved the file to OneDrive folder, where I will be updating it from now on.</t>
  </si>
  <si>
    <t>- Fixed 7B7-01-03 RBCM Checksum calculation
- Added conditional formatting to highlight changed bits
- Renamed the file</t>
  </si>
  <si>
    <t>Added "Find My Car" option to RBCM 7B7-01-02 B0 b6. Replaced user values with zeroes.</t>
  </si>
  <si>
    <t>Ok, so I've tried to add support of IC to the file. It is in a separate tab in the file.
How it works:
Because 720-04-01 has special checksum, I had to add some more data, comparing to RBCM tab.
To simplify this for user, so that he won't need to enter all 28 lines of 720-04 block, it is possible to copy-paste it from backup of IC data from FORScan.
So, in FORScan user opens IC module (AS BUILT), clicks SAVE ALL, picks a location. Opens this location, and opens newly created backup file (.abt) in Notepad, for example. There are all blocks of IC module. User needs to copy Block4 data into excel. Then user can change whatever he wants in existing bits available in the file, and it will automatically calculate the checksum in B0B1 bytes of 720-04-01 block, if user made any changes to 720-04-xx bits, for example if he activated Cruise Control.</t>
  </si>
  <si>
    <t>Added screenshot to show the difference between original file (on the left) and my modification (on the right)</t>
  </si>
  <si>
    <t>UPD0</t>
  </si>
  <si>
    <t>I decided to improve it a little bit, I guess. Not sure if everyone will consider it an improvement, but maybe it will be useful for someone.
So the changes that I made:
- Added possibility to easily change each bit of each block. So you have an original data from your car, and you see what bit needs to be changed to what value to change some functionality.
- Changed calculation to be based on BIN data, rather than HEX. Meaning that whenever user changes any bit, the BIN value in NEW line changes automatically and based on it, HEX and DEC values are calculated.
- Added templates for all possible bits in RBCM (not quite sure it is correct, especially for 7B7-01-03, as I see that one byte is missing there. I'm still noob in these question. Just learning).
- Made some additional color coding. Grey fields are to be edited by user. User needs to enter his original HEX values, and make changes to particular bits.
- Added Data Validation to those bits fields. If user enters anything besides 0 or 1 he will see an error.
- Added function to trim first character for Checksum.</t>
  </si>
  <si>
    <t>-</t>
  </si>
  <si>
    <r>
      <t xml:space="preserve">Original file created by </t>
    </r>
    <r>
      <rPr>
        <b/>
        <sz val="11"/>
        <color rgb="FFFF0000"/>
        <rFont val="Calibri"/>
        <family val="2"/>
        <charset val="204"/>
        <scheme val="minor"/>
      </rPr>
      <t>Lizzard</t>
    </r>
    <r>
      <rPr>
        <sz val="11"/>
        <color rgb="FF9C5700"/>
        <rFont val="Calibri"/>
        <family val="2"/>
        <charset val="204"/>
        <scheme val="minor"/>
      </rPr>
      <t xml:space="preserve"> from Mazda3Revolution forums.</t>
    </r>
  </si>
  <si>
    <t>ESS (Emergency Signal System)</t>
  </si>
  <si>
    <t>AFS (Adaptive Front lighting System)</t>
  </si>
  <si>
    <t>AKE (Advanced Keyless Entry) / Keyless</t>
  </si>
  <si>
    <t>ALH (Adaptive LED Headlights)</t>
  </si>
  <si>
    <t>BSM [RVM+RCTA] (Blind Spot Monitoring [Rear Vehicle Monitoring + Rear Cross Traffic Alert])</t>
  </si>
  <si>
    <t>DAA (Driver Attention Alert)</t>
  </si>
  <si>
    <t>DRSS (Distance Recognition Support System)</t>
  </si>
  <si>
    <t>FOW (Forward Obstruction Warning)</t>
  </si>
  <si>
    <t>HBC (High Beam Control)</t>
  </si>
  <si>
    <t>LAS (LKA) (Lane-keep assist system)</t>
  </si>
  <si>
    <t>LDWS (Lane Departure Warning System)</t>
  </si>
  <si>
    <t>MRCC (Mazda Radar Cruise Control)</t>
  </si>
  <si>
    <t>RVM (Rear Vehicle Monitoring)</t>
  </si>
  <si>
    <t>SBS (Smart Brake Support)</t>
  </si>
  <si>
    <t>SCBS-F (Smart City Brake Support [Forward])</t>
  </si>
  <si>
    <t>SCBS-R (Smart City Brake Support [Reverse])</t>
  </si>
  <si>
    <t>TSR (Traffic Sign Recognition)</t>
  </si>
  <si>
    <t>1=only some M6 2013-2015 in JP/US/EU</t>
  </si>
  <si>
    <r>
      <t>706-02-02</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in HEX</t>
    </r>
  </si>
  <si>
    <r>
      <t>706-02-02</t>
    </r>
    <r>
      <rPr>
        <sz val="11"/>
        <color theme="1"/>
        <rFont val="Calibri"/>
        <family val="2"/>
        <scheme val="minor"/>
      </rPr>
      <t xml:space="preserve"> B0 B1 in HEX</t>
    </r>
  </si>
  <si>
    <r>
      <t>706-01-04</t>
    </r>
    <r>
      <rPr>
        <sz val="11"/>
        <color theme="1"/>
        <rFont val="Calibri"/>
        <family val="2"/>
        <scheme val="minor"/>
      </rPr>
      <t xml:space="preserve"> B0 B1 B2 in HEX</t>
    </r>
  </si>
  <si>
    <t>UPD29</t>
  </si>
  <si>
    <t>1. Added FSC Gen 2 - 706-02-02 line back</t>
  </si>
  <si>
    <r>
      <rPr>
        <b/>
        <sz val="11"/>
        <color theme="4"/>
        <rFont val="Calibri"/>
        <family val="2"/>
        <charset val="204"/>
        <scheme val="minor"/>
      </rPr>
      <t>B4</t>
    </r>
    <r>
      <rPr>
        <sz val="11"/>
        <color theme="1"/>
        <rFont val="Calibri"/>
        <family val="2"/>
        <scheme val="minor"/>
      </rPr>
      <t xml:space="preserve"> - CHECKSUM</t>
    </r>
  </si>
  <si>
    <r>
      <t>720-01-09</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in HEX</t>
    </r>
  </si>
  <si>
    <r>
      <t>720-01-09</t>
    </r>
    <r>
      <rPr>
        <sz val="11"/>
        <color theme="1"/>
        <rFont val="Calibri"/>
        <family val="2"/>
        <scheme val="minor"/>
      </rPr>
      <t xml:space="preserve"> B0 B1 B2 B3 B4 in HEX</t>
    </r>
  </si>
  <si>
    <r>
      <t>720-04-09</t>
    </r>
    <r>
      <rPr>
        <sz val="11"/>
        <color theme="1"/>
        <rFont val="Calibri"/>
        <family val="2"/>
        <charset val="204"/>
        <scheme val="minor"/>
      </rPr>
      <t xml:space="preserve"> B0 B1 B2 B3 B4 B5 in HEX</t>
    </r>
  </si>
  <si>
    <r>
      <t>720-04-11</t>
    </r>
    <r>
      <rPr>
        <sz val="11"/>
        <color theme="1"/>
        <rFont val="Calibri"/>
        <family val="2"/>
        <charset val="204"/>
        <scheme val="minor"/>
      </rPr>
      <t xml:space="preserve"> B0 B1 B2 B3 B4 B5 in HEX</t>
    </r>
  </si>
  <si>
    <r>
      <t>720-04-12</t>
    </r>
    <r>
      <rPr>
        <sz val="11"/>
        <color theme="1"/>
        <rFont val="Calibri"/>
        <family val="2"/>
        <charset val="204"/>
        <scheme val="minor"/>
      </rPr>
      <t xml:space="preserve"> B0 B1 B2 B3 B4 B5 in HEX</t>
    </r>
  </si>
  <si>
    <r>
      <t>720-04-13</t>
    </r>
    <r>
      <rPr>
        <sz val="11"/>
        <color theme="1"/>
        <rFont val="Calibri"/>
        <family val="2"/>
        <charset val="204"/>
        <scheme val="minor"/>
      </rPr>
      <t xml:space="preserve"> B0 B1 B2 B3 B4 B5 in HEX</t>
    </r>
  </si>
  <si>
    <r>
      <t>720-04-15</t>
    </r>
    <r>
      <rPr>
        <sz val="11"/>
        <color theme="1"/>
        <rFont val="Calibri"/>
        <family val="2"/>
        <charset val="204"/>
        <scheme val="minor"/>
      </rPr>
      <t xml:space="preserve"> B0 B1 B2 B3 B4 B5 in HEX</t>
    </r>
  </si>
  <si>
    <r>
      <t>720-04-16</t>
    </r>
    <r>
      <rPr>
        <sz val="11"/>
        <color theme="1"/>
        <rFont val="Calibri"/>
        <family val="2"/>
        <charset val="204"/>
        <scheme val="minor"/>
      </rPr>
      <t xml:space="preserve"> B0 B1 B2 B3 B4 B5 in HEX</t>
    </r>
  </si>
  <si>
    <r>
      <t>720-04-17</t>
    </r>
    <r>
      <rPr>
        <sz val="11"/>
        <color theme="1"/>
        <rFont val="Calibri"/>
        <family val="2"/>
        <charset val="204"/>
        <scheme val="minor"/>
      </rPr>
      <t xml:space="preserve"> B0 B1 B2 B3 B4 B5 in HEX</t>
    </r>
  </si>
  <si>
    <r>
      <t xml:space="preserve">720-04-18 </t>
    </r>
    <r>
      <rPr>
        <sz val="11"/>
        <color theme="1"/>
        <rFont val="Calibri"/>
        <family val="2"/>
        <charset val="204"/>
        <scheme val="minor"/>
      </rPr>
      <t>B0 B1 B2 B3 B4 B5 in HEX</t>
    </r>
  </si>
  <si>
    <r>
      <t>720-04-19</t>
    </r>
    <r>
      <rPr>
        <sz val="11"/>
        <color theme="1"/>
        <rFont val="Calibri"/>
        <family val="2"/>
        <charset val="204"/>
        <scheme val="minor"/>
      </rPr>
      <t xml:space="preserve"> B0 B1 B2 B3 B4 B5 in HEX</t>
    </r>
  </si>
  <si>
    <r>
      <t>720-04-20</t>
    </r>
    <r>
      <rPr>
        <sz val="11"/>
        <color theme="1"/>
        <rFont val="Calibri"/>
        <family val="2"/>
        <charset val="204"/>
        <scheme val="minor"/>
      </rPr>
      <t xml:space="preserve"> B0 B1 B2 B3 B4 B5 in HEX</t>
    </r>
  </si>
  <si>
    <r>
      <t>720-04-22</t>
    </r>
    <r>
      <rPr>
        <sz val="11"/>
        <color theme="1"/>
        <rFont val="Calibri"/>
        <family val="2"/>
        <charset val="204"/>
        <scheme val="minor"/>
      </rPr>
      <t xml:space="preserve"> B0 B1 B2 B3 B4 B5 in HEX</t>
    </r>
  </si>
  <si>
    <r>
      <t>720-04-24</t>
    </r>
    <r>
      <rPr>
        <sz val="11"/>
        <color theme="1"/>
        <rFont val="Calibri"/>
        <family val="2"/>
        <charset val="204"/>
        <scheme val="minor"/>
      </rPr>
      <t xml:space="preserve"> B0 B1 B2 B3 B4 B5 in HEX</t>
    </r>
  </si>
  <si>
    <r>
      <t xml:space="preserve">720-04-26 </t>
    </r>
    <r>
      <rPr>
        <sz val="11"/>
        <color theme="1"/>
        <rFont val="Calibri"/>
        <family val="2"/>
        <charset val="204"/>
        <scheme val="minor"/>
      </rPr>
      <t>B0 B1 B2 B3 B4 B5 in HEX</t>
    </r>
  </si>
  <si>
    <r>
      <t>726-02-01</t>
    </r>
    <r>
      <rPr>
        <sz val="11"/>
        <color theme="1"/>
        <rFont val="Calibri"/>
        <family val="2"/>
        <scheme val="minor"/>
      </rPr>
      <t xml:space="preserve"> B0 B1 in HEX</t>
    </r>
  </si>
  <si>
    <r>
      <t>726-03-01</t>
    </r>
    <r>
      <rPr>
        <sz val="11"/>
        <color theme="1"/>
        <rFont val="Calibri"/>
        <family val="2"/>
        <scheme val="minor"/>
      </rPr>
      <t xml:space="preserve"> B0 B1 in HEX</t>
    </r>
  </si>
  <si>
    <r>
      <t>726-04-01</t>
    </r>
    <r>
      <rPr>
        <sz val="11"/>
        <color theme="1"/>
        <rFont val="Calibri"/>
        <family val="2"/>
        <scheme val="minor"/>
      </rPr>
      <t xml:space="preserve"> B0 B1 in HEX</t>
    </r>
  </si>
  <si>
    <r>
      <t>726-05-01</t>
    </r>
    <r>
      <rPr>
        <sz val="11"/>
        <color theme="1"/>
        <rFont val="Calibri"/>
        <family val="2"/>
        <scheme val="minor"/>
      </rPr>
      <t xml:space="preserve"> B0 B1 in HEX</t>
    </r>
  </si>
  <si>
    <r>
      <t>7B7-01-03</t>
    </r>
    <r>
      <rPr>
        <sz val="11"/>
        <color theme="1"/>
        <rFont val="Calibri"/>
        <family val="2"/>
        <scheme val="minor"/>
      </rPr>
      <t xml:space="preserve"> B0 B1 B2 B3 B4 in HEX</t>
    </r>
  </si>
  <si>
    <r>
      <t>737-01-02</t>
    </r>
    <r>
      <rPr>
        <sz val="11"/>
        <color theme="1"/>
        <rFont val="Calibri"/>
        <family val="2"/>
        <scheme val="minor"/>
      </rPr>
      <t xml:space="preserve"> B0 B1 B2 B3 in HEX</t>
    </r>
  </si>
  <si>
    <r>
      <t>737-02-01</t>
    </r>
    <r>
      <rPr>
        <sz val="11"/>
        <color theme="1"/>
        <rFont val="Calibri"/>
        <family val="2"/>
        <scheme val="minor"/>
      </rPr>
      <t xml:space="preserve"> B0 B1 B2 B3 in HEX</t>
    </r>
  </si>
  <si>
    <r>
      <t xml:space="preserve">720-04-53 </t>
    </r>
    <r>
      <rPr>
        <sz val="11"/>
        <color theme="1"/>
        <rFont val="Calibri"/>
        <family val="2"/>
        <charset val="204"/>
        <scheme val="minor"/>
      </rPr>
      <t>B0 B1 B2 B3 B4 in HEX</t>
    </r>
  </si>
  <si>
    <r>
      <t>720-04-52</t>
    </r>
    <r>
      <rPr>
        <sz val="11"/>
        <color theme="1"/>
        <rFont val="Calibri"/>
        <family val="2"/>
        <charset val="204"/>
        <scheme val="minor"/>
      </rPr>
      <t xml:space="preserve"> B0 B1 B2 B3 B4 B5 in HEX</t>
    </r>
  </si>
  <si>
    <r>
      <t>720-04-51</t>
    </r>
    <r>
      <rPr>
        <sz val="11"/>
        <color theme="1"/>
        <rFont val="Calibri"/>
        <family val="2"/>
        <charset val="204"/>
        <scheme val="minor"/>
      </rPr>
      <t xml:space="preserve"> B0 B1 B2 B3 B4 B5 in HEX</t>
    </r>
  </si>
  <si>
    <r>
      <t>720-04-50</t>
    </r>
    <r>
      <rPr>
        <sz val="11"/>
        <color theme="1"/>
        <rFont val="Calibri"/>
        <family val="2"/>
        <charset val="204"/>
        <scheme val="minor"/>
      </rPr>
      <t xml:space="preserve"> B0 B1 B2 B3 B4 B5 in HEX</t>
    </r>
  </si>
  <si>
    <r>
      <t>720-04-49</t>
    </r>
    <r>
      <rPr>
        <sz val="11"/>
        <color theme="1"/>
        <rFont val="Calibri"/>
        <family val="2"/>
        <charset val="204"/>
        <scheme val="minor"/>
      </rPr>
      <t xml:space="preserve"> B0 B1 B2 B3 B4 B5 in HEX</t>
    </r>
  </si>
  <si>
    <r>
      <t>720-04-48</t>
    </r>
    <r>
      <rPr>
        <sz val="11"/>
        <color theme="1"/>
        <rFont val="Calibri"/>
        <family val="2"/>
        <charset val="204"/>
        <scheme val="minor"/>
      </rPr>
      <t xml:space="preserve"> B0 B1 B2 B3 B4 B5 in HEX</t>
    </r>
  </si>
  <si>
    <r>
      <t>720-04-47</t>
    </r>
    <r>
      <rPr>
        <sz val="11"/>
        <color theme="1"/>
        <rFont val="Calibri"/>
        <family val="2"/>
        <charset val="204"/>
        <scheme val="minor"/>
      </rPr>
      <t xml:space="preserve"> B0 B1 B2 B3 B4 B5 in HEX</t>
    </r>
  </si>
  <si>
    <r>
      <t>720-04-46</t>
    </r>
    <r>
      <rPr>
        <sz val="11"/>
        <color theme="1"/>
        <rFont val="Calibri"/>
        <family val="2"/>
        <charset val="204"/>
        <scheme val="minor"/>
      </rPr>
      <t xml:space="preserve"> B0 B1 B2 B3 B4 B5 in HEX</t>
    </r>
  </si>
  <si>
    <r>
      <t>720-04-45</t>
    </r>
    <r>
      <rPr>
        <sz val="11"/>
        <color theme="1"/>
        <rFont val="Calibri"/>
        <family val="2"/>
        <charset val="204"/>
        <scheme val="minor"/>
      </rPr>
      <t xml:space="preserve"> B0 B1 B2 B3 B4 B5 in HEX</t>
    </r>
  </si>
  <si>
    <r>
      <t>720-04-44</t>
    </r>
    <r>
      <rPr>
        <sz val="11"/>
        <color theme="1"/>
        <rFont val="Calibri"/>
        <family val="2"/>
        <charset val="204"/>
        <scheme val="minor"/>
      </rPr>
      <t xml:space="preserve"> B0 B1 B2 B3 B4 B5 in HEX</t>
    </r>
  </si>
  <si>
    <r>
      <t>720-04-43</t>
    </r>
    <r>
      <rPr>
        <sz val="11"/>
        <color theme="1"/>
        <rFont val="Calibri"/>
        <family val="2"/>
        <charset val="204"/>
        <scheme val="minor"/>
      </rPr>
      <t xml:space="preserve"> B0 B1 B2 B3 B4 B5 in HEX</t>
    </r>
  </si>
  <si>
    <r>
      <t>720-04-42</t>
    </r>
    <r>
      <rPr>
        <sz val="11"/>
        <color theme="1"/>
        <rFont val="Calibri"/>
        <family val="2"/>
        <charset val="204"/>
        <scheme val="minor"/>
      </rPr>
      <t xml:space="preserve"> B0 B1 B2 B3 B4 B5 in HEX</t>
    </r>
  </si>
  <si>
    <r>
      <t>720-04-41</t>
    </r>
    <r>
      <rPr>
        <sz val="11"/>
        <color theme="1"/>
        <rFont val="Calibri"/>
        <family val="2"/>
        <charset val="204"/>
        <scheme val="minor"/>
      </rPr>
      <t xml:space="preserve"> B0 B1 B2 B3 B4 B5 in HEX</t>
    </r>
  </si>
  <si>
    <r>
      <t>720-04-40</t>
    </r>
    <r>
      <rPr>
        <sz val="11"/>
        <color theme="1"/>
        <rFont val="Calibri"/>
        <family val="2"/>
        <charset val="204"/>
        <scheme val="minor"/>
      </rPr>
      <t xml:space="preserve"> B0 B1 B2 B3 B4 B5 in HEX</t>
    </r>
  </si>
  <si>
    <r>
      <t>720-04-39</t>
    </r>
    <r>
      <rPr>
        <sz val="11"/>
        <color theme="1"/>
        <rFont val="Calibri"/>
        <family val="2"/>
        <charset val="204"/>
        <scheme val="minor"/>
      </rPr>
      <t xml:space="preserve"> B0 B1 B2 B3 B4 B5 in HEX</t>
    </r>
  </si>
  <si>
    <r>
      <t>720-04-38</t>
    </r>
    <r>
      <rPr>
        <sz val="11"/>
        <color theme="1"/>
        <rFont val="Calibri"/>
        <family val="2"/>
        <charset val="204"/>
        <scheme val="minor"/>
      </rPr>
      <t xml:space="preserve"> B0 B1 B2 B3 B4 B5 in HEX</t>
    </r>
  </si>
  <si>
    <r>
      <t>720-04-37</t>
    </r>
    <r>
      <rPr>
        <sz val="11"/>
        <color theme="1"/>
        <rFont val="Calibri"/>
        <family val="2"/>
        <charset val="204"/>
        <scheme val="minor"/>
      </rPr>
      <t xml:space="preserve"> B0 B1 B2 B3 B4 B5 in HEX</t>
    </r>
  </si>
  <si>
    <r>
      <t>720-04-36</t>
    </r>
    <r>
      <rPr>
        <sz val="11"/>
        <color theme="1"/>
        <rFont val="Calibri"/>
        <family val="2"/>
        <charset val="204"/>
        <scheme val="minor"/>
      </rPr>
      <t xml:space="preserve"> B0 B1 B2 B3 B4 B5 in HEX</t>
    </r>
  </si>
  <si>
    <r>
      <t xml:space="preserve">720-04-35 </t>
    </r>
    <r>
      <rPr>
        <sz val="11"/>
        <color theme="1"/>
        <rFont val="Calibri"/>
        <family val="2"/>
        <charset val="204"/>
        <scheme val="minor"/>
      </rPr>
      <t>B0 B1 B2 B3 B4 B5 in HEX</t>
    </r>
  </si>
  <si>
    <r>
      <t>720-04-34</t>
    </r>
    <r>
      <rPr>
        <sz val="11"/>
        <color theme="1"/>
        <rFont val="Calibri"/>
        <family val="2"/>
        <charset val="204"/>
        <scheme val="minor"/>
      </rPr>
      <t xml:space="preserve"> B0 B1 B2 B3 B4 B5 in HEX</t>
    </r>
  </si>
  <si>
    <r>
      <t>720-04-33</t>
    </r>
    <r>
      <rPr>
        <sz val="11"/>
        <color theme="1"/>
        <rFont val="Calibri"/>
        <family val="2"/>
        <charset val="204"/>
        <scheme val="minor"/>
      </rPr>
      <t xml:space="preserve"> B0 B1 B2 B3 B4 B5 in HEX</t>
    </r>
  </si>
  <si>
    <r>
      <t xml:space="preserve">720-04-32 </t>
    </r>
    <r>
      <rPr>
        <sz val="11"/>
        <color theme="1"/>
        <rFont val="Calibri"/>
        <family val="2"/>
        <charset val="204"/>
        <scheme val="minor"/>
      </rPr>
      <t>B0 B1 B2 B3 B4 B5 in HEX</t>
    </r>
  </si>
  <si>
    <r>
      <t>720-04-31</t>
    </r>
    <r>
      <rPr>
        <sz val="11"/>
        <color theme="1"/>
        <rFont val="Calibri"/>
        <family val="2"/>
        <charset val="204"/>
        <scheme val="minor"/>
      </rPr>
      <t xml:space="preserve"> B0 B1 B2 B3 B4 B5 in HEX</t>
    </r>
  </si>
  <si>
    <r>
      <t xml:space="preserve">720-04-30 </t>
    </r>
    <r>
      <rPr>
        <sz val="11"/>
        <color theme="1"/>
        <rFont val="Calibri"/>
        <family val="2"/>
        <charset val="204"/>
        <scheme val="minor"/>
      </rPr>
      <t>B0 B1 B2 B3 B4 B5 in HEX</t>
    </r>
  </si>
  <si>
    <r>
      <t>720-04-29</t>
    </r>
    <r>
      <rPr>
        <sz val="11"/>
        <color theme="1"/>
        <rFont val="Calibri"/>
        <family val="2"/>
        <charset val="204"/>
        <scheme val="minor"/>
      </rPr>
      <t xml:space="preserve"> B0 B1 B2 B3 B4 B5 in HEX</t>
    </r>
  </si>
  <si>
    <r>
      <t xml:space="preserve">720-04-28 </t>
    </r>
    <r>
      <rPr>
        <sz val="11"/>
        <color theme="1"/>
        <rFont val="Calibri"/>
        <family val="2"/>
        <charset val="204"/>
        <scheme val="minor"/>
      </rPr>
      <t>B0 B1 B2 B3 B4 B5 in HEX</t>
    </r>
  </si>
  <si>
    <r>
      <t>720-04-27</t>
    </r>
    <r>
      <rPr>
        <sz val="11"/>
        <color theme="1"/>
        <rFont val="Calibri"/>
        <family val="2"/>
        <charset val="204"/>
        <scheme val="minor"/>
      </rPr>
      <t xml:space="preserve"> B0 B1 B2 B3 B4 B5 in HEX</t>
    </r>
  </si>
  <si>
    <r>
      <t>720-04-25</t>
    </r>
    <r>
      <rPr>
        <sz val="11"/>
        <color theme="1"/>
        <rFont val="Calibri"/>
        <family val="2"/>
        <charset val="204"/>
        <scheme val="minor"/>
      </rPr>
      <t xml:space="preserve"> B0 B1 B2 B3 B4 B5 in HEX</t>
    </r>
  </si>
  <si>
    <r>
      <t>720-04-23</t>
    </r>
    <r>
      <rPr>
        <sz val="11"/>
        <color theme="1"/>
        <rFont val="Calibri"/>
        <family val="2"/>
        <charset val="204"/>
        <scheme val="minor"/>
      </rPr>
      <t xml:space="preserve"> B0 B1 B2 B3 B4 B5 in HEX</t>
    </r>
  </si>
  <si>
    <r>
      <t>720-04-21</t>
    </r>
    <r>
      <rPr>
        <sz val="11"/>
        <color theme="1"/>
        <rFont val="Calibri"/>
        <family val="2"/>
        <charset val="204"/>
        <scheme val="minor"/>
      </rPr>
      <t xml:space="preserve"> B0 B1 B2 B3 B4 B5 in HEX</t>
    </r>
  </si>
  <si>
    <r>
      <t>720-04-14</t>
    </r>
    <r>
      <rPr>
        <sz val="11"/>
        <color theme="1"/>
        <rFont val="Calibri"/>
        <family val="2"/>
        <charset val="204"/>
        <scheme val="minor"/>
      </rPr>
      <t xml:space="preserve"> B0 B1 B2 B3 B4 B5 in HEX</t>
    </r>
  </si>
  <si>
    <r>
      <t>720-04-10</t>
    </r>
    <r>
      <rPr>
        <sz val="11"/>
        <color theme="1"/>
        <rFont val="Calibri"/>
        <family val="2"/>
        <charset val="204"/>
        <scheme val="minor"/>
      </rPr>
      <t xml:space="preserve"> B0 B1 B2 B3 B4 B5 in HEX</t>
    </r>
  </si>
  <si>
    <r>
      <t>720-04-08</t>
    </r>
    <r>
      <rPr>
        <sz val="11"/>
        <color theme="1"/>
        <rFont val="Calibri"/>
        <family val="2"/>
        <charset val="204"/>
        <scheme val="minor"/>
      </rPr>
      <t xml:space="preserve"> B0 B1 B2 B3 B4 B5 in HEX</t>
    </r>
  </si>
  <si>
    <r>
      <t>720-04-07</t>
    </r>
    <r>
      <rPr>
        <sz val="11"/>
        <color theme="1"/>
        <rFont val="Calibri"/>
        <family val="2"/>
        <charset val="204"/>
        <scheme val="minor"/>
      </rPr>
      <t xml:space="preserve"> B0 B1 B2 B3 B4 B5 in HEX</t>
    </r>
  </si>
  <si>
    <r>
      <t>720-04-06</t>
    </r>
    <r>
      <rPr>
        <sz val="11"/>
        <color theme="1"/>
        <rFont val="Calibri"/>
        <family val="2"/>
        <charset val="204"/>
        <scheme val="minor"/>
      </rPr>
      <t xml:space="preserve"> B0 B1 B2 B3 B4 B5 in HEX</t>
    </r>
  </si>
  <si>
    <r>
      <t>720-04-05</t>
    </r>
    <r>
      <rPr>
        <sz val="11"/>
        <color theme="1"/>
        <rFont val="Calibri"/>
        <family val="2"/>
        <charset val="204"/>
        <scheme val="minor"/>
      </rPr>
      <t xml:space="preserve"> B0 B1 B2 B3 B4 B5 in HEX</t>
    </r>
  </si>
  <si>
    <r>
      <t>720-04-04</t>
    </r>
    <r>
      <rPr>
        <sz val="11"/>
        <color theme="1"/>
        <rFont val="Calibri"/>
        <family val="2"/>
        <charset val="204"/>
        <scheme val="minor"/>
      </rPr>
      <t xml:space="preserve"> B0 B1 B2 B3 B4 B5 in HEX</t>
    </r>
  </si>
  <si>
    <r>
      <t>720-04-03</t>
    </r>
    <r>
      <rPr>
        <sz val="11"/>
        <color theme="1"/>
        <rFont val="Calibri"/>
        <family val="2"/>
        <charset val="204"/>
        <scheme val="minor"/>
      </rPr>
      <t xml:space="preserve"> B0 B1 B2 B3 B4 B5 in HEX</t>
    </r>
  </si>
  <si>
    <r>
      <t>720-04-02</t>
    </r>
    <r>
      <rPr>
        <sz val="11"/>
        <color theme="1"/>
        <rFont val="Calibri"/>
        <family val="2"/>
        <charset val="204"/>
        <scheme val="minor"/>
      </rPr>
      <t xml:space="preserve"> B0 B1 B2 B3 B4 B5 in HEX</t>
    </r>
  </si>
  <si>
    <r>
      <t>720-04-01</t>
    </r>
    <r>
      <rPr>
        <sz val="11"/>
        <color theme="1"/>
        <rFont val="Calibri"/>
        <family val="2"/>
        <charset val="204"/>
        <scheme val="minor"/>
      </rPr>
      <t xml:space="preserve"> B0 B1 B2 B3 B4 B5 in HEX</t>
    </r>
  </si>
  <si>
    <r>
      <t>726-02-01</t>
    </r>
    <r>
      <rPr>
        <sz val="11"/>
        <color theme="1"/>
        <rFont val="Calibri"/>
        <family val="2"/>
        <scheme val="minor"/>
      </rPr>
      <t xml:space="preserve"> B0 B1 B2 in HEX</t>
    </r>
  </si>
  <si>
    <t>Added Fuel Sensor Type to IC B1 b0. Thanks to Marek Malik</t>
  </si>
  <si>
    <r>
      <rPr>
        <b/>
        <sz val="11"/>
        <color theme="1"/>
        <rFont val="Calibri"/>
        <family val="2"/>
        <charset val="204"/>
        <scheme val="minor"/>
      </rPr>
      <t>Ambient Temperature Warning Alarm (Ice mark and sound alarm when outside temperature is &lt;5°C)</t>
    </r>
    <r>
      <rPr>
        <sz val="11"/>
        <color theme="1"/>
        <rFont val="Calibri"/>
        <family val="2"/>
        <scheme val="minor"/>
      </rPr>
      <t>: 0 - Disabled / 1 - Enabled</t>
    </r>
  </si>
  <si>
    <t>Ambient Temperature Warning Alarm</t>
  </si>
  <si>
    <t>Changed Rear glass heating values. Seems to have been vice versa.</t>
  </si>
  <si>
    <r>
      <t xml:space="preserve">Vehicle -&gt; Doors -&gt; </t>
    </r>
    <r>
      <rPr>
        <b/>
        <sz val="11"/>
        <color theme="1"/>
        <rFont val="Calibri"/>
        <family val="2"/>
        <charset val="204"/>
        <scheme val="minor"/>
      </rPr>
      <t>Auto Door Lock</t>
    </r>
    <r>
      <rPr>
        <sz val="11"/>
        <color theme="1"/>
        <rFont val="Calibri"/>
        <family val="2"/>
        <charset val="204"/>
        <scheme val="minor"/>
      </rPr>
      <t xml:space="preserve"> (Default Setting)</t>
    </r>
    <r>
      <rPr>
        <b/>
        <sz val="11"/>
        <color theme="1"/>
        <rFont val="Calibri"/>
        <family val="2"/>
        <charset val="204"/>
        <scheme val="minor"/>
      </rPr>
      <t>:</t>
    </r>
    <r>
      <rPr>
        <sz val="11"/>
        <color theme="1"/>
        <rFont val="Calibri"/>
        <family val="2"/>
        <scheme val="minor"/>
      </rPr>
      <t xml:space="preserve">
</t>
    </r>
    <r>
      <rPr>
        <i/>
        <sz val="10"/>
        <color theme="1"/>
        <rFont val="Calibri"/>
        <family val="2"/>
        <charset val="204"/>
        <scheme val="minor"/>
      </rPr>
      <t>b7b6b5b4 - Value</t>
    </r>
    <r>
      <rPr>
        <sz val="11"/>
        <color theme="1"/>
        <rFont val="Calibri"/>
        <family val="2"/>
        <scheme val="minor"/>
      </rPr>
      <t xml:space="preserve">
</t>
    </r>
    <r>
      <rPr>
        <b/>
        <sz val="11"/>
        <color theme="1"/>
        <rFont val="Calibri"/>
        <family val="2"/>
        <charset val="204"/>
        <scheme val="minor"/>
      </rPr>
      <t>0000</t>
    </r>
    <r>
      <rPr>
        <sz val="11"/>
        <color theme="1"/>
        <rFont val="Calibri"/>
        <family val="2"/>
        <charset val="204"/>
        <scheme val="minor"/>
      </rPr>
      <t xml:space="preserve"> - OFF
</t>
    </r>
    <r>
      <rPr>
        <b/>
        <sz val="11"/>
        <color theme="1"/>
        <rFont val="Calibri"/>
        <family val="2"/>
        <charset val="204"/>
        <scheme val="minor"/>
      </rPr>
      <t>0001</t>
    </r>
    <r>
      <rPr>
        <sz val="11"/>
        <color theme="1"/>
        <rFont val="Calibri"/>
        <family val="2"/>
        <charset val="204"/>
        <scheme val="minor"/>
      </rPr>
      <t xml:space="preserve"> - Lock: When Driving
</t>
    </r>
    <r>
      <rPr>
        <b/>
        <sz val="11"/>
        <color theme="1"/>
        <rFont val="Calibri"/>
        <family val="2"/>
        <charset val="204"/>
        <scheme val="minor"/>
      </rPr>
      <t>0010</t>
    </r>
    <r>
      <rPr>
        <sz val="11"/>
        <color theme="1"/>
        <rFont val="Calibri"/>
        <family val="2"/>
        <charset val="204"/>
        <scheme val="minor"/>
      </rPr>
      <t xml:space="preserve"> - Lock: When Driving / Unlock: IGN Off
</t>
    </r>
    <r>
      <rPr>
        <b/>
        <sz val="11"/>
        <color theme="1"/>
        <rFont val="Calibri"/>
        <family val="2"/>
        <charset val="204"/>
        <scheme val="minor"/>
      </rPr>
      <t>0011</t>
    </r>
    <r>
      <rPr>
        <sz val="11"/>
        <color theme="1"/>
        <rFont val="Calibri"/>
        <family val="2"/>
        <charset val="204"/>
        <scheme val="minor"/>
      </rPr>
      <t xml:space="preserve"> - Lock: Shifting Out of Park
</t>
    </r>
    <r>
      <rPr>
        <b/>
        <sz val="11"/>
        <color theme="1"/>
        <rFont val="Calibri"/>
        <family val="2"/>
        <charset val="204"/>
        <scheme val="minor"/>
      </rPr>
      <t>0100</t>
    </r>
    <r>
      <rPr>
        <sz val="11"/>
        <color theme="1"/>
        <rFont val="Calibri"/>
        <family val="2"/>
        <charset val="204"/>
        <scheme val="minor"/>
      </rPr>
      <t xml:space="preserve"> - Lock: Out of Park / Unlock: In Park
</t>
    </r>
    <r>
      <rPr>
        <b/>
        <sz val="11"/>
        <color theme="1"/>
        <rFont val="Calibri"/>
        <family val="2"/>
        <charset val="204"/>
        <scheme val="minor"/>
      </rPr>
      <t>0101</t>
    </r>
    <r>
      <rPr>
        <sz val="11"/>
        <color theme="1"/>
        <rFont val="Calibri"/>
        <family val="2"/>
        <charset val="204"/>
        <scheme val="minor"/>
      </rPr>
      <t xml:space="preserve"> - Lock: Out of Park / Unlock: In Park
</t>
    </r>
    <r>
      <rPr>
        <b/>
        <sz val="11"/>
        <color theme="1"/>
        <rFont val="Calibri"/>
        <family val="2"/>
        <charset val="204"/>
        <scheme val="minor"/>
      </rPr>
      <t>0110</t>
    </r>
    <r>
      <rPr>
        <sz val="11"/>
        <color theme="1"/>
        <rFont val="Calibri"/>
        <family val="2"/>
        <charset val="204"/>
        <scheme val="minor"/>
      </rPr>
      <t xml:space="preserve"> - Lock: Out of Park / Unlock: In Park
</t>
    </r>
    <r>
      <rPr>
        <b/>
        <sz val="11"/>
        <color theme="1"/>
        <rFont val="Calibri"/>
        <family val="2"/>
        <charset val="204"/>
        <scheme val="minor"/>
      </rPr>
      <t>0111</t>
    </r>
    <r>
      <rPr>
        <sz val="11"/>
        <color theme="1"/>
        <rFont val="Calibri"/>
        <family val="2"/>
        <charset val="204"/>
        <scheme val="minor"/>
      </rPr>
      <t xml:space="preserve"> - Lock: Out of Park / Unlock: In Park
</t>
    </r>
    <r>
      <rPr>
        <b/>
        <sz val="11"/>
        <color theme="1"/>
        <rFont val="Calibri"/>
        <family val="2"/>
        <charset val="204"/>
        <scheme val="minor"/>
      </rPr>
      <t>1000</t>
    </r>
    <r>
      <rPr>
        <sz val="11"/>
        <color theme="1"/>
        <rFont val="Calibri"/>
        <family val="2"/>
        <charset val="204"/>
        <scheme val="minor"/>
      </rPr>
      <t xml:space="preserve"> - Lock: Out of Park / Unlock: In Park
</t>
    </r>
    <r>
      <rPr>
        <b/>
        <sz val="11"/>
        <color theme="1"/>
        <rFont val="Calibri"/>
        <family val="2"/>
        <charset val="204"/>
        <scheme val="minor"/>
      </rPr>
      <t>1001</t>
    </r>
    <r>
      <rPr>
        <sz val="11"/>
        <color theme="1"/>
        <rFont val="Calibri"/>
        <family val="2"/>
        <charset val="204"/>
        <scheme val="minor"/>
      </rPr>
      <t xml:space="preserve"> - Lock: When Driving / Unlock: In Park
</t>
    </r>
    <r>
      <rPr>
        <b/>
        <sz val="11"/>
        <color theme="1"/>
        <rFont val="Calibri"/>
        <family val="2"/>
        <charset val="204"/>
        <scheme val="minor"/>
      </rPr>
      <t>1010</t>
    </r>
    <r>
      <rPr>
        <sz val="11"/>
        <color theme="1"/>
        <rFont val="Calibri"/>
        <family val="2"/>
        <charset val="204"/>
        <scheme val="minor"/>
      </rPr>
      <t xml:space="preserve"> - Incompatible configuration
</t>
    </r>
    <r>
      <rPr>
        <b/>
        <sz val="11"/>
        <color theme="1"/>
        <rFont val="Calibri"/>
        <family val="2"/>
        <charset val="204"/>
        <scheme val="minor"/>
      </rPr>
      <t>1011</t>
    </r>
    <r>
      <rPr>
        <sz val="11"/>
        <color theme="1"/>
        <rFont val="Calibri"/>
        <family val="2"/>
        <charset val="204"/>
        <scheme val="minor"/>
      </rPr>
      <t xml:space="preserve"> - Incompatible configuration
</t>
    </r>
    <r>
      <rPr>
        <b/>
        <sz val="11"/>
        <color theme="1"/>
        <rFont val="Calibri"/>
        <family val="2"/>
        <charset val="204"/>
        <scheme val="minor"/>
      </rPr>
      <t>1100</t>
    </r>
    <r>
      <rPr>
        <sz val="11"/>
        <color theme="1"/>
        <rFont val="Calibri"/>
        <family val="2"/>
        <charset val="204"/>
        <scheme val="minor"/>
      </rPr>
      <t xml:space="preserve"> - Incompatible configuration
</t>
    </r>
    <r>
      <rPr>
        <b/>
        <sz val="11"/>
        <color theme="1"/>
        <rFont val="Calibri"/>
        <family val="2"/>
        <charset val="204"/>
        <scheme val="minor"/>
      </rPr>
      <t>1101</t>
    </r>
    <r>
      <rPr>
        <sz val="11"/>
        <color theme="1"/>
        <rFont val="Calibri"/>
        <family val="2"/>
        <charset val="204"/>
        <scheme val="minor"/>
      </rPr>
      <t xml:space="preserve"> - Incompatible configuration
</t>
    </r>
    <r>
      <rPr>
        <b/>
        <sz val="11"/>
        <color theme="1"/>
        <rFont val="Calibri"/>
        <family val="2"/>
        <charset val="204"/>
        <scheme val="minor"/>
      </rPr>
      <t>1110</t>
    </r>
    <r>
      <rPr>
        <sz val="11"/>
        <color theme="1"/>
        <rFont val="Calibri"/>
        <family val="2"/>
        <charset val="204"/>
        <scheme val="minor"/>
      </rPr>
      <t xml:space="preserve"> - Incompatible configuration
</t>
    </r>
    <r>
      <rPr>
        <b/>
        <sz val="11"/>
        <color theme="1"/>
        <rFont val="Calibri"/>
        <family val="2"/>
        <charset val="204"/>
        <scheme val="minor"/>
      </rPr>
      <t>1111</t>
    </r>
    <r>
      <rPr>
        <sz val="11"/>
        <color theme="1"/>
        <rFont val="Calibri"/>
        <family val="2"/>
        <charset val="204"/>
        <scheme val="minor"/>
      </rPr>
      <t xml:space="preserve"> - Incompatible configuration</t>
    </r>
  </si>
  <si>
    <r>
      <t>Vehicle -&gt; Doors -&gt;</t>
    </r>
    <r>
      <rPr>
        <b/>
        <sz val="11"/>
        <color theme="1"/>
        <rFont val="Calibri"/>
        <family val="2"/>
        <charset val="204"/>
        <scheme val="minor"/>
      </rPr>
      <t xml:space="preserve"> Auto Door Lock:</t>
    </r>
    <r>
      <rPr>
        <sz val="11"/>
        <color theme="1"/>
        <rFont val="Calibri"/>
        <family val="2"/>
        <scheme val="minor"/>
      </rPr>
      <t xml:space="preserve">
</t>
    </r>
    <r>
      <rPr>
        <i/>
        <sz val="10"/>
        <color theme="1"/>
        <rFont val="Calibri"/>
        <family val="2"/>
        <charset val="204"/>
        <scheme val="minor"/>
      </rPr>
      <t>b7b6b5b4 - Value</t>
    </r>
    <r>
      <rPr>
        <sz val="11"/>
        <color theme="1"/>
        <rFont val="Calibri"/>
        <family val="2"/>
        <scheme val="minor"/>
      </rPr>
      <t xml:space="preserve">
</t>
    </r>
    <r>
      <rPr>
        <b/>
        <sz val="11"/>
        <color theme="1"/>
        <rFont val="Calibri"/>
        <family val="2"/>
        <charset val="204"/>
        <scheme val="minor"/>
      </rPr>
      <t>0000</t>
    </r>
    <r>
      <rPr>
        <sz val="11"/>
        <color theme="1"/>
        <rFont val="Calibri"/>
        <family val="2"/>
        <scheme val="minor"/>
      </rPr>
      <t xml:space="preserve"> - N/A
</t>
    </r>
    <r>
      <rPr>
        <b/>
        <sz val="11"/>
        <color theme="1"/>
        <rFont val="Calibri"/>
        <family val="2"/>
        <charset val="204"/>
        <scheme val="minor"/>
      </rPr>
      <t>0001</t>
    </r>
    <r>
      <rPr>
        <sz val="11"/>
        <color theme="1"/>
        <rFont val="Calibri"/>
        <family val="2"/>
        <scheme val="minor"/>
      </rPr>
      <t xml:space="preserve"> - OFF
</t>
    </r>
    <r>
      <rPr>
        <b/>
        <sz val="11"/>
        <color theme="1"/>
        <rFont val="Calibri"/>
        <family val="2"/>
        <charset val="204"/>
        <scheme val="minor"/>
      </rPr>
      <t>0010</t>
    </r>
    <r>
      <rPr>
        <sz val="11"/>
        <color theme="1"/>
        <rFont val="Calibri"/>
        <family val="2"/>
        <scheme val="minor"/>
      </rPr>
      <t xml:space="preserve"> - Lock: When driving
</t>
    </r>
    <r>
      <rPr>
        <b/>
        <sz val="11"/>
        <color theme="1"/>
        <rFont val="Calibri"/>
        <family val="2"/>
        <charset val="204"/>
        <scheme val="minor"/>
      </rPr>
      <t>0011</t>
    </r>
    <r>
      <rPr>
        <sz val="11"/>
        <color theme="1"/>
        <rFont val="Calibri"/>
        <family val="2"/>
        <scheme val="minor"/>
      </rPr>
      <t xml:space="preserve"> - Lock: When driving / Unlock: IGN Off
</t>
    </r>
    <r>
      <rPr>
        <b/>
        <sz val="11"/>
        <color theme="1"/>
        <rFont val="Calibri"/>
        <family val="2"/>
        <charset val="204"/>
        <scheme val="minor"/>
      </rPr>
      <t>0100</t>
    </r>
    <r>
      <rPr>
        <sz val="11"/>
        <color theme="1"/>
        <rFont val="Calibri"/>
        <family val="2"/>
        <scheme val="minor"/>
      </rPr>
      <t xml:space="preserve"> - Lock: Shifting Out of Park
</t>
    </r>
    <r>
      <rPr>
        <b/>
        <sz val="11"/>
        <color theme="1"/>
        <rFont val="Calibri"/>
        <family val="2"/>
        <charset val="204"/>
        <scheme val="minor"/>
      </rPr>
      <t>0101</t>
    </r>
    <r>
      <rPr>
        <sz val="11"/>
        <color theme="1"/>
        <rFont val="Calibri"/>
        <family val="2"/>
        <scheme val="minor"/>
      </rPr>
      <t xml:space="preserve"> - Lock:  Out of Park / Unlock: In Park
</t>
    </r>
    <r>
      <rPr>
        <b/>
        <sz val="11"/>
        <color theme="1"/>
        <rFont val="Calibri"/>
        <family val="2"/>
        <charset val="204"/>
        <scheme val="minor"/>
      </rPr>
      <t>1010</t>
    </r>
    <r>
      <rPr>
        <sz val="11"/>
        <color theme="1"/>
        <rFont val="Calibri"/>
        <family val="2"/>
        <scheme val="minor"/>
      </rPr>
      <t xml:space="preserve"> - Lock:  When driving / Unlock: in Park</t>
    </r>
  </si>
  <si>
    <t>Adjustable Speed Limiter (ASL)</t>
  </si>
  <si>
    <t>UPD31</t>
  </si>
  <si>
    <t>UPD30</t>
  </si>
  <si>
    <t>UPD32</t>
  </si>
  <si>
    <t>1. Added ADL (Default Setting) description to RBCM 7B7-01-02 B4. Thanks to uehiro from Mazda3Revolution.
2. Renamed LIM to ASL (Adjustable Speed Limiter)</t>
  </si>
  <si>
    <t>UPD33</t>
  </si>
  <si>
    <t>Added PTC Heater in IC 720-04-22 B1 b1b0. Thanks to NewFate and Nikodim</t>
  </si>
  <si>
    <t>UPD34</t>
  </si>
  <si>
    <t>Cell format change</t>
  </si>
  <si>
    <t>Added EPB to 720-04-12 B3b1. Thanks Nikodim</t>
  </si>
  <si>
    <t>UPD35</t>
  </si>
  <si>
    <t>Fixed Seats heating position from B0 to B2 in 720-04-26.  Thanks NewFate</t>
  </si>
  <si>
    <t>1. Improved FORScan Old/New columns in IC module to include various versions of 720-01 Block, which can be 6-7-9 lines.
2. Added 720-01-03 - 720-01-09 lines into the main table, because those cars which have 9 lines in first block have various data there, instead of simply zeros, like in the rest of cars with 6 or 7 lines.
3. Added Old/New columns to IC (Mazda 2, CX-3) and BCMM tabs
4. Added some changes in IC and FSC modules, as per findings by mak22223 and Nikodim</t>
  </si>
  <si>
    <t>1. Fixed wrong links in table on Donate&amp;Tutorial tab, which were introduced in v6.21. Thanks Tristan-cx5 for the heads up;
2. Added Seats heating depending on Cloth/Leather seat type; Thanks NewFate
3. Added new link to As-Built website. Thanks Nikodim.</t>
  </si>
  <si>
    <t>1. Fixed A and B columns in IC (Mazda 2 &amp; CX-3) tab. Now you can paste full data from FORScan *.abt backup files straight into the file, as it was for ordinary IC tab. I hope I did not brake anything else with this update - let me know if I did.
2. Added a lot of findings by Nikodim.</t>
  </si>
  <si>
    <t>1. Changed 720-04(03)-xx to 720-04-xx, because it's redundant right not. All latest FORScan version have this block as 04, and not 03.
2. Because of this, I removed custom support of different Block numbers in IC, and hardcoded 04 as Source value of Block number. This also fixes the issue with FORScan versions 2.3.23+, which have changed logic of Block and Line numbering. Read more about it here - https://forscan.org/forum/viewtopic.php?t=10099
3. Added findings by enlil to FSC gen 2 tab. Block 02.
4 .Some minor changes probably along the way.</t>
  </si>
  <si>
    <t>1. Made many changes when file was in 6.19 version. Was saving the file on top of the previous. Did not document all of them
2. Added CCC Research tab, created by Nikodim. More questions can be asked directly to him
3. Added Cruise Control buttons mapping in 720-04-23 B4. Thanks to mak22223
4. Changed FOW/SBS/DRSS/MRCC description in 720-04-17 B2. Thanks to mak22223
5. Added MRCC Stop&amp;Go, as per joe_wang2018 and sath89
6. Added RHD/LHD value in 720-04-08 B3, as per Nikodim</t>
  </si>
  <si>
    <t>- With help of Nikodim, we split FSC tab to two separate tabs for Gen 1 and Gen 2 accordingly.
- Also changed some info on IC related to FSC Gen1/2
- Added DRL to FBCM tab. Thanks to reeeeeeee
- Added separate column on i-ActivSense tab for FSC Gen 2, and fixed some info on this sheet
- Added links to few of my Tutorial videos for activation of i-DM, Cruise Control and Auto Door Lock. Can be useful to understand how to work with the file.
- Most of these changes were done a while ago, but I moved old file to archive folder just now.</t>
  </si>
  <si>
    <t>- Copied stuff from v6.15 by reeeeeeee Description
- Added A/C Eco mode to IC
- Fixed a typo on CCC Converter sheet. Thanks to IanH
- SCBS related RBCM change added. Thanks to NewFate</t>
  </si>
  <si>
    <t>- Added Rear Fog Lamp value in RBCM B0 b2. Thanks to Fabiomaster;
- Updated description of Region Code in IC.</t>
  </si>
  <si>
    <t>- Added LED rear turn signal lights to FBCM (726-01-01-B1 &amp; 726-01-02-B3). Thanks to mazdaKlan from Twitter. Not tested.
- Added HBC and LDWS to FSC tab;
- Changed description of Parking Sensors in 720-04-16 B2;
- Added possibly HBC related value to 720-04-19-B0;
- Changed the RVM/BSM description in 720-04-21-B1.</t>
  </si>
  <si>
    <t>- Updated RBCM sheet with more findings, mostly in 7B7-01-03;
- Added Parking Sensors bits to IC. Thanks to Vadmmc;
- Some minor UI (description) changes;
- Added Donate tab [Russia, Ukraine + PayPal] in case anyone wants to support the project.</t>
  </si>
  <si>
    <t>- Added few new values in SSU and BCMM. Thanks to bobstar_fr
- Added Speed Correction calculation to IC sheet. Thanks to lewis-liu</t>
  </si>
  <si>
    <t>- Added BCMM sheet for Mazda 2/CX-3. Thanks to bobstar_fr and Maverick_CX3
- Fixed few minor typos
- Confirmed few options in my car:
"Vehicle Telemetry Transfer" sub-menu in "Applications" menu
"Unlock Mode" sub-menu in "Settings" - "Vehicle" - "Door Lock" menu
"Walk Away Lock" option in "Settings" - "Vehicle" - "Door Lock" menu
"Keyless Lock Beep Volume" sub-menu in "Settings" - "Vehicle" - "Door Lock" menu
Rear seatbelt indicator and beep after unfastening
Driver seatbelt beeper (at 20+ kmph when unfastened)
Passenger seatbelt beeper (at 20+ kmph when unfastened)
"Lane Departure Warning System" submenu in "Settings" - "Safety" menu
"Lane-keep Assist System" submenu in "Settings" - "Safety" menu
"Ending Screen" setting in "i-DM" application
- Renamed these options to be more informative as to what they activate and where to find these options</t>
  </si>
  <si>
    <t>- Added FSC sheet;
- Added edited last block of IC module as a list to be able to copy-paste it to *.abt file to load into FORScan to write it altogether, without the need to re-type each of the changed values (green field, which starts in cell A36). Dunno why I haven't done it earlier;
- For previous thing to work, I also added missing 720-04-28 line;
- Added i-DM function to IC module [720-04-27] (confirmed to work). Thanks to acastrolee.
- Added SCBS-R, DAA [720-04-16] (not yet confirmed by enough people). Thanks to rmaqui.
- Added LAS, LDWS [720-04-19] (confirmed to work by cutidudz). Thanks to lewis-liu.</t>
  </si>
  <si>
    <t>Thanks to mikele, made few changes in IC module:
- Added VIN coded in 720-03-03 - 720-03-07. Also removed the ability to calculate new values for these fields. So these are basically read-only in the file now.
- Added Data and Config start bytes, as well as Block numbers. Those are static values that should not be changed, so I removed possibility to calculate their new values.</t>
  </si>
  <si>
    <t>Paste data into IC sheet in A15 cell as Values</t>
  </si>
  <si>
    <t>UPD37</t>
  </si>
  <si>
    <t>UPD36</t>
  </si>
  <si>
    <t>Fixed regression in RBCM 7B7-01-02 B4 b3 ADL value, which was introduced by me in one of latest updates.</t>
  </si>
  <si>
    <r>
      <t>Headlight Washers: 0</t>
    </r>
    <r>
      <rPr>
        <sz val="11"/>
        <color theme="1"/>
        <rFont val="Calibri"/>
        <family val="2"/>
        <charset val="204"/>
        <scheme val="minor"/>
      </rPr>
      <t xml:space="preserve"> - Not Present / </t>
    </r>
    <r>
      <rPr>
        <b/>
        <sz val="11"/>
        <color theme="1"/>
        <rFont val="Calibri"/>
        <family val="2"/>
        <charset val="204"/>
        <scheme val="minor"/>
      </rPr>
      <t>1</t>
    </r>
    <r>
      <rPr>
        <sz val="11"/>
        <color theme="1"/>
        <rFont val="Calibri"/>
        <family val="2"/>
        <charset val="204"/>
        <scheme val="minor"/>
      </rPr>
      <t xml:space="preserve"> - Present</t>
    </r>
  </si>
  <si>
    <r>
      <t>Air Con.: 0</t>
    </r>
    <r>
      <rPr>
        <sz val="11"/>
        <color theme="1"/>
        <rFont val="Calibri"/>
        <family val="2"/>
        <charset val="204"/>
        <scheme val="minor"/>
      </rPr>
      <t xml:space="preserve"> - Manual / </t>
    </r>
    <r>
      <rPr>
        <b/>
        <sz val="11"/>
        <color theme="1"/>
        <rFont val="Calibri"/>
        <family val="2"/>
        <charset val="204"/>
        <scheme val="minor"/>
      </rPr>
      <t>1</t>
    </r>
    <r>
      <rPr>
        <sz val="11"/>
        <color theme="1"/>
        <rFont val="Calibri"/>
        <family val="2"/>
        <charset val="204"/>
        <scheme val="minor"/>
      </rPr>
      <t xml:space="preserve"> - Full Auto</t>
    </r>
  </si>
  <si>
    <r>
      <rPr>
        <b/>
        <sz val="11"/>
        <color theme="1"/>
        <rFont val="Calibri"/>
        <family val="2"/>
        <scheme val="minor"/>
      </rPr>
      <t xml:space="preserve">Auto Door Lock: </t>
    </r>
    <r>
      <rPr>
        <b/>
        <sz val="11"/>
        <color theme="1"/>
        <rFont val="Calibri"/>
        <family val="2"/>
        <charset val="204"/>
        <scheme val="minor"/>
      </rPr>
      <t>0</t>
    </r>
    <r>
      <rPr>
        <sz val="11"/>
        <color theme="1"/>
        <rFont val="Calibri"/>
        <family val="2"/>
        <charset val="204"/>
        <scheme val="minor"/>
      </rPr>
      <t xml:space="preserve"> - ON / </t>
    </r>
    <r>
      <rPr>
        <b/>
        <sz val="11"/>
        <color theme="1"/>
        <rFont val="Calibri"/>
        <family val="2"/>
        <charset val="204"/>
        <scheme val="minor"/>
      </rPr>
      <t>1</t>
    </r>
    <r>
      <rPr>
        <sz val="11"/>
        <color theme="1"/>
        <rFont val="Calibri"/>
        <family val="2"/>
        <charset val="204"/>
        <scheme val="minor"/>
      </rPr>
      <t xml:space="preserve"> - OFF</t>
    </r>
  </si>
  <si>
    <r>
      <rPr>
        <b/>
        <sz val="11"/>
        <color theme="1"/>
        <rFont val="Calibri"/>
        <family val="2"/>
        <charset val="204"/>
        <scheme val="minor"/>
      </rPr>
      <t>EPB: 1</t>
    </r>
    <r>
      <rPr>
        <sz val="11"/>
        <color theme="1"/>
        <rFont val="Calibri"/>
        <family val="2"/>
        <charset val="204"/>
        <scheme val="minor"/>
      </rPr>
      <t xml:space="preserve"> - Present / </t>
    </r>
    <r>
      <rPr>
        <b/>
        <sz val="11"/>
        <color theme="1"/>
        <rFont val="Calibri"/>
        <family val="2"/>
        <charset val="204"/>
        <scheme val="minor"/>
      </rPr>
      <t>0</t>
    </r>
    <r>
      <rPr>
        <sz val="11"/>
        <color theme="1"/>
        <rFont val="Calibri"/>
        <family val="2"/>
        <charset val="204"/>
        <scheme val="minor"/>
      </rPr>
      <t xml:space="preserve"> - Not Present</t>
    </r>
  </si>
  <si>
    <r>
      <rPr>
        <b/>
        <sz val="11"/>
        <color theme="1"/>
        <rFont val="Calibri"/>
        <family val="2"/>
        <charset val="204"/>
        <scheme val="minor"/>
      </rPr>
      <t>Lighting - Light On Vol:</t>
    </r>
    <r>
      <rPr>
        <sz val="11"/>
        <color theme="1"/>
        <rFont val="Calibri"/>
        <family val="2"/>
        <scheme val="minor"/>
      </rPr>
      <t xml:space="preserve">
</t>
    </r>
    <r>
      <rPr>
        <i/>
        <sz val="10"/>
        <color theme="1"/>
        <rFont val="Calibri"/>
        <family val="2"/>
        <charset val="204"/>
        <scheme val="minor"/>
      </rPr>
      <t>b5b4 - Value</t>
    </r>
    <r>
      <rPr>
        <sz val="11"/>
        <color theme="1"/>
        <rFont val="Calibri"/>
        <family val="2"/>
        <scheme val="minor"/>
      </rPr>
      <t xml:space="preserve">
</t>
    </r>
    <r>
      <rPr>
        <b/>
        <sz val="11"/>
        <color theme="1"/>
        <rFont val="Calibri"/>
        <family val="2"/>
        <charset val="204"/>
        <scheme val="minor"/>
      </rPr>
      <t>00</t>
    </r>
    <r>
      <rPr>
        <sz val="11"/>
        <color theme="1"/>
        <rFont val="Calibri"/>
        <family val="2"/>
        <scheme val="minor"/>
      </rPr>
      <t xml:space="preserve"> - NA
</t>
    </r>
    <r>
      <rPr>
        <b/>
        <sz val="11"/>
        <color theme="1"/>
        <rFont val="Calibri"/>
        <family val="2"/>
        <charset val="204"/>
        <scheme val="minor"/>
      </rPr>
      <t>01</t>
    </r>
    <r>
      <rPr>
        <sz val="11"/>
        <color theme="1"/>
        <rFont val="Calibri"/>
        <family val="2"/>
        <scheme val="minor"/>
      </rPr>
      <t xml:space="preserve"> - Off
</t>
    </r>
    <r>
      <rPr>
        <b/>
        <sz val="11"/>
        <color theme="1"/>
        <rFont val="Calibri"/>
        <family val="2"/>
        <charset val="204"/>
        <scheme val="minor"/>
      </rPr>
      <t>10</t>
    </r>
    <r>
      <rPr>
        <sz val="11"/>
        <color theme="1"/>
        <rFont val="Calibri"/>
        <family val="2"/>
        <scheme val="minor"/>
      </rPr>
      <t xml:space="preserve"> - Low
</t>
    </r>
    <r>
      <rPr>
        <b/>
        <sz val="11"/>
        <color theme="1"/>
        <rFont val="Calibri"/>
        <family val="2"/>
        <charset val="204"/>
        <scheme val="minor"/>
      </rPr>
      <t>11</t>
    </r>
    <r>
      <rPr>
        <sz val="11"/>
        <color theme="1"/>
        <rFont val="Calibri"/>
        <family val="2"/>
        <scheme val="minor"/>
      </rPr>
      <t xml:space="preserve"> - High</t>
    </r>
  </si>
  <si>
    <r>
      <rPr>
        <b/>
        <sz val="11"/>
        <color theme="1"/>
        <rFont val="Calibri"/>
        <family val="2"/>
        <charset val="204"/>
        <scheme val="minor"/>
      </rPr>
      <t>LDWS/LAS Warning type</t>
    </r>
    <r>
      <rPr>
        <sz val="11"/>
        <color theme="1"/>
        <rFont val="Calibri"/>
        <family val="2"/>
        <charset val="204"/>
        <scheme val="minor"/>
      </rPr>
      <t xml:space="preserve">:
</t>
    </r>
    <r>
      <rPr>
        <i/>
        <sz val="10"/>
        <color theme="1"/>
        <rFont val="Calibri"/>
        <family val="2"/>
        <charset val="204"/>
        <scheme val="minor"/>
      </rPr>
      <t>b3b2 - Value</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Beep 
</t>
    </r>
    <r>
      <rPr>
        <b/>
        <sz val="11"/>
        <color theme="1"/>
        <rFont val="Calibri"/>
        <family val="2"/>
        <charset val="204"/>
        <scheme val="minor"/>
      </rPr>
      <t>10</t>
    </r>
    <r>
      <rPr>
        <sz val="11"/>
        <color theme="1"/>
        <rFont val="Calibri"/>
        <family val="2"/>
        <charset val="204"/>
        <scheme val="minor"/>
      </rPr>
      <t xml:space="preserve"> - Rumble 
</t>
    </r>
    <r>
      <rPr>
        <b/>
        <sz val="11"/>
        <color theme="1"/>
        <rFont val="Calibri"/>
        <family val="2"/>
        <charset val="204"/>
        <scheme val="minor"/>
      </rPr>
      <t>11</t>
    </r>
    <r>
      <rPr>
        <sz val="11"/>
        <color theme="1"/>
        <rFont val="Calibri"/>
        <family val="2"/>
        <charset val="204"/>
        <scheme val="minor"/>
      </rPr>
      <t xml:space="preserve"> - Vibration (LAS only)</t>
    </r>
  </si>
  <si>
    <r>
      <rPr>
        <b/>
        <sz val="11"/>
        <color theme="1"/>
        <rFont val="Calibri"/>
        <family val="2"/>
        <charset val="204"/>
        <scheme val="minor"/>
      </rPr>
      <t>Turn - Indicator Volume:</t>
    </r>
    <r>
      <rPr>
        <sz val="11"/>
        <color theme="1"/>
        <rFont val="Calibri"/>
        <family val="2"/>
        <scheme val="minor"/>
      </rPr>
      <t xml:space="preserve">
</t>
    </r>
    <r>
      <rPr>
        <i/>
        <sz val="10"/>
        <color theme="1"/>
        <rFont val="Calibri"/>
        <family val="2"/>
        <charset val="204"/>
        <scheme val="minor"/>
      </rPr>
      <t>b1b0 - Value</t>
    </r>
    <r>
      <rPr>
        <sz val="11"/>
        <color theme="1"/>
        <rFont val="Calibri"/>
        <family val="2"/>
        <scheme val="minor"/>
      </rPr>
      <t xml:space="preserve">
</t>
    </r>
    <r>
      <rPr>
        <b/>
        <sz val="11"/>
        <color theme="1"/>
        <rFont val="Calibri"/>
        <family val="2"/>
        <charset val="204"/>
        <scheme val="minor"/>
      </rPr>
      <t>00</t>
    </r>
    <r>
      <rPr>
        <sz val="11"/>
        <color theme="1"/>
        <rFont val="Calibri"/>
        <family val="2"/>
        <scheme val="minor"/>
      </rPr>
      <t xml:space="preserve"> - NA
</t>
    </r>
    <r>
      <rPr>
        <b/>
        <sz val="11"/>
        <color theme="1"/>
        <rFont val="Calibri"/>
        <family val="2"/>
        <charset val="204"/>
        <scheme val="minor"/>
      </rPr>
      <t>01</t>
    </r>
    <r>
      <rPr>
        <sz val="11"/>
        <color theme="1"/>
        <rFont val="Calibri"/>
        <family val="2"/>
        <scheme val="minor"/>
      </rPr>
      <t xml:space="preserve"> - Low
</t>
    </r>
    <r>
      <rPr>
        <b/>
        <sz val="11"/>
        <color theme="1"/>
        <rFont val="Calibri"/>
        <family val="2"/>
        <charset val="204"/>
        <scheme val="minor"/>
      </rPr>
      <t>10</t>
    </r>
    <r>
      <rPr>
        <sz val="11"/>
        <color theme="1"/>
        <rFont val="Calibri"/>
        <family val="2"/>
        <scheme val="minor"/>
      </rPr>
      <t xml:space="preserve"> - High</t>
    </r>
  </si>
  <si>
    <r>
      <rPr>
        <b/>
        <sz val="11"/>
        <color theme="1"/>
        <rFont val="Calibri"/>
        <family val="2"/>
        <charset val="204"/>
        <scheme val="minor"/>
      </rPr>
      <t>RVM Volume:</t>
    </r>
    <r>
      <rPr>
        <sz val="11"/>
        <color theme="1"/>
        <rFont val="Calibri"/>
        <family val="2"/>
        <charset val="204"/>
        <scheme val="minor"/>
      </rPr>
      <t xml:space="preserve">
</t>
    </r>
    <r>
      <rPr>
        <i/>
        <sz val="10"/>
        <color theme="1"/>
        <rFont val="Calibri"/>
        <family val="2"/>
        <charset val="204"/>
        <scheme val="minor"/>
      </rPr>
      <t>b5b4 - Value</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NA
</t>
    </r>
    <r>
      <rPr>
        <b/>
        <sz val="11"/>
        <color theme="1"/>
        <rFont val="Calibri"/>
        <family val="2"/>
        <charset val="204"/>
        <scheme val="minor"/>
      </rPr>
      <t>01</t>
    </r>
    <r>
      <rPr>
        <sz val="11"/>
        <color theme="1"/>
        <rFont val="Calibri"/>
        <family val="2"/>
        <charset val="204"/>
        <scheme val="minor"/>
      </rPr>
      <t xml:space="preserve"> - Off
</t>
    </r>
    <r>
      <rPr>
        <b/>
        <sz val="11"/>
        <color theme="1"/>
        <rFont val="Calibri"/>
        <family val="2"/>
        <charset val="204"/>
        <scheme val="minor"/>
      </rPr>
      <t>10</t>
    </r>
    <r>
      <rPr>
        <sz val="11"/>
        <color theme="1"/>
        <rFont val="Calibri"/>
        <family val="2"/>
        <charset val="204"/>
        <scheme val="minor"/>
      </rPr>
      <t xml:space="preserve"> - Low
</t>
    </r>
    <r>
      <rPr>
        <b/>
        <sz val="11"/>
        <color theme="1"/>
        <rFont val="Calibri"/>
        <family val="2"/>
        <charset val="204"/>
        <scheme val="minor"/>
      </rPr>
      <t>11</t>
    </r>
    <r>
      <rPr>
        <sz val="11"/>
        <color theme="1"/>
        <rFont val="Calibri"/>
        <family val="2"/>
        <charset val="204"/>
        <scheme val="minor"/>
      </rPr>
      <t xml:space="preserve"> - High</t>
    </r>
  </si>
  <si>
    <r>
      <rPr>
        <b/>
        <sz val="11"/>
        <color theme="1"/>
        <rFont val="Calibri"/>
        <family val="2"/>
        <charset val="204"/>
        <scheme val="minor"/>
      </rPr>
      <t>SBS Volume:</t>
    </r>
    <r>
      <rPr>
        <sz val="11"/>
        <color theme="1"/>
        <rFont val="Calibri"/>
        <family val="2"/>
        <charset val="204"/>
        <scheme val="minor"/>
      </rPr>
      <t xml:space="preserve">
</t>
    </r>
    <r>
      <rPr>
        <i/>
        <sz val="10"/>
        <color theme="1"/>
        <rFont val="Calibri"/>
        <family val="2"/>
        <charset val="204"/>
        <scheme val="minor"/>
      </rPr>
      <t>b7b6 - Value</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NA
</t>
    </r>
    <r>
      <rPr>
        <b/>
        <sz val="11"/>
        <color theme="1"/>
        <rFont val="Calibri"/>
        <family val="2"/>
        <charset val="204"/>
        <scheme val="minor"/>
      </rPr>
      <t>01</t>
    </r>
    <r>
      <rPr>
        <sz val="11"/>
        <color theme="1"/>
        <rFont val="Calibri"/>
        <family val="2"/>
        <charset val="204"/>
        <scheme val="minor"/>
      </rPr>
      <t xml:space="preserve"> - Off
</t>
    </r>
    <r>
      <rPr>
        <b/>
        <sz val="11"/>
        <color theme="1"/>
        <rFont val="Calibri"/>
        <family val="2"/>
        <charset val="204"/>
        <scheme val="minor"/>
      </rPr>
      <t>10</t>
    </r>
    <r>
      <rPr>
        <sz val="11"/>
        <color theme="1"/>
        <rFont val="Calibri"/>
        <family val="2"/>
        <charset val="204"/>
        <scheme val="minor"/>
      </rPr>
      <t xml:space="preserve"> - Low
</t>
    </r>
    <r>
      <rPr>
        <b/>
        <sz val="11"/>
        <color theme="1"/>
        <rFont val="Calibri"/>
        <family val="2"/>
        <charset val="204"/>
        <scheme val="minor"/>
      </rPr>
      <t>11</t>
    </r>
    <r>
      <rPr>
        <sz val="11"/>
        <color theme="1"/>
        <rFont val="Calibri"/>
        <family val="2"/>
        <charset val="204"/>
        <scheme val="minor"/>
      </rPr>
      <t xml:space="preserve"> - High
</t>
    </r>
  </si>
  <si>
    <r>
      <rPr>
        <b/>
        <sz val="11"/>
        <color theme="1"/>
        <rFont val="Calibri"/>
        <family val="2"/>
        <charset val="204"/>
        <scheme val="minor"/>
      </rPr>
      <t>LDWS Volume:</t>
    </r>
    <r>
      <rPr>
        <sz val="11"/>
        <color theme="1"/>
        <rFont val="Calibri"/>
        <family val="2"/>
        <charset val="204"/>
        <scheme val="minor"/>
      </rPr>
      <t xml:space="preserve">
</t>
    </r>
    <r>
      <rPr>
        <i/>
        <sz val="10"/>
        <color theme="1"/>
        <rFont val="Calibri"/>
        <family val="2"/>
        <charset val="204"/>
        <scheme val="minor"/>
      </rPr>
      <t>b3b2 - Value</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NA
</t>
    </r>
    <r>
      <rPr>
        <b/>
        <sz val="11"/>
        <color theme="1"/>
        <rFont val="Calibri"/>
        <family val="2"/>
        <charset val="204"/>
        <scheme val="minor"/>
      </rPr>
      <t>01</t>
    </r>
    <r>
      <rPr>
        <sz val="11"/>
        <color theme="1"/>
        <rFont val="Calibri"/>
        <family val="2"/>
        <charset val="204"/>
        <scheme val="minor"/>
      </rPr>
      <t xml:space="preserve"> - Volume 1
</t>
    </r>
    <r>
      <rPr>
        <b/>
        <sz val="11"/>
        <color theme="1"/>
        <rFont val="Calibri"/>
        <family val="2"/>
        <charset val="204"/>
        <scheme val="minor"/>
      </rPr>
      <t>10</t>
    </r>
    <r>
      <rPr>
        <sz val="11"/>
        <color theme="1"/>
        <rFont val="Calibri"/>
        <family val="2"/>
        <charset val="204"/>
        <scheme val="minor"/>
      </rPr>
      <t xml:space="preserve"> - Volume 2
</t>
    </r>
    <r>
      <rPr>
        <b/>
        <sz val="11"/>
        <color theme="1"/>
        <rFont val="Calibri"/>
        <family val="2"/>
        <charset val="204"/>
        <scheme val="minor"/>
      </rPr>
      <t>11</t>
    </r>
    <r>
      <rPr>
        <sz val="11"/>
        <color theme="1"/>
        <rFont val="Calibri"/>
        <family val="2"/>
        <charset val="204"/>
        <scheme val="minor"/>
      </rPr>
      <t xml:space="preserve"> - Volume 3</t>
    </r>
  </si>
  <si>
    <r>
      <rPr>
        <b/>
        <sz val="11"/>
        <color theme="1"/>
        <rFont val="Calibri"/>
        <family val="2"/>
        <charset val="204"/>
        <scheme val="minor"/>
      </rPr>
      <t>BSM Volume:</t>
    </r>
    <r>
      <rPr>
        <sz val="11"/>
        <color theme="1"/>
        <rFont val="Calibri"/>
        <family val="2"/>
        <scheme val="minor"/>
      </rPr>
      <t xml:space="preserve">
</t>
    </r>
    <r>
      <rPr>
        <i/>
        <sz val="10"/>
        <color theme="1"/>
        <rFont val="Calibri"/>
        <family val="2"/>
        <charset val="204"/>
        <scheme val="minor"/>
      </rPr>
      <t>b1b0 - Value</t>
    </r>
    <r>
      <rPr>
        <sz val="11"/>
        <color theme="1"/>
        <rFont val="Calibri"/>
        <family val="2"/>
        <scheme val="minor"/>
      </rPr>
      <t xml:space="preserve">
</t>
    </r>
    <r>
      <rPr>
        <b/>
        <sz val="11"/>
        <color theme="1"/>
        <rFont val="Calibri"/>
        <family val="2"/>
        <charset val="204"/>
        <scheme val="minor"/>
      </rPr>
      <t>00</t>
    </r>
    <r>
      <rPr>
        <sz val="11"/>
        <color theme="1"/>
        <rFont val="Calibri"/>
        <family val="2"/>
        <scheme val="minor"/>
      </rPr>
      <t xml:space="preserve"> - NA
</t>
    </r>
    <r>
      <rPr>
        <b/>
        <sz val="11"/>
        <color theme="1"/>
        <rFont val="Calibri"/>
        <family val="2"/>
        <charset val="204"/>
        <scheme val="minor"/>
      </rPr>
      <t>01</t>
    </r>
    <r>
      <rPr>
        <sz val="11"/>
        <color theme="1"/>
        <rFont val="Calibri"/>
        <family val="2"/>
        <scheme val="minor"/>
      </rPr>
      <t xml:space="preserve"> - Off
</t>
    </r>
    <r>
      <rPr>
        <b/>
        <sz val="11"/>
        <color theme="1"/>
        <rFont val="Calibri"/>
        <family val="2"/>
        <charset val="204"/>
        <scheme val="minor"/>
      </rPr>
      <t>10</t>
    </r>
    <r>
      <rPr>
        <sz val="11"/>
        <color theme="1"/>
        <rFont val="Calibri"/>
        <family val="2"/>
        <scheme val="minor"/>
      </rPr>
      <t xml:space="preserve"> - Low
</t>
    </r>
    <r>
      <rPr>
        <b/>
        <sz val="11"/>
        <color theme="1"/>
        <rFont val="Calibri"/>
        <family val="2"/>
        <charset val="204"/>
        <scheme val="minor"/>
      </rPr>
      <t>11</t>
    </r>
    <r>
      <rPr>
        <sz val="11"/>
        <color theme="1"/>
        <rFont val="Calibri"/>
        <family val="2"/>
        <scheme val="minor"/>
      </rPr>
      <t xml:space="preserve"> - High</t>
    </r>
  </si>
  <si>
    <r>
      <rPr>
        <b/>
        <sz val="11"/>
        <color theme="1"/>
        <rFont val="Calibri"/>
        <family val="2"/>
        <charset val="204"/>
        <scheme val="minor"/>
      </rPr>
      <t>Adaptive headligts (AFS)</t>
    </r>
    <r>
      <rPr>
        <sz val="11"/>
        <color theme="1"/>
        <rFont val="Calibri"/>
        <family val="2"/>
        <charset val="204"/>
        <scheme val="minor"/>
      </rPr>
      <t xml:space="preserve">:
</t>
    </r>
    <r>
      <rPr>
        <i/>
        <sz val="10"/>
        <color theme="1"/>
        <rFont val="Calibri"/>
        <family val="2"/>
        <charset val="204"/>
        <scheme val="minor"/>
      </rPr>
      <t>b7b6 - Value</t>
    </r>
    <r>
      <rPr>
        <sz val="11"/>
        <color theme="1"/>
        <rFont val="Calibri"/>
        <family val="2"/>
        <charset val="204"/>
        <scheme val="minor"/>
      </rPr>
      <t xml:space="preserve">
</t>
    </r>
    <r>
      <rPr>
        <b/>
        <sz val="11"/>
        <color theme="1"/>
        <rFont val="Calibri"/>
        <family val="2"/>
        <charset val="204"/>
        <scheme val="minor"/>
      </rPr>
      <t>10</t>
    </r>
    <r>
      <rPr>
        <sz val="11"/>
        <color theme="1"/>
        <rFont val="Calibri"/>
        <family val="2"/>
        <charset val="204"/>
        <scheme val="minor"/>
      </rPr>
      <t xml:space="preserve"> - On
</t>
    </r>
    <r>
      <rPr>
        <b/>
        <sz val="11"/>
        <color theme="1"/>
        <rFont val="Calibri"/>
        <family val="2"/>
        <charset val="204"/>
        <scheme val="minor"/>
      </rPr>
      <t>01</t>
    </r>
    <r>
      <rPr>
        <sz val="11"/>
        <color theme="1"/>
        <rFont val="Calibri"/>
        <family val="2"/>
        <charset val="204"/>
        <scheme val="minor"/>
      </rPr>
      <t xml:space="preserve"> - Off</t>
    </r>
  </si>
  <si>
    <r>
      <rPr>
        <b/>
        <sz val="11"/>
        <color theme="1"/>
        <rFont val="Calibri"/>
        <family val="2"/>
        <charset val="204"/>
        <scheme val="minor"/>
      </rPr>
      <t>Sync Average and Trip A:</t>
    </r>
    <r>
      <rPr>
        <sz val="11"/>
        <color theme="1"/>
        <rFont val="Calibri"/>
        <family val="2"/>
        <scheme val="minor"/>
      </rPr>
      <t xml:space="preserve">
</t>
    </r>
    <r>
      <rPr>
        <i/>
        <sz val="10"/>
        <color theme="1"/>
        <rFont val="Calibri"/>
        <family val="2"/>
        <charset val="204"/>
        <scheme val="minor"/>
      </rPr>
      <t>b5b4 - Value</t>
    </r>
    <r>
      <rPr>
        <sz val="11"/>
        <color theme="1"/>
        <rFont val="Calibri"/>
        <family val="2"/>
        <scheme val="minor"/>
      </rPr>
      <t xml:space="preserve">
</t>
    </r>
    <r>
      <rPr>
        <b/>
        <sz val="11"/>
        <color theme="1"/>
        <rFont val="Calibri"/>
        <family val="2"/>
        <charset val="204"/>
        <scheme val="minor"/>
      </rPr>
      <t>00</t>
    </r>
    <r>
      <rPr>
        <sz val="11"/>
        <color theme="1"/>
        <rFont val="Calibri"/>
        <family val="2"/>
        <scheme val="minor"/>
      </rPr>
      <t xml:space="preserve"> - NA
</t>
    </r>
    <r>
      <rPr>
        <b/>
        <sz val="11"/>
        <color theme="1"/>
        <rFont val="Calibri"/>
        <family val="2"/>
        <charset val="204"/>
        <scheme val="minor"/>
      </rPr>
      <t>01</t>
    </r>
    <r>
      <rPr>
        <sz val="11"/>
        <color theme="1"/>
        <rFont val="Calibri"/>
        <family val="2"/>
        <scheme val="minor"/>
      </rPr>
      <t xml:space="preserve"> - Off
</t>
    </r>
    <r>
      <rPr>
        <b/>
        <sz val="11"/>
        <color theme="1"/>
        <rFont val="Calibri"/>
        <family val="2"/>
        <charset val="204"/>
        <scheme val="minor"/>
      </rPr>
      <t>10</t>
    </r>
    <r>
      <rPr>
        <sz val="11"/>
        <color theme="1"/>
        <rFont val="Calibri"/>
        <family val="2"/>
        <scheme val="minor"/>
      </rPr>
      <t xml:space="preserve"> - On</t>
    </r>
  </si>
  <si>
    <r>
      <rPr>
        <b/>
        <sz val="11"/>
        <color theme="1"/>
        <rFont val="Calibri"/>
        <family val="2"/>
        <charset val="204"/>
        <scheme val="minor"/>
      </rPr>
      <t>TCM</t>
    </r>
    <r>
      <rPr>
        <sz val="11"/>
        <color theme="1"/>
        <rFont val="Calibri"/>
        <family val="2"/>
        <charset val="204"/>
        <scheme val="minor"/>
      </rPr>
      <t xml:space="preserve">:
</t>
    </r>
    <r>
      <rPr>
        <i/>
        <sz val="10"/>
        <color theme="1"/>
        <rFont val="Calibri"/>
        <family val="2"/>
        <charset val="204"/>
        <scheme val="minor"/>
      </rPr>
      <t>b2b1 - Value</t>
    </r>
    <r>
      <rPr>
        <sz val="11"/>
        <color theme="1"/>
        <rFont val="Calibri"/>
        <family val="2"/>
        <charset val="204"/>
        <scheme val="minor"/>
      </rPr>
      <t xml:space="preserve">
</t>
    </r>
    <r>
      <rPr>
        <b/>
        <sz val="11"/>
        <color theme="1"/>
        <rFont val="Calibri"/>
        <family val="2"/>
        <charset val="204"/>
        <scheme val="minor"/>
      </rPr>
      <t>01</t>
    </r>
    <r>
      <rPr>
        <sz val="11"/>
        <color theme="1"/>
        <rFont val="Calibri"/>
        <family val="2"/>
        <charset val="204"/>
        <scheme val="minor"/>
      </rPr>
      <t xml:space="preserve"> - Manual
</t>
    </r>
    <r>
      <rPr>
        <b/>
        <sz val="11"/>
        <color theme="1"/>
        <rFont val="Calibri"/>
        <family val="2"/>
        <charset val="204"/>
        <scheme val="minor"/>
      </rPr>
      <t>10</t>
    </r>
    <r>
      <rPr>
        <sz val="11"/>
        <color theme="1"/>
        <rFont val="Calibri"/>
        <family val="2"/>
        <charset val="204"/>
        <scheme val="minor"/>
      </rPr>
      <t xml:space="preserve"> - Auto</t>
    </r>
  </si>
  <si>
    <r>
      <rPr>
        <b/>
        <sz val="11"/>
        <color theme="1"/>
        <rFont val="Calibri"/>
        <family val="2"/>
        <charset val="204"/>
        <scheme val="minor"/>
      </rPr>
      <t>Headlights</t>
    </r>
    <r>
      <rPr>
        <sz val="11"/>
        <color theme="1"/>
        <rFont val="Calibri"/>
        <family val="2"/>
        <charset val="204"/>
        <scheme val="minor"/>
      </rPr>
      <t xml:space="preserve">:
</t>
    </r>
    <r>
      <rPr>
        <i/>
        <sz val="10"/>
        <color theme="1"/>
        <rFont val="Calibri"/>
        <family val="2"/>
        <charset val="204"/>
        <scheme val="minor"/>
      </rPr>
      <t>b6b5b4 - Value</t>
    </r>
    <r>
      <rPr>
        <sz val="11"/>
        <color theme="1"/>
        <rFont val="Calibri"/>
        <family val="2"/>
        <charset val="204"/>
        <scheme val="minor"/>
      </rPr>
      <t xml:space="preserve">
</t>
    </r>
    <r>
      <rPr>
        <b/>
        <sz val="11"/>
        <color theme="1"/>
        <rFont val="Calibri"/>
        <family val="2"/>
        <charset val="204"/>
        <scheme val="minor"/>
      </rPr>
      <t>001</t>
    </r>
    <r>
      <rPr>
        <sz val="11"/>
        <color theme="1"/>
        <rFont val="Calibri"/>
        <family val="2"/>
        <charset val="204"/>
        <scheme val="minor"/>
      </rPr>
      <t xml:space="preserve"> - Halogen
</t>
    </r>
    <r>
      <rPr>
        <b/>
        <sz val="11"/>
        <color theme="1"/>
        <rFont val="Calibri"/>
        <family val="2"/>
        <charset val="204"/>
        <scheme val="minor"/>
      </rPr>
      <t>010</t>
    </r>
    <r>
      <rPr>
        <sz val="11"/>
        <color theme="1"/>
        <rFont val="Calibri"/>
        <family val="2"/>
        <charset val="204"/>
        <scheme val="minor"/>
      </rPr>
      <t xml:space="preserve"> - Xenon/LED
</t>
    </r>
    <r>
      <rPr>
        <b/>
        <sz val="11"/>
        <color theme="1"/>
        <rFont val="Calibri"/>
        <family val="2"/>
        <charset val="204"/>
        <scheme val="minor"/>
      </rPr>
      <t>011</t>
    </r>
    <r>
      <rPr>
        <sz val="11"/>
        <color theme="1"/>
        <rFont val="Calibri"/>
        <family val="2"/>
        <charset val="204"/>
        <scheme val="minor"/>
      </rPr>
      <t xml:space="preserve"> - Xenon/LED+AFS
</t>
    </r>
    <r>
      <rPr>
        <b/>
        <sz val="11"/>
        <color theme="1"/>
        <rFont val="Calibri"/>
        <family val="2"/>
        <charset val="204"/>
        <scheme val="minor"/>
      </rPr>
      <t>100</t>
    </r>
    <r>
      <rPr>
        <sz val="11"/>
        <color theme="1"/>
        <rFont val="Calibri"/>
        <family val="2"/>
        <charset val="204"/>
        <scheme val="minor"/>
      </rPr>
      <t xml:space="preserve"> - ALH (LED+ADB)</t>
    </r>
  </si>
  <si>
    <r>
      <rPr>
        <b/>
        <sz val="11"/>
        <color theme="1"/>
        <rFont val="Calibri"/>
        <family val="2"/>
        <charset val="204"/>
        <scheme val="minor"/>
      </rPr>
      <t xml:space="preserve">LAS (LKA):
</t>
    </r>
    <r>
      <rPr>
        <i/>
        <sz val="10"/>
        <color theme="1"/>
        <rFont val="Calibri"/>
        <family val="2"/>
        <charset val="204"/>
        <scheme val="minor"/>
      </rPr>
      <t>b3b2b1 - Value</t>
    </r>
    <r>
      <rPr>
        <b/>
        <sz val="11"/>
        <color theme="1"/>
        <rFont val="Calibri"/>
        <family val="2"/>
        <charset val="204"/>
        <scheme val="minor"/>
      </rPr>
      <t xml:space="preserve">
000</t>
    </r>
    <r>
      <rPr>
        <sz val="11"/>
        <color theme="1"/>
        <rFont val="Calibri"/>
        <family val="2"/>
        <charset val="204"/>
        <scheme val="minor"/>
      </rPr>
      <t xml:space="preserve"> - Disabled
</t>
    </r>
    <r>
      <rPr>
        <b/>
        <sz val="11"/>
        <color theme="1"/>
        <rFont val="Calibri"/>
        <family val="2"/>
        <charset val="204"/>
        <scheme val="minor"/>
      </rPr>
      <t>001</t>
    </r>
    <r>
      <rPr>
        <sz val="11"/>
        <color theme="1"/>
        <rFont val="Calibri"/>
        <family val="2"/>
        <charset val="204"/>
        <scheme val="minor"/>
      </rPr>
      <t xml:space="preserve"> - Enabled (M2, M3 [LHD], CX-5 [RHD], CX-8 [RHD], M6-WGN [LHD 2018-2020], M6-SDN [LHD 2015-2017])
</t>
    </r>
    <r>
      <rPr>
        <b/>
        <sz val="11"/>
        <color theme="1"/>
        <rFont val="Calibri"/>
        <family val="2"/>
        <charset val="204"/>
        <scheme val="minor"/>
      </rPr>
      <t>010</t>
    </r>
    <r>
      <rPr>
        <sz val="11"/>
        <color theme="1"/>
        <rFont val="Calibri"/>
        <family val="2"/>
        <charset val="204"/>
        <scheme val="minor"/>
      </rPr>
      <t xml:space="preserve"> - Enabled (M3 [RHD], CX-5 [LHD], CX-8 [LHD], M6-SDN [LHD 2018-2020], M6-WGN [LHD 2016-2017])
</t>
    </r>
    <r>
      <rPr>
        <b/>
        <sz val="11"/>
        <color theme="1"/>
        <rFont val="Calibri"/>
        <family val="2"/>
        <charset val="204"/>
        <scheme val="minor"/>
      </rPr>
      <t>011</t>
    </r>
    <r>
      <rPr>
        <sz val="11"/>
        <color theme="1"/>
        <rFont val="Calibri"/>
        <family val="2"/>
        <charset val="204"/>
        <scheme val="minor"/>
      </rPr>
      <t xml:space="preserve"> - Enabled (CX-9 [RHD], M6-WGN [RHD 2018-2020], Md-SDN [RHD 2015-2017])
</t>
    </r>
    <r>
      <rPr>
        <b/>
        <sz val="11"/>
        <color theme="1"/>
        <rFont val="Calibri"/>
        <family val="2"/>
        <charset val="204"/>
        <scheme val="minor"/>
      </rPr>
      <t>100</t>
    </r>
    <r>
      <rPr>
        <sz val="11"/>
        <color theme="1"/>
        <rFont val="Calibri"/>
        <family val="2"/>
        <charset val="204"/>
        <scheme val="minor"/>
      </rPr>
      <t xml:space="preserve"> - Enabled (CX-9 [LHD], M6-WGN [RHD 2015-2017], M6-SDN [RHD 2018-2020])</t>
    </r>
  </si>
  <si>
    <r>
      <rPr>
        <b/>
        <sz val="11"/>
        <color theme="1"/>
        <rFont val="Calibri"/>
        <family val="2"/>
        <charset val="204"/>
        <scheme val="minor"/>
      </rPr>
      <t>Parking sensors</t>
    </r>
    <r>
      <rPr>
        <sz val="11"/>
        <color theme="1"/>
        <rFont val="Calibri"/>
        <family val="2"/>
        <charset val="204"/>
        <scheme val="minor"/>
      </rPr>
      <t xml:space="preserve">:
</t>
    </r>
    <r>
      <rPr>
        <i/>
        <sz val="10"/>
        <color theme="1"/>
        <rFont val="Calibri"/>
        <family val="2"/>
        <charset val="204"/>
        <scheme val="minor"/>
      </rPr>
      <t>b3b2 - Value</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w/o parking sensors
</t>
    </r>
    <r>
      <rPr>
        <b/>
        <sz val="11"/>
        <color theme="1"/>
        <rFont val="Calibri"/>
        <family val="2"/>
        <charset val="204"/>
        <scheme val="minor"/>
      </rPr>
      <t>01</t>
    </r>
    <r>
      <rPr>
        <sz val="11"/>
        <color theme="1"/>
        <rFont val="Calibri"/>
        <family val="2"/>
        <charset val="204"/>
        <scheme val="minor"/>
      </rPr>
      <t xml:space="preserve"> - Rear (w/o button &amp; overlay)
</t>
    </r>
    <r>
      <rPr>
        <b/>
        <sz val="11"/>
        <color theme="1"/>
        <rFont val="Calibri"/>
        <family val="2"/>
        <charset val="204"/>
        <scheme val="minor"/>
      </rPr>
      <t>11</t>
    </r>
    <r>
      <rPr>
        <sz val="11"/>
        <color theme="1"/>
        <rFont val="Calibri"/>
        <family val="2"/>
        <charset val="204"/>
        <scheme val="minor"/>
      </rPr>
      <t xml:space="preserve"> - Front &amp; Rear (with button &amp; overlay)
2017/18 (FSC 2gen) model and others:
</t>
    </r>
    <r>
      <rPr>
        <b/>
        <sz val="11"/>
        <color theme="1"/>
        <rFont val="Calibri"/>
        <family val="2"/>
        <charset val="204"/>
        <scheme val="minor"/>
      </rPr>
      <t>00</t>
    </r>
    <r>
      <rPr>
        <sz val="11"/>
        <color theme="1"/>
        <rFont val="Calibri"/>
        <family val="2"/>
        <charset val="204"/>
        <scheme val="minor"/>
      </rPr>
      <t xml:space="preserve"> - Rear (w/o button &amp; overlay)
</t>
    </r>
    <r>
      <rPr>
        <b/>
        <sz val="11"/>
        <color theme="1"/>
        <rFont val="Calibri"/>
        <family val="2"/>
        <charset val="204"/>
        <scheme val="minor"/>
      </rPr>
      <t>01</t>
    </r>
    <r>
      <rPr>
        <sz val="11"/>
        <color theme="1"/>
        <rFont val="Calibri"/>
        <family val="2"/>
        <charset val="204"/>
        <scheme val="minor"/>
      </rPr>
      <t xml:space="preserve"> - Front &amp; Rear (with button &amp; overlay)</t>
    </r>
  </si>
  <si>
    <r>
      <rPr>
        <b/>
        <sz val="11"/>
        <color theme="1"/>
        <rFont val="Calibri"/>
        <family val="2"/>
        <charset val="204"/>
        <scheme val="minor"/>
      </rPr>
      <t>FOW/SBS/DRSS/MRCC</t>
    </r>
    <r>
      <rPr>
        <sz val="11"/>
        <color theme="1"/>
        <rFont val="Calibri"/>
        <family val="2"/>
        <charset val="204"/>
        <scheme val="minor"/>
      </rPr>
      <t xml:space="preserve">
</t>
    </r>
    <r>
      <rPr>
        <i/>
        <sz val="10"/>
        <color theme="1"/>
        <rFont val="Calibri"/>
        <family val="2"/>
        <charset val="204"/>
        <scheme val="minor"/>
      </rPr>
      <t>b7b6b5b4 - Value</t>
    </r>
    <r>
      <rPr>
        <sz val="11"/>
        <color theme="1"/>
        <rFont val="Calibri"/>
        <family val="2"/>
        <charset val="204"/>
        <scheme val="minor"/>
      </rPr>
      <t xml:space="preserve">
</t>
    </r>
    <r>
      <rPr>
        <b/>
        <sz val="11"/>
        <color theme="1"/>
        <rFont val="Calibri"/>
        <family val="2"/>
        <charset val="204"/>
        <scheme val="minor"/>
      </rPr>
      <t>0000</t>
    </r>
    <r>
      <rPr>
        <sz val="11"/>
        <color theme="1"/>
        <rFont val="Calibri"/>
        <family val="2"/>
        <charset val="204"/>
        <scheme val="minor"/>
      </rPr>
      <t xml:space="preserve"> - Wrong conf.
</t>
    </r>
    <r>
      <rPr>
        <b/>
        <sz val="11"/>
        <color theme="1"/>
        <rFont val="Calibri"/>
        <family val="2"/>
        <charset val="204"/>
        <scheme val="minor"/>
      </rPr>
      <t>0001</t>
    </r>
    <r>
      <rPr>
        <sz val="11"/>
        <color theme="1"/>
        <rFont val="Calibri"/>
        <family val="2"/>
        <charset val="204"/>
        <scheme val="minor"/>
      </rPr>
      <t xml:space="preserve"> - no SBS/FOW/DRSS/MRCC
</t>
    </r>
    <r>
      <rPr>
        <b/>
        <sz val="11"/>
        <color theme="1"/>
        <rFont val="Calibri"/>
        <family val="2"/>
        <charset val="204"/>
        <scheme val="minor"/>
      </rPr>
      <t>0010</t>
    </r>
    <r>
      <rPr>
        <sz val="11"/>
        <color theme="1"/>
        <rFont val="Calibri"/>
        <family val="2"/>
        <charset val="204"/>
        <scheme val="minor"/>
      </rPr>
      <t xml:space="preserve"> - SBS/MRCC
</t>
    </r>
    <r>
      <rPr>
        <b/>
        <sz val="11"/>
        <color theme="1"/>
        <rFont val="Calibri"/>
        <family val="2"/>
        <charset val="204"/>
        <scheme val="minor"/>
      </rPr>
      <t>0011</t>
    </r>
    <r>
      <rPr>
        <sz val="11"/>
        <color theme="1"/>
        <rFont val="Calibri"/>
        <family val="2"/>
        <charset val="204"/>
        <scheme val="minor"/>
      </rPr>
      <t xml:space="preserve"> - MRCC
</t>
    </r>
    <r>
      <rPr>
        <b/>
        <sz val="11"/>
        <color theme="1"/>
        <rFont val="Calibri"/>
        <family val="2"/>
        <charset val="204"/>
        <scheme val="minor"/>
      </rPr>
      <t>0100</t>
    </r>
    <r>
      <rPr>
        <sz val="11"/>
        <color theme="1"/>
        <rFont val="Calibri"/>
        <family val="2"/>
        <charset val="204"/>
        <scheme val="minor"/>
      </rPr>
      <t xml:space="preserve"> - SBS
</t>
    </r>
    <r>
      <rPr>
        <b/>
        <sz val="11"/>
        <color theme="1"/>
        <rFont val="Calibri"/>
        <family val="2"/>
        <charset val="204"/>
        <scheme val="minor"/>
      </rPr>
      <t>0101</t>
    </r>
    <r>
      <rPr>
        <sz val="11"/>
        <color theme="1"/>
        <rFont val="Calibri"/>
        <family val="2"/>
        <charset val="204"/>
        <scheme val="minor"/>
      </rPr>
      <t xml:space="preserve"> - FOW
</t>
    </r>
    <r>
      <rPr>
        <b/>
        <sz val="11"/>
        <color theme="1"/>
        <rFont val="Calibri"/>
        <family val="2"/>
        <charset val="204"/>
        <scheme val="minor"/>
      </rPr>
      <t>0110</t>
    </r>
    <r>
      <rPr>
        <sz val="11"/>
        <color theme="1"/>
        <rFont val="Calibri"/>
        <family val="2"/>
        <charset val="204"/>
        <scheme val="minor"/>
      </rPr>
      <t xml:space="preserve"> - DRSS
</t>
    </r>
    <r>
      <rPr>
        <b/>
        <sz val="11"/>
        <color theme="1"/>
        <rFont val="Calibri"/>
        <family val="2"/>
        <charset val="204"/>
        <scheme val="minor"/>
      </rPr>
      <t>0111</t>
    </r>
    <r>
      <rPr>
        <sz val="11"/>
        <color theme="1"/>
        <rFont val="Calibri"/>
        <family val="2"/>
        <charset val="204"/>
        <scheme val="minor"/>
      </rPr>
      <t xml:space="preserve"> - SBS/DRSS/MRCC
</t>
    </r>
    <r>
      <rPr>
        <b/>
        <sz val="11"/>
        <color theme="1"/>
        <rFont val="Calibri"/>
        <family val="2"/>
        <charset val="204"/>
        <scheme val="minor"/>
      </rPr>
      <t>1000</t>
    </r>
    <r>
      <rPr>
        <sz val="11"/>
        <color theme="1"/>
        <rFont val="Calibri"/>
        <family val="2"/>
        <charset val="204"/>
        <scheme val="minor"/>
      </rPr>
      <t xml:space="preserve"> - FOW/DRSS/MRCC
</t>
    </r>
    <r>
      <rPr>
        <b/>
        <sz val="11"/>
        <color theme="1"/>
        <rFont val="Calibri"/>
        <family val="2"/>
        <charset val="204"/>
        <scheme val="minor"/>
      </rPr>
      <t>1001</t>
    </r>
    <r>
      <rPr>
        <sz val="11"/>
        <color theme="1"/>
        <rFont val="Calibri"/>
        <family val="2"/>
        <charset val="204"/>
        <scheme val="minor"/>
      </rPr>
      <t xml:space="preserve"> - FOW/MRCC
</t>
    </r>
    <r>
      <rPr>
        <b/>
        <sz val="11"/>
        <color theme="1"/>
        <rFont val="Calibri"/>
        <family val="2"/>
        <charset val="204"/>
        <scheme val="minor"/>
      </rPr>
      <t>1010</t>
    </r>
    <r>
      <rPr>
        <sz val="11"/>
        <color theme="1"/>
        <rFont val="Calibri"/>
        <family val="2"/>
        <charset val="204"/>
        <scheme val="minor"/>
      </rPr>
      <t xml:space="preserve"> - DRSS/MRCC
</t>
    </r>
    <r>
      <rPr>
        <b/>
        <sz val="11"/>
        <color theme="1"/>
        <rFont val="Calibri"/>
        <family val="2"/>
        <charset val="204"/>
        <scheme val="minor"/>
      </rPr>
      <t>1011</t>
    </r>
    <r>
      <rPr>
        <sz val="11"/>
        <color theme="1"/>
        <rFont val="Calibri"/>
        <family val="2"/>
        <charset val="204"/>
        <scheme val="minor"/>
      </rPr>
      <t xml:space="preserve"> - SBS/DRSS
</t>
    </r>
    <r>
      <rPr>
        <b/>
        <sz val="11"/>
        <color theme="1"/>
        <rFont val="Calibri"/>
        <family val="2"/>
        <charset val="204"/>
        <scheme val="minor"/>
      </rPr>
      <t>1100</t>
    </r>
    <r>
      <rPr>
        <sz val="11"/>
        <color theme="1"/>
        <rFont val="Calibri"/>
        <family val="2"/>
        <charset val="204"/>
        <scheme val="minor"/>
      </rPr>
      <t xml:space="preserve"> - FOW/DRSS
</t>
    </r>
    <r>
      <rPr>
        <b/>
        <sz val="11"/>
        <color theme="1"/>
        <rFont val="Calibri"/>
        <family val="2"/>
        <charset val="204"/>
        <scheme val="minor"/>
      </rPr>
      <t>1101</t>
    </r>
    <r>
      <rPr>
        <sz val="11"/>
        <color theme="1"/>
        <rFont val="Calibri"/>
        <family val="2"/>
        <charset val="204"/>
        <scheme val="minor"/>
      </rPr>
      <t xml:space="preserve"> - SBS/FOW/DRSS? Wrong conf.
</t>
    </r>
    <r>
      <rPr>
        <b/>
        <sz val="11"/>
        <color theme="1"/>
        <rFont val="Calibri"/>
        <family val="2"/>
        <charset val="204"/>
        <scheme val="minor"/>
      </rPr>
      <t>1110</t>
    </r>
    <r>
      <rPr>
        <sz val="11"/>
        <color theme="1"/>
        <rFont val="Calibri"/>
        <family val="2"/>
        <charset val="204"/>
        <scheme val="minor"/>
      </rPr>
      <t xml:space="preserve"> - SBS/FOW/DRSS? Wrong conf.
</t>
    </r>
    <r>
      <rPr>
        <b/>
        <sz val="11"/>
        <color theme="1"/>
        <rFont val="Calibri"/>
        <family val="2"/>
        <charset val="204"/>
        <scheme val="minor"/>
      </rPr>
      <t>1111</t>
    </r>
    <r>
      <rPr>
        <sz val="11"/>
        <color theme="1"/>
        <rFont val="Calibri"/>
        <family val="2"/>
        <charset val="204"/>
        <scheme val="minor"/>
      </rPr>
      <t xml:space="preserve"> - SBS/FOW/DRSS? Wrong conf.</t>
    </r>
  </si>
  <si>
    <r>
      <rPr>
        <b/>
        <sz val="11"/>
        <color theme="1"/>
        <rFont val="Calibri"/>
        <family val="2"/>
        <charset val="204"/>
        <scheme val="minor"/>
      </rPr>
      <t>MRCC Stop&amp;Go</t>
    </r>
    <r>
      <rPr>
        <sz val="11"/>
        <color theme="1"/>
        <rFont val="Calibri"/>
        <family val="2"/>
        <charset val="204"/>
        <scheme val="minor"/>
      </rPr>
      <t xml:space="preserve">: </t>
    </r>
    <r>
      <rPr>
        <b/>
        <sz val="11"/>
        <color theme="1"/>
        <rFont val="Calibri"/>
        <family val="2"/>
        <charset val="204"/>
        <scheme val="minor"/>
      </rPr>
      <t>0</t>
    </r>
    <r>
      <rPr>
        <sz val="11"/>
        <color theme="1"/>
        <rFont val="Calibri"/>
        <family val="2"/>
        <charset val="204"/>
        <scheme val="minor"/>
      </rPr>
      <t xml:space="preserve"> - Disabled / </t>
    </r>
    <r>
      <rPr>
        <b/>
        <sz val="11"/>
        <color theme="1"/>
        <rFont val="Calibri"/>
        <family val="2"/>
        <charset val="204"/>
        <scheme val="minor"/>
      </rPr>
      <t>1</t>
    </r>
    <r>
      <rPr>
        <sz val="11"/>
        <color theme="1"/>
        <rFont val="Calibri"/>
        <family val="2"/>
        <charset val="204"/>
        <scheme val="minor"/>
      </rPr>
      <t xml:space="preserve"> - Enabled</t>
    </r>
  </si>
  <si>
    <r>
      <rPr>
        <b/>
        <sz val="11"/>
        <color theme="1"/>
        <rFont val="Calibri"/>
        <family val="2"/>
        <charset val="204"/>
        <scheme val="minor"/>
      </rPr>
      <t>MRCC Stop&amp;Go</t>
    </r>
    <r>
      <rPr>
        <sz val="11"/>
        <color theme="1"/>
        <rFont val="Calibri"/>
        <family val="2"/>
        <charset val="204"/>
        <scheme val="minor"/>
      </rPr>
      <t xml:space="preserve">: </t>
    </r>
    <r>
      <rPr>
        <b/>
        <sz val="11"/>
        <color theme="1"/>
        <rFont val="Calibri"/>
        <family val="2"/>
        <charset val="204"/>
        <scheme val="minor"/>
      </rPr>
      <t>0</t>
    </r>
    <r>
      <rPr>
        <sz val="11"/>
        <color theme="1"/>
        <rFont val="Calibri"/>
        <family val="2"/>
        <charset val="204"/>
        <scheme val="minor"/>
      </rPr>
      <t xml:space="preserve"> - Enabled / </t>
    </r>
    <r>
      <rPr>
        <b/>
        <sz val="11"/>
        <color theme="1"/>
        <rFont val="Calibri"/>
        <family val="2"/>
        <charset val="204"/>
        <scheme val="minor"/>
      </rPr>
      <t>1</t>
    </r>
    <r>
      <rPr>
        <sz val="11"/>
        <color theme="1"/>
        <rFont val="Calibri"/>
        <family val="2"/>
        <charset val="204"/>
        <scheme val="minor"/>
      </rPr>
      <t xml:space="preserve"> - Disabled</t>
    </r>
  </si>
  <si>
    <r>
      <rPr>
        <b/>
        <sz val="11"/>
        <color theme="1"/>
        <rFont val="Calibri"/>
        <family val="2"/>
        <charset val="204"/>
        <scheme val="minor"/>
      </rPr>
      <t>M2/CX-3/MX-5 only!</t>
    </r>
    <r>
      <rPr>
        <sz val="11"/>
        <color theme="1"/>
        <rFont val="Calibri"/>
        <family val="2"/>
        <charset val="204"/>
        <scheme val="minor"/>
      </rPr>
      <t xml:space="preserve">
</t>
    </r>
    <r>
      <rPr>
        <i/>
        <sz val="10"/>
        <color theme="1"/>
        <rFont val="Calibri"/>
        <family val="2"/>
        <charset val="204"/>
        <scheme val="minor"/>
      </rPr>
      <t>b1b0 - Value</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M3/M6/CX-5/CX-9;
</t>
    </r>
    <r>
      <rPr>
        <b/>
        <sz val="11"/>
        <color theme="1"/>
        <rFont val="Calibri"/>
        <family val="2"/>
        <charset val="204"/>
        <scheme val="minor"/>
      </rPr>
      <t>01</t>
    </r>
    <r>
      <rPr>
        <sz val="11"/>
        <color theme="1"/>
        <rFont val="Calibri"/>
        <family val="2"/>
        <charset val="204"/>
        <scheme val="minor"/>
      </rPr>
      <t xml:space="preserve"> - M2/CX-3/MX-5 (if no HBC);
</t>
    </r>
    <r>
      <rPr>
        <b/>
        <sz val="11"/>
        <color theme="1"/>
        <rFont val="Calibri"/>
        <family val="2"/>
        <charset val="204"/>
        <scheme val="minor"/>
      </rPr>
      <t xml:space="preserve">10 </t>
    </r>
    <r>
      <rPr>
        <sz val="11"/>
        <color theme="1"/>
        <rFont val="Calibri"/>
        <family val="2"/>
        <charset val="204"/>
        <scheme val="minor"/>
      </rPr>
      <t>- HBC+LDWS</t>
    </r>
  </si>
  <si>
    <r>
      <rPr>
        <b/>
        <sz val="11"/>
        <color theme="1"/>
        <rFont val="Calibri"/>
        <family val="2"/>
        <charset val="204"/>
        <scheme val="minor"/>
      </rPr>
      <t>Air Con.:</t>
    </r>
    <r>
      <rPr>
        <sz val="11"/>
        <color theme="1"/>
        <rFont val="Calibri"/>
        <family val="2"/>
        <charset val="204"/>
        <scheme val="minor"/>
      </rPr>
      <t xml:space="preserve">
</t>
    </r>
    <r>
      <rPr>
        <i/>
        <sz val="10"/>
        <color theme="1"/>
        <rFont val="Calibri"/>
        <family val="2"/>
        <charset val="204"/>
        <scheme val="minor"/>
      </rPr>
      <t>b6b5 - Value</t>
    </r>
    <r>
      <rPr>
        <sz val="11"/>
        <color theme="1"/>
        <rFont val="Calibri"/>
        <family val="2"/>
        <charset val="204"/>
        <scheme val="minor"/>
      </rPr>
      <t xml:space="preserve">
</t>
    </r>
    <r>
      <rPr>
        <b/>
        <sz val="11"/>
        <color theme="1"/>
        <rFont val="Calibri"/>
        <family val="2"/>
        <charset val="204"/>
        <scheme val="minor"/>
      </rPr>
      <t>01</t>
    </r>
    <r>
      <rPr>
        <sz val="11"/>
        <color theme="1"/>
        <rFont val="Calibri"/>
        <family val="2"/>
        <charset val="204"/>
        <scheme val="minor"/>
      </rPr>
      <t xml:space="preserve"> - Full Auto
</t>
    </r>
    <r>
      <rPr>
        <b/>
        <sz val="11"/>
        <color theme="1"/>
        <rFont val="Calibri"/>
        <family val="2"/>
        <charset val="204"/>
        <scheme val="minor"/>
      </rPr>
      <t>10</t>
    </r>
    <r>
      <rPr>
        <sz val="11"/>
        <color theme="1"/>
        <rFont val="Calibri"/>
        <family val="2"/>
        <charset val="204"/>
        <scheme val="minor"/>
      </rPr>
      <t xml:space="preserve"> - Manual</t>
    </r>
  </si>
  <si>
    <r>
      <rPr>
        <b/>
        <sz val="11"/>
        <color theme="1"/>
        <rFont val="Calibri"/>
        <family val="2"/>
        <charset val="204"/>
        <scheme val="minor"/>
      </rPr>
      <t>PTC Heater:</t>
    </r>
    <r>
      <rPr>
        <sz val="11"/>
        <color theme="1"/>
        <rFont val="Calibri"/>
        <family val="2"/>
        <scheme val="minor"/>
      </rPr>
      <t xml:space="preserve">
</t>
    </r>
    <r>
      <rPr>
        <i/>
        <sz val="10"/>
        <color theme="1"/>
        <rFont val="Calibri"/>
        <family val="2"/>
        <charset val="204"/>
        <scheme val="minor"/>
      </rPr>
      <t>b1b0 - Value</t>
    </r>
    <r>
      <rPr>
        <sz val="11"/>
        <color theme="1"/>
        <rFont val="Calibri"/>
        <family val="2"/>
        <scheme val="minor"/>
      </rPr>
      <t xml:space="preserve">
</t>
    </r>
    <r>
      <rPr>
        <b/>
        <sz val="11"/>
        <color theme="1"/>
        <rFont val="Calibri"/>
        <family val="2"/>
        <charset val="204"/>
        <scheme val="minor"/>
      </rPr>
      <t>01</t>
    </r>
    <r>
      <rPr>
        <sz val="11"/>
        <color theme="1"/>
        <rFont val="Calibri"/>
        <family val="2"/>
        <scheme val="minor"/>
      </rPr>
      <t xml:space="preserve"> - Not Present
</t>
    </r>
    <r>
      <rPr>
        <b/>
        <sz val="11"/>
        <color theme="1"/>
        <rFont val="Calibri"/>
        <family val="2"/>
        <charset val="204"/>
        <scheme val="minor"/>
      </rPr>
      <t>10</t>
    </r>
    <r>
      <rPr>
        <sz val="11"/>
        <color theme="1"/>
        <rFont val="Calibri"/>
        <family val="2"/>
        <scheme val="minor"/>
      </rPr>
      <t xml:space="preserve"> - Present</t>
    </r>
  </si>
  <si>
    <r>
      <rPr>
        <b/>
        <sz val="11"/>
        <color theme="1"/>
        <rFont val="Calibri"/>
        <family val="2"/>
        <charset val="204"/>
        <scheme val="minor"/>
      </rPr>
      <t>i-ELOOP:</t>
    </r>
    <r>
      <rPr>
        <sz val="11"/>
        <color theme="1"/>
        <rFont val="Calibri"/>
        <family val="2"/>
        <charset val="204"/>
        <scheme val="minor"/>
      </rPr>
      <t xml:space="preserve">
</t>
    </r>
    <r>
      <rPr>
        <i/>
        <sz val="10"/>
        <color theme="1"/>
        <rFont val="Calibri"/>
        <family val="2"/>
        <charset val="204"/>
        <scheme val="minor"/>
      </rPr>
      <t>b5b4 - Value</t>
    </r>
    <r>
      <rPr>
        <sz val="11"/>
        <color theme="1"/>
        <rFont val="Calibri"/>
        <family val="2"/>
        <charset val="204"/>
        <scheme val="minor"/>
      </rPr>
      <t xml:space="preserve">
</t>
    </r>
    <r>
      <rPr>
        <b/>
        <sz val="11"/>
        <color theme="1"/>
        <rFont val="Calibri"/>
        <family val="2"/>
        <charset val="204"/>
        <scheme val="minor"/>
      </rPr>
      <t>01</t>
    </r>
    <r>
      <rPr>
        <sz val="11"/>
        <color theme="1"/>
        <rFont val="Calibri"/>
        <family val="2"/>
        <charset val="204"/>
        <scheme val="minor"/>
      </rPr>
      <t xml:space="preserve"> - Off
</t>
    </r>
    <r>
      <rPr>
        <b/>
        <sz val="11"/>
        <color theme="1"/>
        <rFont val="Calibri"/>
        <family val="2"/>
        <charset val="204"/>
        <scheme val="minor"/>
      </rPr>
      <t>10</t>
    </r>
    <r>
      <rPr>
        <sz val="11"/>
        <color theme="1"/>
        <rFont val="Calibri"/>
        <family val="2"/>
        <charset val="204"/>
        <scheme val="minor"/>
      </rPr>
      <t xml:space="preserve"> - On</t>
    </r>
  </si>
  <si>
    <r>
      <rPr>
        <b/>
        <sz val="11"/>
        <color theme="1"/>
        <rFont val="Calibri"/>
        <family val="2"/>
        <charset val="204"/>
        <scheme val="minor"/>
      </rPr>
      <t>Applications - Driver Selection sub-menu</t>
    </r>
    <r>
      <rPr>
        <sz val="11"/>
        <color theme="1"/>
        <rFont val="Calibri"/>
        <family val="2"/>
        <scheme val="minor"/>
      </rPr>
      <t xml:space="preserve">: </t>
    </r>
    <r>
      <rPr>
        <b/>
        <sz val="11"/>
        <color theme="1"/>
        <rFont val="Calibri"/>
        <family val="2"/>
        <charset val="204"/>
        <scheme val="minor"/>
      </rPr>
      <t>0</t>
    </r>
    <r>
      <rPr>
        <sz val="11"/>
        <color theme="1"/>
        <rFont val="Calibri"/>
        <family val="2"/>
        <scheme val="minor"/>
      </rPr>
      <t xml:space="preserve"> - Hide / </t>
    </r>
    <r>
      <rPr>
        <b/>
        <sz val="11"/>
        <color theme="1"/>
        <rFont val="Calibri"/>
        <family val="2"/>
        <charset val="204"/>
        <scheme val="minor"/>
      </rPr>
      <t>1</t>
    </r>
    <r>
      <rPr>
        <sz val="11"/>
        <color theme="1"/>
        <rFont val="Calibri"/>
        <family val="2"/>
        <scheme val="minor"/>
      </rPr>
      <t xml:space="preserve"> - Show</t>
    </r>
  </si>
  <si>
    <r>
      <rPr>
        <b/>
        <sz val="11"/>
        <color theme="1"/>
        <rFont val="Calibri"/>
        <family val="2"/>
        <charset val="204"/>
        <scheme val="minor"/>
      </rPr>
      <t>Applications - i-DM application</t>
    </r>
    <r>
      <rPr>
        <sz val="11"/>
        <color theme="1"/>
        <rFont val="Calibri"/>
        <family val="2"/>
        <scheme val="minor"/>
      </rPr>
      <t xml:space="preserve">: </t>
    </r>
    <r>
      <rPr>
        <b/>
        <sz val="11"/>
        <color theme="1"/>
        <rFont val="Calibri"/>
        <family val="2"/>
        <charset val="204"/>
        <scheme val="minor"/>
      </rPr>
      <t>0</t>
    </r>
    <r>
      <rPr>
        <sz val="11"/>
        <color theme="1"/>
        <rFont val="Calibri"/>
        <family val="2"/>
        <scheme val="minor"/>
      </rPr>
      <t xml:space="preserve"> - Disable / </t>
    </r>
    <r>
      <rPr>
        <b/>
        <sz val="11"/>
        <color theme="1"/>
        <rFont val="Calibri"/>
        <family val="2"/>
        <charset val="204"/>
        <scheme val="minor"/>
      </rPr>
      <t>1</t>
    </r>
    <r>
      <rPr>
        <sz val="11"/>
        <color theme="1"/>
        <rFont val="Calibri"/>
        <family val="2"/>
        <scheme val="minor"/>
      </rPr>
      <t xml:space="preserve"> - Enable</t>
    </r>
  </si>
  <si>
    <r>
      <rPr>
        <b/>
        <sz val="11"/>
        <color theme="1"/>
        <rFont val="Calibri"/>
        <family val="2"/>
        <charset val="204"/>
        <scheme val="minor"/>
      </rPr>
      <t>Applications - i-DM - Ending Screen setting</t>
    </r>
    <r>
      <rPr>
        <sz val="11"/>
        <color theme="1"/>
        <rFont val="Calibri"/>
        <family val="2"/>
        <scheme val="minor"/>
      </rPr>
      <t xml:space="preserve">: </t>
    </r>
    <r>
      <rPr>
        <b/>
        <sz val="11"/>
        <color theme="1"/>
        <rFont val="Calibri"/>
        <family val="2"/>
        <charset val="204"/>
        <scheme val="minor"/>
      </rPr>
      <t>0</t>
    </r>
    <r>
      <rPr>
        <sz val="11"/>
        <color theme="1"/>
        <rFont val="Calibri"/>
        <family val="2"/>
        <scheme val="minor"/>
      </rPr>
      <t xml:space="preserve"> - Hide / </t>
    </r>
    <r>
      <rPr>
        <b/>
        <sz val="11"/>
        <color theme="1"/>
        <rFont val="Calibri"/>
        <family val="2"/>
        <charset val="204"/>
        <scheme val="minor"/>
      </rPr>
      <t>1</t>
    </r>
    <r>
      <rPr>
        <sz val="11"/>
        <color theme="1"/>
        <rFont val="Calibri"/>
        <family val="2"/>
        <scheme val="minor"/>
      </rPr>
      <t xml:space="preserve"> - Show</t>
    </r>
  </si>
  <si>
    <r>
      <rPr>
        <b/>
        <sz val="11"/>
        <color theme="1"/>
        <rFont val="Calibri"/>
        <family val="2"/>
        <charset val="204"/>
        <scheme val="minor"/>
      </rPr>
      <t>Applications - Vehicle Telemetry Transfer sub-menu</t>
    </r>
    <r>
      <rPr>
        <sz val="11"/>
        <color theme="1"/>
        <rFont val="Calibri"/>
        <family val="2"/>
        <scheme val="minor"/>
      </rPr>
      <t xml:space="preserve">: </t>
    </r>
    <r>
      <rPr>
        <b/>
        <sz val="11"/>
        <color theme="1"/>
        <rFont val="Calibri"/>
        <family val="2"/>
        <charset val="204"/>
        <scheme val="minor"/>
      </rPr>
      <t>0</t>
    </r>
    <r>
      <rPr>
        <sz val="11"/>
        <color theme="1"/>
        <rFont val="Calibri"/>
        <family val="2"/>
        <scheme val="minor"/>
      </rPr>
      <t xml:space="preserve"> - Hide / </t>
    </r>
    <r>
      <rPr>
        <b/>
        <sz val="11"/>
        <color theme="1"/>
        <rFont val="Calibri"/>
        <family val="2"/>
        <charset val="204"/>
        <scheme val="minor"/>
      </rPr>
      <t>1</t>
    </r>
    <r>
      <rPr>
        <sz val="11"/>
        <color theme="1"/>
        <rFont val="Calibri"/>
        <family val="2"/>
        <scheme val="minor"/>
      </rPr>
      <t xml:space="preserve"> - Show</t>
    </r>
  </si>
  <si>
    <r>
      <rPr>
        <b/>
        <sz val="11"/>
        <color theme="1"/>
        <rFont val="Calibri"/>
        <family val="2"/>
        <charset val="204"/>
        <scheme val="minor"/>
      </rPr>
      <t>Car model</t>
    </r>
    <r>
      <rPr>
        <sz val="11"/>
        <color theme="1"/>
        <rFont val="Calibri"/>
        <family val="2"/>
        <charset val="204"/>
        <scheme val="minor"/>
      </rPr>
      <t xml:space="preserve">:
</t>
    </r>
    <r>
      <rPr>
        <i/>
        <sz val="10"/>
        <color theme="1"/>
        <rFont val="Calibri"/>
        <family val="2"/>
        <charset val="204"/>
        <scheme val="minor"/>
      </rPr>
      <t>b3b2b1b0 - Value</t>
    </r>
    <r>
      <rPr>
        <sz val="11"/>
        <color theme="1"/>
        <rFont val="Calibri"/>
        <family val="2"/>
        <charset val="204"/>
        <scheme val="minor"/>
      </rPr>
      <t xml:space="preserve">
</t>
    </r>
    <r>
      <rPr>
        <b/>
        <sz val="11"/>
        <color theme="1"/>
        <rFont val="Calibri"/>
        <family val="2"/>
        <charset val="204"/>
        <scheme val="minor"/>
      </rPr>
      <t>0001</t>
    </r>
    <r>
      <rPr>
        <sz val="11"/>
        <color theme="1"/>
        <rFont val="Calibri"/>
        <family val="2"/>
        <charset val="204"/>
        <scheme val="minor"/>
      </rPr>
      <t xml:space="preserve"> - CX-5
</t>
    </r>
    <r>
      <rPr>
        <b/>
        <sz val="11"/>
        <color theme="1"/>
        <rFont val="Calibri"/>
        <family val="2"/>
        <charset val="204"/>
        <scheme val="minor"/>
      </rPr>
      <t>0010</t>
    </r>
    <r>
      <rPr>
        <sz val="11"/>
        <color theme="1"/>
        <rFont val="Calibri"/>
        <family val="2"/>
        <charset val="204"/>
        <scheme val="minor"/>
      </rPr>
      <t xml:space="preserve"> - M6
</t>
    </r>
    <r>
      <rPr>
        <b/>
        <sz val="11"/>
        <color theme="1"/>
        <rFont val="Calibri"/>
        <family val="2"/>
        <charset val="204"/>
        <scheme val="minor"/>
      </rPr>
      <t>0011</t>
    </r>
    <r>
      <rPr>
        <sz val="11"/>
        <color theme="1"/>
        <rFont val="Calibri"/>
        <family val="2"/>
        <charset val="204"/>
        <scheme val="minor"/>
      </rPr>
      <t xml:space="preserve"> - M3
</t>
    </r>
    <r>
      <rPr>
        <b/>
        <sz val="11"/>
        <color theme="1"/>
        <rFont val="Calibri"/>
        <family val="2"/>
        <charset val="204"/>
        <scheme val="minor"/>
      </rPr>
      <t>0101</t>
    </r>
    <r>
      <rPr>
        <sz val="11"/>
        <color theme="1"/>
        <rFont val="Calibri"/>
        <family val="2"/>
        <charset val="204"/>
        <scheme val="minor"/>
      </rPr>
      <t xml:space="preserve"> - M2
</t>
    </r>
    <r>
      <rPr>
        <b/>
        <sz val="11"/>
        <color theme="1"/>
        <rFont val="Calibri"/>
        <family val="2"/>
        <charset val="204"/>
        <scheme val="minor"/>
      </rPr>
      <t>0110</t>
    </r>
    <r>
      <rPr>
        <sz val="11"/>
        <color theme="1"/>
        <rFont val="Calibri"/>
        <family val="2"/>
        <charset val="204"/>
        <scheme val="minor"/>
      </rPr>
      <t xml:space="preserve"> - MX-5
</t>
    </r>
    <r>
      <rPr>
        <b/>
        <sz val="11"/>
        <color theme="1"/>
        <rFont val="Calibri"/>
        <family val="2"/>
        <charset val="204"/>
        <scheme val="minor"/>
      </rPr>
      <t>0111</t>
    </r>
    <r>
      <rPr>
        <sz val="11"/>
        <color theme="1"/>
        <rFont val="Calibri"/>
        <family val="2"/>
        <charset val="204"/>
        <scheme val="minor"/>
      </rPr>
      <t xml:space="preserve"> - CX-9</t>
    </r>
  </si>
  <si>
    <r>
      <rPr>
        <b/>
        <sz val="11"/>
        <color theme="1"/>
        <rFont val="Calibri"/>
        <family val="2"/>
        <charset val="204"/>
        <scheme val="minor"/>
      </rPr>
      <t xml:space="preserve">Body type:
</t>
    </r>
    <r>
      <rPr>
        <i/>
        <sz val="10"/>
        <color theme="1"/>
        <rFont val="Calibri"/>
        <family val="2"/>
        <charset val="204"/>
        <scheme val="minor"/>
      </rPr>
      <t>b5b4 - Value</t>
    </r>
    <r>
      <rPr>
        <sz val="11"/>
        <color theme="1"/>
        <rFont val="Calibri"/>
        <family val="2"/>
        <charset val="204"/>
        <scheme val="minor"/>
      </rPr>
      <t xml:space="preserve">
</t>
    </r>
    <r>
      <rPr>
        <b/>
        <sz val="11"/>
        <color theme="1"/>
        <rFont val="Calibri"/>
        <family val="2"/>
        <charset val="204"/>
        <scheme val="minor"/>
      </rPr>
      <t>01</t>
    </r>
    <r>
      <rPr>
        <sz val="11"/>
        <color theme="1"/>
        <rFont val="Calibri"/>
        <family val="2"/>
        <charset val="204"/>
        <scheme val="minor"/>
      </rPr>
      <t xml:space="preserve"> - Sedan
</t>
    </r>
    <r>
      <rPr>
        <b/>
        <sz val="11"/>
        <color theme="1"/>
        <rFont val="Calibri"/>
        <family val="2"/>
        <charset val="204"/>
        <scheme val="minor"/>
      </rPr>
      <t>10</t>
    </r>
    <r>
      <rPr>
        <sz val="11"/>
        <color theme="1"/>
        <rFont val="Calibri"/>
        <family val="2"/>
        <charset val="204"/>
        <scheme val="minor"/>
      </rPr>
      <t xml:space="preserve"> - Wagon
</t>
    </r>
    <r>
      <rPr>
        <b/>
        <sz val="11"/>
        <color theme="1"/>
        <rFont val="Calibri"/>
        <family val="2"/>
        <charset val="204"/>
        <scheme val="minor"/>
      </rPr>
      <t>11</t>
    </r>
    <r>
      <rPr>
        <sz val="11"/>
        <color theme="1"/>
        <rFont val="Calibri"/>
        <family val="2"/>
        <charset val="204"/>
        <scheme val="minor"/>
      </rPr>
      <t xml:space="preserve"> - Hatchback</t>
    </r>
  </si>
  <si>
    <r>
      <rPr>
        <b/>
        <sz val="11"/>
        <color theme="1"/>
        <rFont val="Calibri"/>
        <family val="2"/>
        <charset val="204"/>
        <scheme val="minor"/>
      </rPr>
      <t>RHD/LHD:</t>
    </r>
    <r>
      <rPr>
        <sz val="11"/>
        <color theme="1"/>
        <rFont val="Calibri"/>
        <family val="2"/>
        <charset val="204"/>
        <scheme val="minor"/>
      </rPr>
      <t xml:space="preserve">
</t>
    </r>
    <r>
      <rPr>
        <i/>
        <sz val="10"/>
        <color theme="1"/>
        <rFont val="Calibri"/>
        <family val="2"/>
        <charset val="204"/>
        <scheme val="minor"/>
      </rPr>
      <t>b7b6 - Value</t>
    </r>
    <r>
      <rPr>
        <sz val="11"/>
        <color theme="1"/>
        <rFont val="Calibri"/>
        <family val="2"/>
        <charset val="204"/>
        <scheme val="minor"/>
      </rPr>
      <t xml:space="preserve">
</t>
    </r>
    <r>
      <rPr>
        <b/>
        <sz val="11"/>
        <color theme="1"/>
        <rFont val="Calibri"/>
        <family val="2"/>
        <charset val="204"/>
        <scheme val="minor"/>
      </rPr>
      <t>01</t>
    </r>
    <r>
      <rPr>
        <sz val="11"/>
        <color theme="1"/>
        <rFont val="Calibri"/>
        <family val="2"/>
        <charset val="204"/>
        <scheme val="minor"/>
      </rPr>
      <t xml:space="preserve"> - LHD
</t>
    </r>
    <r>
      <rPr>
        <b/>
        <sz val="11"/>
        <color theme="1"/>
        <rFont val="Calibri"/>
        <family val="2"/>
        <charset val="204"/>
        <scheme val="minor"/>
      </rPr>
      <t>10</t>
    </r>
    <r>
      <rPr>
        <sz val="11"/>
        <color theme="1"/>
        <rFont val="Calibri"/>
        <family val="2"/>
        <charset val="204"/>
        <scheme val="minor"/>
      </rPr>
      <t xml:space="preserve"> - RHD</t>
    </r>
  </si>
  <si>
    <r>
      <rPr>
        <b/>
        <sz val="11"/>
        <color theme="1"/>
        <rFont val="Calibri"/>
        <family val="2"/>
        <charset val="204"/>
        <scheme val="minor"/>
      </rPr>
      <t>4WD:</t>
    </r>
    <r>
      <rPr>
        <sz val="11"/>
        <color theme="1"/>
        <rFont val="Calibri"/>
        <family val="2"/>
        <charset val="204"/>
        <scheme val="minor"/>
      </rPr>
      <t xml:space="preserve">
</t>
    </r>
    <r>
      <rPr>
        <i/>
        <sz val="10"/>
        <color theme="1"/>
        <rFont val="Calibri"/>
        <family val="2"/>
        <charset val="204"/>
        <scheme val="minor"/>
      </rPr>
      <t>b5b4 - Value</t>
    </r>
    <r>
      <rPr>
        <sz val="11"/>
        <color theme="1"/>
        <rFont val="Calibri"/>
        <family val="2"/>
        <charset val="204"/>
        <scheme val="minor"/>
      </rPr>
      <t xml:space="preserve">
</t>
    </r>
    <r>
      <rPr>
        <b/>
        <sz val="11"/>
        <color theme="1"/>
        <rFont val="Calibri"/>
        <family val="2"/>
        <charset val="204"/>
        <scheme val="minor"/>
      </rPr>
      <t>01</t>
    </r>
    <r>
      <rPr>
        <sz val="11"/>
        <color theme="1"/>
        <rFont val="Calibri"/>
        <family val="2"/>
        <charset val="204"/>
        <scheme val="minor"/>
      </rPr>
      <t xml:space="preserve"> - all cars w/o 4WD
</t>
    </r>
    <r>
      <rPr>
        <b/>
        <sz val="11"/>
        <color theme="1"/>
        <rFont val="Calibri"/>
        <family val="2"/>
        <charset val="204"/>
        <scheme val="minor"/>
      </rPr>
      <t>10</t>
    </r>
    <r>
      <rPr>
        <sz val="11"/>
        <color theme="1"/>
        <rFont val="Calibri"/>
        <family val="2"/>
        <charset val="204"/>
        <scheme val="minor"/>
      </rPr>
      <t xml:space="preserve"> - 4WD</t>
    </r>
    <r>
      <rPr>
        <b/>
        <sz val="11"/>
        <color theme="1"/>
        <rFont val="Calibri"/>
        <family val="2"/>
        <charset val="204"/>
        <scheme val="minor"/>
      </rPr>
      <t xml:space="preserve"> </t>
    </r>
    <r>
      <rPr>
        <sz val="11"/>
        <color theme="1"/>
        <rFont val="Calibri"/>
        <family val="2"/>
        <charset val="204"/>
        <scheme val="minor"/>
      </rPr>
      <t>(only CX5-EU, CX5-JP, M6-JP w/o RVM)</t>
    </r>
  </si>
  <si>
    <r>
      <rPr>
        <b/>
        <sz val="11"/>
        <color theme="1"/>
        <rFont val="Calibri"/>
        <family val="2"/>
        <charset val="204"/>
        <scheme val="minor"/>
      </rPr>
      <t>SBS</t>
    </r>
    <r>
      <rPr>
        <sz val="11"/>
        <color theme="1"/>
        <rFont val="Calibri"/>
        <family val="2"/>
        <charset val="204"/>
        <scheme val="minor"/>
      </rPr>
      <t xml:space="preserve">:
</t>
    </r>
    <r>
      <rPr>
        <i/>
        <sz val="10"/>
        <color theme="1"/>
        <rFont val="Calibri"/>
        <family val="2"/>
        <charset val="204"/>
        <scheme val="minor"/>
      </rPr>
      <t>b1b0 - Value</t>
    </r>
    <r>
      <rPr>
        <sz val="11"/>
        <color theme="1"/>
        <rFont val="Calibri"/>
        <family val="2"/>
        <charset val="204"/>
        <scheme val="minor"/>
      </rPr>
      <t xml:space="preserve">
</t>
    </r>
    <r>
      <rPr>
        <b/>
        <sz val="11"/>
        <color theme="1"/>
        <rFont val="Calibri"/>
        <family val="2"/>
        <charset val="204"/>
        <scheme val="minor"/>
      </rPr>
      <t>01</t>
    </r>
    <r>
      <rPr>
        <sz val="11"/>
        <color theme="1"/>
        <rFont val="Calibri"/>
        <family val="2"/>
        <charset val="204"/>
        <scheme val="minor"/>
      </rPr>
      <t xml:space="preserve"> - no SBS
</t>
    </r>
    <r>
      <rPr>
        <b/>
        <sz val="11"/>
        <color theme="1"/>
        <rFont val="Calibri"/>
        <family val="2"/>
        <charset val="204"/>
        <scheme val="minor"/>
      </rPr>
      <t>10</t>
    </r>
    <r>
      <rPr>
        <sz val="11"/>
        <color theme="1"/>
        <rFont val="Calibri"/>
        <family val="2"/>
        <charset val="204"/>
        <scheme val="minor"/>
      </rPr>
      <t xml:space="preserve"> - SBS</t>
    </r>
  </si>
  <si>
    <r>
      <rPr>
        <b/>
        <sz val="11"/>
        <color theme="1"/>
        <rFont val="Calibri"/>
        <family val="2"/>
        <charset val="204"/>
        <scheme val="minor"/>
      </rPr>
      <t>Market area</t>
    </r>
    <r>
      <rPr>
        <sz val="11"/>
        <color theme="1"/>
        <rFont val="Calibri"/>
        <family val="2"/>
        <charset val="204"/>
        <scheme val="minor"/>
      </rPr>
      <t xml:space="preserve">
</t>
    </r>
    <r>
      <rPr>
        <i/>
        <sz val="10"/>
        <color theme="1"/>
        <rFont val="Calibri"/>
        <family val="2"/>
        <charset val="204"/>
        <scheme val="minor"/>
      </rPr>
      <t>b7b6b5b4 - Value</t>
    </r>
    <r>
      <rPr>
        <sz val="11"/>
        <color theme="1"/>
        <rFont val="Calibri"/>
        <family val="2"/>
        <charset val="204"/>
        <scheme val="minor"/>
      </rPr>
      <t xml:space="preserve">
</t>
    </r>
    <r>
      <rPr>
        <b/>
        <sz val="11"/>
        <color theme="1"/>
        <rFont val="Calibri"/>
        <family val="2"/>
        <charset val="204"/>
        <scheme val="minor"/>
      </rPr>
      <t>0001</t>
    </r>
    <r>
      <rPr>
        <sz val="11"/>
        <color theme="1"/>
        <rFont val="Calibri"/>
        <family val="2"/>
        <charset val="204"/>
        <scheme val="minor"/>
      </rPr>
      <t xml:space="preserve"> - JP (RHD)</t>
    </r>
    <r>
      <rPr>
        <b/>
        <sz val="11"/>
        <color theme="1"/>
        <rFont val="Calibri"/>
        <family val="2"/>
        <charset val="204"/>
        <scheme val="minor"/>
      </rPr>
      <t xml:space="preserve">
0010</t>
    </r>
    <r>
      <rPr>
        <sz val="11"/>
        <color theme="1"/>
        <rFont val="Calibri"/>
        <family val="2"/>
        <charset val="204"/>
        <scheme val="minor"/>
      </rPr>
      <t xml:space="preserve"> - US/Can (LHD)</t>
    </r>
    <r>
      <rPr>
        <b/>
        <sz val="11"/>
        <color theme="1"/>
        <rFont val="Calibri"/>
        <family val="2"/>
        <charset val="204"/>
        <scheme val="minor"/>
      </rPr>
      <t xml:space="preserve">
0011</t>
    </r>
    <r>
      <rPr>
        <sz val="11"/>
        <color theme="1"/>
        <rFont val="Calibri"/>
        <family val="2"/>
        <charset val="204"/>
        <scheme val="minor"/>
      </rPr>
      <t xml:space="preserve"> - EU (LHD)</t>
    </r>
    <r>
      <rPr>
        <b/>
        <sz val="11"/>
        <color theme="1"/>
        <rFont val="Calibri"/>
        <family val="2"/>
        <charset val="204"/>
        <scheme val="minor"/>
      </rPr>
      <t xml:space="preserve">
0100</t>
    </r>
    <r>
      <rPr>
        <sz val="11"/>
        <color theme="1"/>
        <rFont val="Calibri"/>
        <family val="2"/>
        <charset val="204"/>
        <scheme val="minor"/>
      </rPr>
      <t xml:space="preserve"> - ?</t>
    </r>
    <r>
      <rPr>
        <b/>
        <sz val="11"/>
        <color theme="1"/>
        <rFont val="Calibri"/>
        <family val="2"/>
        <charset val="204"/>
        <scheme val="minor"/>
      </rPr>
      <t xml:space="preserve">
0101</t>
    </r>
    <r>
      <rPr>
        <sz val="11"/>
        <color theme="1"/>
        <rFont val="Calibri"/>
        <family val="2"/>
        <charset val="204"/>
        <scheme val="minor"/>
      </rPr>
      <t xml:space="preserve"> - AUS (RHD)</t>
    </r>
    <r>
      <rPr>
        <b/>
        <sz val="11"/>
        <color theme="1"/>
        <rFont val="Calibri"/>
        <family val="2"/>
        <charset val="204"/>
        <scheme val="minor"/>
      </rPr>
      <t xml:space="preserve">
0110</t>
    </r>
    <r>
      <rPr>
        <sz val="11"/>
        <color theme="1"/>
        <rFont val="Calibri"/>
        <family val="2"/>
        <charset val="204"/>
        <scheme val="minor"/>
      </rPr>
      <t xml:space="preserve"> - Asia (RHD)</t>
    </r>
    <r>
      <rPr>
        <b/>
        <sz val="11"/>
        <color theme="1"/>
        <rFont val="Calibri"/>
        <family val="2"/>
        <charset val="204"/>
        <scheme val="minor"/>
      </rPr>
      <t xml:space="preserve">
0111 </t>
    </r>
    <r>
      <rPr>
        <sz val="11"/>
        <color theme="1"/>
        <rFont val="Calibri"/>
        <family val="2"/>
        <charset val="204"/>
        <scheme val="minor"/>
      </rPr>
      <t>- Asia (LHD)</t>
    </r>
    <r>
      <rPr>
        <b/>
        <sz val="11"/>
        <color theme="1"/>
        <rFont val="Calibri"/>
        <family val="2"/>
        <charset val="204"/>
        <scheme val="minor"/>
      </rPr>
      <t xml:space="preserve">
1000</t>
    </r>
    <r>
      <rPr>
        <sz val="11"/>
        <color theme="1"/>
        <rFont val="Calibri"/>
        <family val="2"/>
        <charset val="204"/>
        <scheme val="minor"/>
      </rPr>
      <t xml:space="preserve"> - China (LHD)</t>
    </r>
  </si>
  <si>
    <r>
      <rPr>
        <b/>
        <sz val="11"/>
        <color theme="1"/>
        <rFont val="Calibri"/>
        <family val="2"/>
        <charset val="204"/>
        <scheme val="minor"/>
      </rPr>
      <t>Default Safety - LDWS - Timing</t>
    </r>
    <r>
      <rPr>
        <sz val="11"/>
        <color theme="1"/>
        <rFont val="Calibri"/>
        <family val="2"/>
        <charset val="204"/>
        <scheme val="minor"/>
      </rPr>
      <t xml:space="preserve">:
</t>
    </r>
    <r>
      <rPr>
        <i/>
        <sz val="10"/>
        <color theme="1"/>
        <rFont val="Calibri"/>
        <family val="2"/>
        <charset val="204"/>
        <scheme val="minor"/>
      </rPr>
      <t>b7b6b5 - Value</t>
    </r>
    <r>
      <rPr>
        <sz val="11"/>
        <color theme="1"/>
        <rFont val="Calibri"/>
        <family val="2"/>
        <charset val="204"/>
        <scheme val="minor"/>
      </rPr>
      <t xml:space="preserve">
</t>
    </r>
    <r>
      <rPr>
        <b/>
        <sz val="11"/>
        <color theme="1"/>
        <rFont val="Calibri"/>
        <family val="2"/>
        <charset val="204"/>
        <scheme val="minor"/>
      </rPr>
      <t>001</t>
    </r>
    <r>
      <rPr>
        <sz val="11"/>
        <color theme="1"/>
        <rFont val="Calibri"/>
        <family val="2"/>
        <charset val="204"/>
        <scheme val="minor"/>
      </rPr>
      <t xml:space="preserve"> - Adaptive
</t>
    </r>
    <r>
      <rPr>
        <b/>
        <sz val="11"/>
        <color theme="1"/>
        <rFont val="Calibri"/>
        <family val="2"/>
        <charset val="204"/>
        <scheme val="minor"/>
      </rPr>
      <t>010</t>
    </r>
    <r>
      <rPr>
        <sz val="11"/>
        <color theme="1"/>
        <rFont val="Calibri"/>
        <family val="2"/>
        <charset val="204"/>
        <scheme val="minor"/>
      </rPr>
      <t xml:space="preserve"> - Early
</t>
    </r>
    <r>
      <rPr>
        <b/>
        <sz val="11"/>
        <color theme="1"/>
        <rFont val="Calibri"/>
        <family val="2"/>
        <charset val="204"/>
        <scheme val="minor"/>
      </rPr>
      <t>011</t>
    </r>
    <r>
      <rPr>
        <sz val="11"/>
        <color theme="1"/>
        <rFont val="Calibri"/>
        <family val="2"/>
        <charset val="204"/>
        <scheme val="minor"/>
      </rPr>
      <t xml:space="preserve"> - Medium
</t>
    </r>
    <r>
      <rPr>
        <b/>
        <sz val="11"/>
        <color theme="1"/>
        <rFont val="Calibri"/>
        <family val="2"/>
        <charset val="204"/>
        <scheme val="minor"/>
      </rPr>
      <t>100</t>
    </r>
    <r>
      <rPr>
        <sz val="11"/>
        <color theme="1"/>
        <rFont val="Calibri"/>
        <family val="2"/>
        <charset val="204"/>
        <scheme val="minor"/>
      </rPr>
      <t xml:space="preserve"> - Late
</t>
    </r>
    <r>
      <rPr>
        <b/>
        <sz val="11"/>
        <color theme="1"/>
        <rFont val="Calibri"/>
        <family val="2"/>
        <charset val="204"/>
        <scheme val="minor"/>
      </rPr>
      <t>LAS - Intervention Timing</t>
    </r>
    <r>
      <rPr>
        <sz val="11"/>
        <color theme="1"/>
        <rFont val="Calibri"/>
        <family val="2"/>
        <charset val="204"/>
        <scheme val="minor"/>
      </rPr>
      <t xml:space="preserve">:
</t>
    </r>
    <r>
      <rPr>
        <i/>
        <sz val="10"/>
        <color theme="1"/>
        <rFont val="Calibri"/>
        <family val="2"/>
        <charset val="204"/>
        <scheme val="minor"/>
      </rPr>
      <t>b7b6b5 - Value</t>
    </r>
    <r>
      <rPr>
        <sz val="11"/>
        <color theme="1"/>
        <rFont val="Calibri"/>
        <family val="2"/>
        <charset val="204"/>
        <scheme val="minor"/>
      </rPr>
      <t xml:space="preserve">
</t>
    </r>
    <r>
      <rPr>
        <b/>
        <sz val="11"/>
        <color theme="1"/>
        <rFont val="Calibri"/>
        <family val="2"/>
        <charset val="204"/>
        <scheme val="minor"/>
      </rPr>
      <t>000</t>
    </r>
    <r>
      <rPr>
        <sz val="11"/>
        <color theme="1"/>
        <rFont val="Calibri"/>
        <family val="2"/>
        <charset val="204"/>
        <scheme val="minor"/>
      </rPr>
      <t xml:space="preserve"> - Late
</t>
    </r>
    <r>
      <rPr>
        <b/>
        <sz val="11"/>
        <color theme="1"/>
        <rFont val="Calibri"/>
        <family val="2"/>
        <charset val="204"/>
        <scheme val="minor"/>
      </rPr>
      <t>010</t>
    </r>
    <r>
      <rPr>
        <sz val="11"/>
        <color theme="1"/>
        <rFont val="Calibri"/>
        <family val="2"/>
        <charset val="204"/>
        <scheme val="minor"/>
      </rPr>
      <t xml:space="preserve"> - Early</t>
    </r>
  </si>
  <si>
    <r>
      <rPr>
        <b/>
        <sz val="11"/>
        <color theme="1"/>
        <rFont val="Calibri"/>
        <family val="2"/>
        <charset val="204"/>
        <scheme val="minor"/>
      </rPr>
      <t>Default Safety - LDWS - Warning</t>
    </r>
    <r>
      <rPr>
        <sz val="11"/>
        <color theme="1"/>
        <rFont val="Calibri"/>
        <family val="2"/>
        <charset val="204"/>
        <scheme val="minor"/>
      </rPr>
      <t xml:space="preserve">:
</t>
    </r>
    <r>
      <rPr>
        <i/>
        <sz val="10"/>
        <color theme="1"/>
        <rFont val="Calibri"/>
        <family val="2"/>
        <charset val="204"/>
        <scheme val="minor"/>
      </rPr>
      <t>b4b3b2 - Value</t>
    </r>
    <r>
      <rPr>
        <sz val="11"/>
        <color theme="1"/>
        <rFont val="Calibri"/>
        <family val="2"/>
        <charset val="204"/>
        <scheme val="minor"/>
      </rPr>
      <t xml:space="preserve">
</t>
    </r>
    <r>
      <rPr>
        <b/>
        <sz val="11"/>
        <color theme="1"/>
        <rFont val="Calibri"/>
        <family val="2"/>
        <charset val="204"/>
        <scheme val="minor"/>
      </rPr>
      <t>000</t>
    </r>
    <r>
      <rPr>
        <sz val="11"/>
        <color theme="1"/>
        <rFont val="Calibri"/>
        <family val="2"/>
        <charset val="204"/>
        <scheme val="minor"/>
      </rPr>
      <t xml:space="preserve"> - Often
</t>
    </r>
    <r>
      <rPr>
        <b/>
        <sz val="11"/>
        <color theme="1"/>
        <rFont val="Calibri"/>
        <family val="2"/>
        <charset val="204"/>
        <scheme val="minor"/>
      </rPr>
      <t>010</t>
    </r>
    <r>
      <rPr>
        <sz val="11"/>
        <color theme="1"/>
        <rFont val="Calibri"/>
        <family val="2"/>
        <charset val="204"/>
        <scheme val="minor"/>
      </rPr>
      <t xml:space="preserve"> - Med
</t>
    </r>
    <r>
      <rPr>
        <b/>
        <sz val="11"/>
        <color theme="1"/>
        <rFont val="Calibri"/>
        <family val="2"/>
        <charset val="204"/>
        <scheme val="minor"/>
      </rPr>
      <t>100</t>
    </r>
    <r>
      <rPr>
        <sz val="11"/>
        <color theme="1"/>
        <rFont val="Calibri"/>
        <family val="2"/>
        <charset val="204"/>
        <scheme val="minor"/>
      </rPr>
      <t xml:space="preserve"> - Rare
</t>
    </r>
    <r>
      <rPr>
        <b/>
        <sz val="11"/>
        <color theme="1"/>
        <rFont val="Calibri"/>
        <family val="2"/>
        <charset val="204"/>
        <scheme val="minor"/>
      </rPr>
      <t>LAS - Sensitivity</t>
    </r>
    <r>
      <rPr>
        <sz val="11"/>
        <color theme="1"/>
        <rFont val="Calibri"/>
        <family val="2"/>
        <charset val="204"/>
        <scheme val="minor"/>
      </rPr>
      <t xml:space="preserve">:
</t>
    </r>
    <r>
      <rPr>
        <i/>
        <sz val="10"/>
        <color theme="1"/>
        <rFont val="Calibri"/>
        <family val="2"/>
        <charset val="204"/>
        <scheme val="minor"/>
      </rPr>
      <t>b4b3b2 - Value</t>
    </r>
    <r>
      <rPr>
        <sz val="11"/>
        <color theme="1"/>
        <rFont val="Calibri"/>
        <family val="2"/>
        <charset val="204"/>
        <scheme val="minor"/>
      </rPr>
      <t xml:space="preserve">
</t>
    </r>
    <r>
      <rPr>
        <b/>
        <sz val="11"/>
        <color theme="1"/>
        <rFont val="Calibri"/>
        <family val="2"/>
        <charset val="204"/>
        <scheme val="minor"/>
      </rPr>
      <t>001</t>
    </r>
    <r>
      <rPr>
        <sz val="11"/>
        <color theme="1"/>
        <rFont val="Calibri"/>
        <family val="2"/>
        <charset val="204"/>
        <scheme val="minor"/>
      </rPr>
      <t xml:space="preserve"> - High
</t>
    </r>
    <r>
      <rPr>
        <b/>
        <sz val="11"/>
        <color theme="1"/>
        <rFont val="Calibri"/>
        <family val="2"/>
        <charset val="204"/>
        <scheme val="minor"/>
      </rPr>
      <t>011</t>
    </r>
    <r>
      <rPr>
        <sz val="11"/>
        <color theme="1"/>
        <rFont val="Calibri"/>
        <family val="2"/>
        <charset val="204"/>
        <scheme val="minor"/>
      </rPr>
      <t xml:space="preserve"> - Med
</t>
    </r>
    <r>
      <rPr>
        <b/>
        <sz val="11"/>
        <color theme="1"/>
        <rFont val="Calibri"/>
        <family val="2"/>
        <charset val="204"/>
        <scheme val="minor"/>
      </rPr>
      <t>100</t>
    </r>
    <r>
      <rPr>
        <sz val="11"/>
        <color theme="1"/>
        <rFont val="Calibri"/>
        <family val="2"/>
        <charset val="204"/>
        <scheme val="minor"/>
      </rPr>
      <t xml:space="preserve"> - Low</t>
    </r>
  </si>
  <si>
    <r>
      <rPr>
        <b/>
        <sz val="11"/>
        <color theme="1"/>
        <rFont val="Calibri"/>
        <family val="2"/>
        <charset val="204"/>
        <scheme val="minor"/>
      </rPr>
      <t>HBC</t>
    </r>
    <r>
      <rPr>
        <sz val="11"/>
        <color theme="1"/>
        <rFont val="Calibri"/>
        <family val="2"/>
        <charset val="204"/>
        <scheme val="minor"/>
      </rPr>
      <t xml:space="preserve"> (Default Setting):
</t>
    </r>
    <r>
      <rPr>
        <i/>
        <sz val="10"/>
        <color theme="1"/>
        <rFont val="Calibri"/>
        <family val="2"/>
        <charset val="204"/>
        <scheme val="minor"/>
      </rPr>
      <t>b7b6 - Value</t>
    </r>
    <r>
      <rPr>
        <sz val="11"/>
        <color theme="1"/>
        <rFont val="Calibri"/>
        <family val="2"/>
        <charset val="204"/>
        <scheme val="minor"/>
      </rPr>
      <t xml:space="preserve">
</t>
    </r>
    <r>
      <rPr>
        <b/>
        <sz val="11"/>
        <color theme="1"/>
        <rFont val="Calibri"/>
        <family val="2"/>
        <charset val="204"/>
        <scheme val="minor"/>
      </rPr>
      <t>10</t>
    </r>
    <r>
      <rPr>
        <sz val="11"/>
        <color theme="1"/>
        <rFont val="Calibri"/>
        <family val="2"/>
        <charset val="204"/>
        <scheme val="minor"/>
      </rPr>
      <t xml:space="preserve"> - On
</t>
    </r>
    <r>
      <rPr>
        <b/>
        <sz val="11"/>
        <color theme="1"/>
        <rFont val="Calibri"/>
        <family val="2"/>
        <charset val="204"/>
        <scheme val="minor"/>
      </rPr>
      <t>01</t>
    </r>
    <r>
      <rPr>
        <sz val="11"/>
        <color theme="1"/>
        <rFont val="Calibri"/>
        <family val="2"/>
        <charset val="204"/>
        <scheme val="minor"/>
      </rPr>
      <t xml:space="preserve"> - Off</t>
    </r>
  </si>
  <si>
    <r>
      <rPr>
        <b/>
        <sz val="11"/>
        <color theme="1"/>
        <rFont val="Calibri"/>
        <family val="2"/>
        <charset val="204"/>
        <scheme val="minor"/>
      </rPr>
      <t>LAS Intervention</t>
    </r>
    <r>
      <rPr>
        <sz val="11"/>
        <color theme="1"/>
        <rFont val="Calibri"/>
        <family val="2"/>
        <charset val="204"/>
        <scheme val="minor"/>
      </rPr>
      <t xml:space="preserve">: </t>
    </r>
    <r>
      <rPr>
        <b/>
        <sz val="11"/>
        <color theme="1"/>
        <rFont val="Calibri"/>
        <family val="2"/>
        <charset val="204"/>
        <scheme val="minor"/>
      </rPr>
      <t>0</t>
    </r>
    <r>
      <rPr>
        <sz val="11"/>
        <color theme="1"/>
        <rFont val="Calibri"/>
        <family val="2"/>
        <charset val="204"/>
        <scheme val="minor"/>
      </rPr>
      <t xml:space="preserve"> - Off / </t>
    </r>
    <r>
      <rPr>
        <b/>
        <sz val="11"/>
        <color theme="1"/>
        <rFont val="Calibri"/>
        <family val="2"/>
        <charset val="204"/>
        <scheme val="minor"/>
      </rPr>
      <t>1</t>
    </r>
    <r>
      <rPr>
        <sz val="11"/>
        <color theme="1"/>
        <rFont val="Calibri"/>
        <family val="2"/>
        <charset val="204"/>
        <scheme val="minor"/>
      </rPr>
      <t xml:space="preserve"> - On</t>
    </r>
  </si>
  <si>
    <r>
      <rPr>
        <b/>
        <sz val="11"/>
        <color theme="1"/>
        <rFont val="Calibri"/>
        <family val="2"/>
        <charset val="204"/>
        <scheme val="minor"/>
      </rPr>
      <t>LDWS on/off when LAS on</t>
    </r>
    <r>
      <rPr>
        <sz val="11"/>
        <color theme="1"/>
        <rFont val="Calibri"/>
        <family val="2"/>
        <charset val="204"/>
        <scheme val="minor"/>
      </rPr>
      <t>:
01 - Off
10 - On</t>
    </r>
  </si>
  <si>
    <r>
      <rPr>
        <b/>
        <sz val="11"/>
        <color theme="1"/>
        <rFont val="Calibri"/>
        <family val="2"/>
        <charset val="204"/>
        <scheme val="minor"/>
      </rPr>
      <t>Safety - LDWS - Timing</t>
    </r>
    <r>
      <rPr>
        <sz val="11"/>
        <color theme="1"/>
        <rFont val="Calibri"/>
        <family val="2"/>
        <charset val="204"/>
        <scheme val="minor"/>
      </rPr>
      <t xml:space="preserve">:
</t>
    </r>
    <r>
      <rPr>
        <i/>
        <sz val="10"/>
        <color theme="1"/>
        <rFont val="Calibri"/>
        <family val="2"/>
        <charset val="204"/>
        <scheme val="minor"/>
      </rPr>
      <t>b7b6b5 - Value</t>
    </r>
    <r>
      <rPr>
        <sz val="11"/>
        <color theme="1"/>
        <rFont val="Calibri"/>
        <family val="2"/>
        <charset val="204"/>
        <scheme val="minor"/>
      </rPr>
      <t xml:space="preserve">
</t>
    </r>
    <r>
      <rPr>
        <b/>
        <sz val="11"/>
        <color theme="1"/>
        <rFont val="Calibri"/>
        <family val="2"/>
        <charset val="204"/>
        <scheme val="minor"/>
      </rPr>
      <t>001</t>
    </r>
    <r>
      <rPr>
        <sz val="11"/>
        <color theme="1"/>
        <rFont val="Calibri"/>
        <family val="2"/>
        <charset val="204"/>
        <scheme val="minor"/>
      </rPr>
      <t xml:space="preserve"> - Adaptive
</t>
    </r>
    <r>
      <rPr>
        <b/>
        <sz val="11"/>
        <color theme="1"/>
        <rFont val="Calibri"/>
        <family val="2"/>
        <charset val="204"/>
        <scheme val="minor"/>
      </rPr>
      <t>010</t>
    </r>
    <r>
      <rPr>
        <sz val="11"/>
        <color theme="1"/>
        <rFont val="Calibri"/>
        <family val="2"/>
        <charset val="204"/>
        <scheme val="minor"/>
      </rPr>
      <t xml:space="preserve"> - Early
</t>
    </r>
    <r>
      <rPr>
        <b/>
        <sz val="11"/>
        <color theme="1"/>
        <rFont val="Calibri"/>
        <family val="2"/>
        <charset val="204"/>
        <scheme val="minor"/>
      </rPr>
      <t>011</t>
    </r>
    <r>
      <rPr>
        <sz val="11"/>
        <color theme="1"/>
        <rFont val="Calibri"/>
        <family val="2"/>
        <charset val="204"/>
        <scheme val="minor"/>
      </rPr>
      <t xml:space="preserve"> - Medium
</t>
    </r>
    <r>
      <rPr>
        <b/>
        <sz val="11"/>
        <color theme="1"/>
        <rFont val="Calibri"/>
        <family val="2"/>
        <charset val="204"/>
        <scheme val="minor"/>
      </rPr>
      <t>100</t>
    </r>
    <r>
      <rPr>
        <sz val="11"/>
        <color theme="1"/>
        <rFont val="Calibri"/>
        <family val="2"/>
        <charset val="204"/>
        <scheme val="minor"/>
      </rPr>
      <t xml:space="preserve"> - Late
</t>
    </r>
    <r>
      <rPr>
        <b/>
        <sz val="11"/>
        <color theme="1"/>
        <rFont val="Calibri"/>
        <family val="2"/>
        <charset val="204"/>
        <scheme val="minor"/>
      </rPr>
      <t>LAS - Intervention Timing:</t>
    </r>
    <r>
      <rPr>
        <sz val="11"/>
        <color theme="1"/>
        <rFont val="Calibri"/>
        <family val="2"/>
        <charset val="204"/>
        <scheme val="minor"/>
      </rPr>
      <t xml:space="preserve">
</t>
    </r>
    <r>
      <rPr>
        <i/>
        <sz val="10"/>
        <color theme="1"/>
        <rFont val="Calibri"/>
        <family val="2"/>
        <charset val="204"/>
        <scheme val="minor"/>
      </rPr>
      <t>b7b6b5 - Value</t>
    </r>
    <r>
      <rPr>
        <sz val="11"/>
        <color theme="1"/>
        <rFont val="Calibri"/>
        <family val="2"/>
        <charset val="204"/>
        <scheme val="minor"/>
      </rPr>
      <t xml:space="preserve">
</t>
    </r>
    <r>
      <rPr>
        <b/>
        <sz val="11"/>
        <color theme="1"/>
        <rFont val="Calibri"/>
        <family val="2"/>
        <charset val="204"/>
        <scheme val="minor"/>
      </rPr>
      <t>000</t>
    </r>
    <r>
      <rPr>
        <sz val="11"/>
        <color theme="1"/>
        <rFont val="Calibri"/>
        <family val="2"/>
        <charset val="204"/>
        <scheme val="minor"/>
      </rPr>
      <t xml:space="preserve"> - Late
</t>
    </r>
    <r>
      <rPr>
        <b/>
        <sz val="11"/>
        <color theme="1"/>
        <rFont val="Calibri"/>
        <family val="2"/>
        <charset val="204"/>
        <scheme val="minor"/>
      </rPr>
      <t>010</t>
    </r>
    <r>
      <rPr>
        <sz val="11"/>
        <color theme="1"/>
        <rFont val="Calibri"/>
        <family val="2"/>
        <charset val="204"/>
        <scheme val="minor"/>
      </rPr>
      <t xml:space="preserve"> - Early</t>
    </r>
  </si>
  <si>
    <r>
      <rPr>
        <b/>
        <sz val="11"/>
        <color theme="1"/>
        <rFont val="Calibri"/>
        <family val="2"/>
        <charset val="204"/>
        <scheme val="minor"/>
      </rPr>
      <t>Safety - LDWS - Warning</t>
    </r>
    <r>
      <rPr>
        <sz val="11"/>
        <color theme="1"/>
        <rFont val="Calibri"/>
        <family val="2"/>
        <charset val="204"/>
        <scheme val="minor"/>
      </rPr>
      <t xml:space="preserve">:
</t>
    </r>
    <r>
      <rPr>
        <i/>
        <sz val="10"/>
        <color theme="1"/>
        <rFont val="Calibri"/>
        <family val="2"/>
        <charset val="204"/>
        <scheme val="minor"/>
      </rPr>
      <t>b4b3b2 - Value</t>
    </r>
    <r>
      <rPr>
        <sz val="11"/>
        <color theme="1"/>
        <rFont val="Calibri"/>
        <family val="2"/>
        <charset val="204"/>
        <scheme val="minor"/>
      </rPr>
      <t xml:space="preserve">
</t>
    </r>
    <r>
      <rPr>
        <b/>
        <sz val="11"/>
        <color theme="1"/>
        <rFont val="Calibri"/>
        <family val="2"/>
        <charset val="204"/>
        <scheme val="minor"/>
      </rPr>
      <t>000</t>
    </r>
    <r>
      <rPr>
        <sz val="11"/>
        <color theme="1"/>
        <rFont val="Calibri"/>
        <family val="2"/>
        <charset val="204"/>
        <scheme val="minor"/>
      </rPr>
      <t xml:space="preserve"> - Often
</t>
    </r>
    <r>
      <rPr>
        <b/>
        <sz val="11"/>
        <color theme="1"/>
        <rFont val="Calibri"/>
        <family val="2"/>
        <charset val="204"/>
        <scheme val="minor"/>
      </rPr>
      <t>010</t>
    </r>
    <r>
      <rPr>
        <sz val="11"/>
        <color theme="1"/>
        <rFont val="Calibri"/>
        <family val="2"/>
        <charset val="204"/>
        <scheme val="minor"/>
      </rPr>
      <t xml:space="preserve"> - Med
</t>
    </r>
    <r>
      <rPr>
        <b/>
        <sz val="11"/>
        <color theme="1"/>
        <rFont val="Calibri"/>
        <family val="2"/>
        <charset val="204"/>
        <scheme val="minor"/>
      </rPr>
      <t>100</t>
    </r>
    <r>
      <rPr>
        <sz val="11"/>
        <color theme="1"/>
        <rFont val="Calibri"/>
        <family val="2"/>
        <charset val="204"/>
        <scheme val="minor"/>
      </rPr>
      <t xml:space="preserve"> - Rare
</t>
    </r>
    <r>
      <rPr>
        <b/>
        <sz val="11"/>
        <color theme="1"/>
        <rFont val="Calibri"/>
        <family val="2"/>
        <charset val="204"/>
        <scheme val="minor"/>
      </rPr>
      <t>LAS - Sensitivity:</t>
    </r>
    <r>
      <rPr>
        <sz val="11"/>
        <color theme="1"/>
        <rFont val="Calibri"/>
        <family val="2"/>
        <charset val="204"/>
        <scheme val="minor"/>
      </rPr>
      <t xml:space="preserve">
</t>
    </r>
    <r>
      <rPr>
        <i/>
        <sz val="10"/>
        <color theme="1"/>
        <rFont val="Calibri"/>
        <family val="2"/>
        <charset val="204"/>
        <scheme val="minor"/>
      </rPr>
      <t>b4b3b2 - Value</t>
    </r>
    <r>
      <rPr>
        <sz val="11"/>
        <color theme="1"/>
        <rFont val="Calibri"/>
        <family val="2"/>
        <charset val="204"/>
        <scheme val="minor"/>
      </rPr>
      <t xml:space="preserve">
</t>
    </r>
    <r>
      <rPr>
        <b/>
        <sz val="11"/>
        <color theme="1"/>
        <rFont val="Calibri"/>
        <family val="2"/>
        <charset val="204"/>
        <scheme val="minor"/>
      </rPr>
      <t>001</t>
    </r>
    <r>
      <rPr>
        <sz val="11"/>
        <color theme="1"/>
        <rFont val="Calibri"/>
        <family val="2"/>
        <charset val="204"/>
        <scheme val="minor"/>
      </rPr>
      <t xml:space="preserve"> - High
</t>
    </r>
    <r>
      <rPr>
        <b/>
        <sz val="11"/>
        <color theme="1"/>
        <rFont val="Calibri"/>
        <family val="2"/>
        <charset val="204"/>
        <scheme val="minor"/>
      </rPr>
      <t>011</t>
    </r>
    <r>
      <rPr>
        <sz val="11"/>
        <color theme="1"/>
        <rFont val="Calibri"/>
        <family val="2"/>
        <charset val="204"/>
        <scheme val="minor"/>
      </rPr>
      <t xml:space="preserve"> - Med
</t>
    </r>
    <r>
      <rPr>
        <b/>
        <sz val="11"/>
        <color theme="1"/>
        <rFont val="Calibri"/>
        <family val="2"/>
        <charset val="204"/>
        <scheme val="minor"/>
      </rPr>
      <t>100</t>
    </r>
    <r>
      <rPr>
        <sz val="11"/>
        <color theme="1"/>
        <rFont val="Calibri"/>
        <family val="2"/>
        <charset val="204"/>
        <scheme val="minor"/>
      </rPr>
      <t xml:space="preserve"> - Low</t>
    </r>
  </si>
  <si>
    <r>
      <rPr>
        <b/>
        <sz val="11"/>
        <color theme="1"/>
        <rFont val="Calibri"/>
        <family val="2"/>
        <charset val="204"/>
        <scheme val="minor"/>
      </rPr>
      <t>Settings - HBC</t>
    </r>
    <r>
      <rPr>
        <sz val="11"/>
        <color theme="1"/>
        <rFont val="Calibri"/>
        <family val="2"/>
        <charset val="204"/>
        <scheme val="minor"/>
      </rPr>
      <t xml:space="preserve">:
</t>
    </r>
    <r>
      <rPr>
        <i/>
        <sz val="10"/>
        <color theme="1"/>
        <rFont val="Calibri"/>
        <family val="2"/>
        <charset val="204"/>
        <scheme val="minor"/>
      </rPr>
      <t>b7b6 - Value</t>
    </r>
    <r>
      <rPr>
        <sz val="11"/>
        <color theme="1"/>
        <rFont val="Calibri"/>
        <family val="2"/>
        <charset val="204"/>
        <scheme val="minor"/>
      </rPr>
      <t xml:space="preserve">
</t>
    </r>
    <r>
      <rPr>
        <b/>
        <sz val="11"/>
        <color theme="1"/>
        <rFont val="Calibri"/>
        <family val="2"/>
        <charset val="204"/>
        <scheme val="minor"/>
      </rPr>
      <t>10</t>
    </r>
    <r>
      <rPr>
        <sz val="11"/>
        <color theme="1"/>
        <rFont val="Calibri"/>
        <family val="2"/>
        <charset val="204"/>
        <scheme val="minor"/>
      </rPr>
      <t xml:space="preserve"> - On
</t>
    </r>
    <r>
      <rPr>
        <b/>
        <sz val="11"/>
        <color theme="1"/>
        <rFont val="Calibri"/>
        <family val="2"/>
        <charset val="204"/>
        <scheme val="minor"/>
      </rPr>
      <t>01</t>
    </r>
    <r>
      <rPr>
        <sz val="11"/>
        <color theme="1"/>
        <rFont val="Calibri"/>
        <family val="2"/>
        <charset val="204"/>
        <scheme val="minor"/>
      </rPr>
      <t xml:space="preserve"> - Off</t>
    </r>
  </si>
  <si>
    <r>
      <rPr>
        <b/>
        <sz val="11"/>
        <color theme="1"/>
        <rFont val="Calibri"/>
        <family val="2"/>
        <charset val="204"/>
        <scheme val="minor"/>
      </rPr>
      <t>LDWS</t>
    </r>
    <r>
      <rPr>
        <sz val="11"/>
        <color theme="1"/>
        <rFont val="Calibri"/>
        <family val="2"/>
        <charset val="204"/>
        <scheme val="minor"/>
      </rPr>
      <t>:</t>
    </r>
    <r>
      <rPr>
        <i/>
        <sz val="11"/>
        <color theme="1"/>
        <rFont val="Calibri"/>
        <family val="2"/>
        <charset val="204"/>
        <scheme val="minor"/>
      </rPr>
      <t xml:space="preserve">
</t>
    </r>
    <r>
      <rPr>
        <i/>
        <sz val="10"/>
        <color theme="1"/>
        <rFont val="Calibri"/>
        <family val="2"/>
        <charset val="204"/>
        <scheme val="minor"/>
      </rPr>
      <t>b6b5 - Value</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Disabled
</t>
    </r>
    <r>
      <rPr>
        <b/>
        <sz val="11"/>
        <color theme="1"/>
        <rFont val="Calibri"/>
        <family val="2"/>
        <charset val="204"/>
        <scheme val="minor"/>
      </rPr>
      <t>11</t>
    </r>
    <r>
      <rPr>
        <sz val="11"/>
        <color theme="1"/>
        <rFont val="Calibri"/>
        <family val="2"/>
        <charset val="204"/>
        <scheme val="minor"/>
      </rPr>
      <t xml:space="preserve"> - Enabled</t>
    </r>
  </si>
  <si>
    <r>
      <rPr>
        <b/>
        <sz val="11"/>
        <color theme="1"/>
        <rFont val="Calibri"/>
        <family val="2"/>
        <charset val="204"/>
        <scheme val="minor"/>
      </rPr>
      <t>LDWS</t>
    </r>
    <r>
      <rPr>
        <sz val="11"/>
        <color theme="1"/>
        <rFont val="Calibri"/>
        <family val="2"/>
        <charset val="204"/>
        <scheme val="minor"/>
      </rPr>
      <t xml:space="preserve">:
</t>
    </r>
    <r>
      <rPr>
        <i/>
        <sz val="10"/>
        <color theme="1"/>
        <rFont val="Calibri"/>
        <family val="2"/>
        <charset val="204"/>
        <scheme val="minor"/>
      </rPr>
      <t>b3b2 - Value</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Disabled
</t>
    </r>
    <r>
      <rPr>
        <b/>
        <sz val="11"/>
        <color theme="1"/>
        <rFont val="Calibri"/>
        <family val="2"/>
        <charset val="204"/>
        <scheme val="minor"/>
      </rPr>
      <t>11</t>
    </r>
    <r>
      <rPr>
        <sz val="11"/>
        <color theme="1"/>
        <rFont val="Calibri"/>
        <family val="2"/>
        <charset val="204"/>
        <scheme val="minor"/>
      </rPr>
      <t xml:space="preserve"> - Enabled</t>
    </r>
  </si>
  <si>
    <r>
      <rPr>
        <b/>
        <sz val="11"/>
        <color theme="1"/>
        <rFont val="Calibri"/>
        <family val="2"/>
        <charset val="204"/>
        <scheme val="minor"/>
      </rPr>
      <t>HBC</t>
    </r>
    <r>
      <rPr>
        <sz val="11"/>
        <color theme="1"/>
        <rFont val="Calibri"/>
        <family val="2"/>
        <charset val="204"/>
        <scheme val="minor"/>
      </rPr>
      <t xml:space="preserve">: </t>
    </r>
    <r>
      <rPr>
        <b/>
        <sz val="11"/>
        <color theme="1"/>
        <rFont val="Calibri"/>
        <family val="2"/>
        <charset val="204"/>
        <scheme val="minor"/>
      </rPr>
      <t>0</t>
    </r>
    <r>
      <rPr>
        <sz val="11"/>
        <color theme="1"/>
        <rFont val="Calibri"/>
        <family val="2"/>
        <charset val="204"/>
        <scheme val="minor"/>
      </rPr>
      <t xml:space="preserve"> - Disabled / </t>
    </r>
    <r>
      <rPr>
        <b/>
        <sz val="11"/>
        <color theme="1"/>
        <rFont val="Calibri"/>
        <family val="2"/>
        <charset val="204"/>
        <scheme val="minor"/>
      </rPr>
      <t>1</t>
    </r>
    <r>
      <rPr>
        <sz val="11"/>
        <color theme="1"/>
        <rFont val="Calibri"/>
        <family val="2"/>
        <charset val="204"/>
        <scheme val="minor"/>
      </rPr>
      <t xml:space="preserve"> - Enabled</t>
    </r>
  </si>
  <si>
    <r>
      <rPr>
        <b/>
        <sz val="11"/>
        <color theme="1"/>
        <rFont val="Calibri"/>
        <family val="2"/>
        <charset val="204"/>
        <scheme val="minor"/>
      </rPr>
      <t>LAS</t>
    </r>
    <r>
      <rPr>
        <sz val="11"/>
        <color theme="1"/>
        <rFont val="Calibri"/>
        <family val="2"/>
        <charset val="204"/>
        <scheme val="minor"/>
      </rPr>
      <t xml:space="preserve">:
</t>
    </r>
    <r>
      <rPr>
        <i/>
        <sz val="10"/>
        <color theme="1"/>
        <rFont val="Calibri"/>
        <family val="2"/>
        <charset val="204"/>
        <scheme val="minor"/>
      </rPr>
      <t>b6b5b4 - Value</t>
    </r>
    <r>
      <rPr>
        <sz val="11"/>
        <color theme="1"/>
        <rFont val="Calibri"/>
        <family val="2"/>
        <charset val="204"/>
        <scheme val="minor"/>
      </rPr>
      <t xml:space="preserve">
</t>
    </r>
    <r>
      <rPr>
        <b/>
        <sz val="11"/>
        <color theme="1"/>
        <rFont val="Calibri"/>
        <family val="2"/>
        <charset val="204"/>
        <scheme val="minor"/>
      </rPr>
      <t>000</t>
    </r>
    <r>
      <rPr>
        <sz val="11"/>
        <color theme="1"/>
        <rFont val="Calibri"/>
        <family val="2"/>
        <charset val="204"/>
        <scheme val="minor"/>
      </rPr>
      <t xml:space="preserve"> - Disabled
</t>
    </r>
    <r>
      <rPr>
        <b/>
        <sz val="11"/>
        <color theme="1"/>
        <rFont val="Calibri"/>
        <family val="2"/>
        <charset val="204"/>
        <scheme val="minor"/>
      </rPr>
      <t>111</t>
    </r>
    <r>
      <rPr>
        <sz val="11"/>
        <color theme="1"/>
        <rFont val="Calibri"/>
        <family val="2"/>
        <charset val="204"/>
        <scheme val="minor"/>
      </rPr>
      <t xml:space="preserve"> - Enabled</t>
    </r>
  </si>
  <si>
    <r>
      <rPr>
        <b/>
        <sz val="11"/>
        <color theme="1"/>
        <rFont val="Calibri"/>
        <family val="2"/>
        <charset val="204"/>
        <scheme val="minor"/>
      </rPr>
      <t>LAS</t>
    </r>
    <r>
      <rPr>
        <sz val="11"/>
        <color theme="1"/>
        <rFont val="Calibri"/>
        <family val="2"/>
        <charset val="204"/>
        <scheme val="minor"/>
      </rPr>
      <t xml:space="preserve">: </t>
    </r>
    <r>
      <rPr>
        <b/>
        <sz val="11"/>
        <color theme="1"/>
        <rFont val="Calibri"/>
        <family val="2"/>
        <charset val="204"/>
        <scheme val="minor"/>
      </rPr>
      <t>0</t>
    </r>
    <r>
      <rPr>
        <sz val="11"/>
        <color theme="1"/>
        <rFont val="Calibri"/>
        <family val="2"/>
        <charset val="204"/>
        <scheme val="minor"/>
      </rPr>
      <t xml:space="preserve"> - Disabled / </t>
    </r>
    <r>
      <rPr>
        <b/>
        <sz val="11"/>
        <color theme="1"/>
        <rFont val="Calibri"/>
        <family val="2"/>
        <charset val="204"/>
        <scheme val="minor"/>
      </rPr>
      <t>1</t>
    </r>
    <r>
      <rPr>
        <sz val="11"/>
        <color theme="1"/>
        <rFont val="Calibri"/>
        <family val="2"/>
        <charset val="204"/>
        <scheme val="minor"/>
      </rPr>
      <t xml:space="preserve"> - Enabled</t>
    </r>
  </si>
  <si>
    <r>
      <rPr>
        <b/>
        <sz val="11"/>
        <color theme="1"/>
        <rFont val="Calibri"/>
        <family val="2"/>
        <charset val="204"/>
        <scheme val="minor"/>
      </rPr>
      <t>HBC:</t>
    </r>
    <r>
      <rPr>
        <sz val="11"/>
        <color theme="1"/>
        <rFont val="Calibri"/>
        <family val="2"/>
        <charset val="204"/>
        <scheme val="minor"/>
      </rPr>
      <t xml:space="preserve">
</t>
    </r>
    <r>
      <rPr>
        <i/>
        <sz val="10"/>
        <color theme="1"/>
        <rFont val="Calibri"/>
        <family val="2"/>
        <charset val="204"/>
        <scheme val="minor"/>
      </rPr>
      <t>b7b6 - Value</t>
    </r>
    <r>
      <rPr>
        <sz val="11"/>
        <color theme="1"/>
        <rFont val="Calibri"/>
        <family val="2"/>
        <charset val="204"/>
        <scheme val="minor"/>
      </rPr>
      <t xml:space="preserve">
</t>
    </r>
    <r>
      <rPr>
        <b/>
        <sz val="11"/>
        <color theme="1"/>
        <rFont val="Calibri"/>
        <family val="2"/>
        <charset val="204"/>
        <scheme val="minor"/>
      </rPr>
      <t>10</t>
    </r>
    <r>
      <rPr>
        <sz val="11"/>
        <color theme="1"/>
        <rFont val="Calibri"/>
        <family val="2"/>
        <charset val="204"/>
        <scheme val="minor"/>
      </rPr>
      <t xml:space="preserve"> - On
</t>
    </r>
    <r>
      <rPr>
        <b/>
        <sz val="11"/>
        <color theme="1"/>
        <rFont val="Calibri"/>
        <family val="2"/>
        <charset val="204"/>
        <scheme val="minor"/>
      </rPr>
      <t>01</t>
    </r>
    <r>
      <rPr>
        <sz val="11"/>
        <color theme="1"/>
        <rFont val="Calibri"/>
        <family val="2"/>
        <charset val="204"/>
        <scheme val="minor"/>
      </rPr>
      <t xml:space="preserve"> - Off</t>
    </r>
  </si>
  <si>
    <r>
      <rPr>
        <b/>
        <sz val="11"/>
        <color theme="1"/>
        <rFont val="Calibri"/>
        <family val="2"/>
        <charset val="204"/>
        <scheme val="minor"/>
      </rPr>
      <t xml:space="preserve">SCBS-F:
</t>
    </r>
    <r>
      <rPr>
        <i/>
        <sz val="10"/>
        <color theme="1"/>
        <rFont val="Calibri"/>
        <family val="2"/>
        <charset val="204"/>
        <scheme val="minor"/>
      </rPr>
      <t>b7b6 - Value</t>
    </r>
    <r>
      <rPr>
        <sz val="11"/>
        <color theme="1"/>
        <rFont val="Calibri"/>
        <family val="2"/>
        <charset val="204"/>
        <scheme val="minor"/>
      </rPr>
      <t xml:space="preserve">
</t>
    </r>
    <r>
      <rPr>
        <b/>
        <sz val="11"/>
        <color theme="1"/>
        <rFont val="Calibri"/>
        <family val="2"/>
        <charset val="204"/>
        <scheme val="minor"/>
      </rPr>
      <t>10</t>
    </r>
    <r>
      <rPr>
        <sz val="11"/>
        <color theme="1"/>
        <rFont val="Calibri"/>
        <family val="2"/>
        <charset val="204"/>
        <scheme val="minor"/>
      </rPr>
      <t xml:space="preserve"> - On
</t>
    </r>
    <r>
      <rPr>
        <b/>
        <sz val="11"/>
        <color theme="1"/>
        <rFont val="Calibri"/>
        <family val="2"/>
        <charset val="204"/>
        <scheme val="minor"/>
      </rPr>
      <t>01</t>
    </r>
    <r>
      <rPr>
        <sz val="11"/>
        <color theme="1"/>
        <rFont val="Calibri"/>
        <family val="2"/>
        <charset val="204"/>
        <scheme val="minor"/>
      </rPr>
      <t xml:space="preserve"> - Off</t>
    </r>
  </si>
  <si>
    <r>
      <rPr>
        <b/>
        <sz val="11"/>
        <color theme="1"/>
        <rFont val="Calibri"/>
        <family val="2"/>
        <charset val="204"/>
        <scheme val="minor"/>
      </rPr>
      <t xml:space="preserve">SCBS-F Warning Distance:
</t>
    </r>
    <r>
      <rPr>
        <i/>
        <sz val="10"/>
        <color theme="1"/>
        <rFont val="Calibri"/>
        <family val="2"/>
        <charset val="204"/>
        <scheme val="minor"/>
      </rPr>
      <t>b4b3 - Value</t>
    </r>
    <r>
      <rPr>
        <sz val="11"/>
        <color theme="1"/>
        <rFont val="Calibri"/>
        <family val="2"/>
        <charset val="204"/>
        <scheme val="minor"/>
      </rPr>
      <t xml:space="preserve">
</t>
    </r>
    <r>
      <rPr>
        <b/>
        <sz val="11"/>
        <color theme="1"/>
        <rFont val="Calibri"/>
        <family val="2"/>
        <charset val="204"/>
        <scheme val="minor"/>
      </rPr>
      <t>01</t>
    </r>
    <r>
      <rPr>
        <sz val="11"/>
        <color theme="1"/>
        <rFont val="Calibri"/>
        <family val="2"/>
        <charset val="204"/>
        <scheme val="minor"/>
      </rPr>
      <t xml:space="preserve"> - Far
</t>
    </r>
    <r>
      <rPr>
        <b/>
        <sz val="11"/>
        <color theme="1"/>
        <rFont val="Calibri"/>
        <family val="2"/>
        <charset val="204"/>
        <scheme val="minor"/>
      </rPr>
      <t>10</t>
    </r>
    <r>
      <rPr>
        <sz val="11"/>
        <color theme="1"/>
        <rFont val="Calibri"/>
        <family val="2"/>
        <charset val="204"/>
        <scheme val="minor"/>
      </rPr>
      <t xml:space="preserve"> - Med
</t>
    </r>
    <r>
      <rPr>
        <b/>
        <sz val="11"/>
        <color theme="1"/>
        <rFont val="Calibri"/>
        <family val="2"/>
        <charset val="204"/>
        <scheme val="minor"/>
      </rPr>
      <t>11</t>
    </r>
    <r>
      <rPr>
        <sz val="11"/>
        <color theme="1"/>
        <rFont val="Calibri"/>
        <family val="2"/>
        <charset val="204"/>
        <scheme val="minor"/>
      </rPr>
      <t xml:space="preserve"> - Near</t>
    </r>
  </si>
  <si>
    <r>
      <rPr>
        <b/>
        <sz val="11"/>
        <color theme="1"/>
        <rFont val="Calibri"/>
        <family val="2"/>
        <charset val="204"/>
        <scheme val="minor"/>
      </rPr>
      <t>LDWS Alert:</t>
    </r>
    <r>
      <rPr>
        <sz val="11"/>
        <color theme="1"/>
        <rFont val="Calibri"/>
        <family val="2"/>
        <charset val="204"/>
        <scheme val="minor"/>
      </rPr>
      <t xml:space="preserve">
</t>
    </r>
    <r>
      <rPr>
        <i/>
        <sz val="10"/>
        <color theme="1"/>
        <rFont val="Calibri"/>
        <family val="2"/>
        <charset val="204"/>
        <scheme val="minor"/>
      </rPr>
      <t>b4b3 - Value</t>
    </r>
    <r>
      <rPr>
        <sz val="11"/>
        <color theme="1"/>
        <rFont val="Calibri"/>
        <family val="2"/>
        <charset val="204"/>
        <scheme val="minor"/>
      </rPr>
      <t xml:space="preserve">
</t>
    </r>
    <r>
      <rPr>
        <b/>
        <sz val="11"/>
        <color theme="1"/>
        <rFont val="Calibri"/>
        <family val="2"/>
        <charset val="204"/>
        <scheme val="minor"/>
      </rPr>
      <t>10</t>
    </r>
    <r>
      <rPr>
        <sz val="11"/>
        <color theme="1"/>
        <rFont val="Calibri"/>
        <family val="2"/>
        <charset val="204"/>
        <scheme val="minor"/>
      </rPr>
      <t xml:space="preserve"> - On
</t>
    </r>
    <r>
      <rPr>
        <b/>
        <sz val="11"/>
        <color theme="1"/>
        <rFont val="Calibri"/>
        <family val="2"/>
        <charset val="204"/>
        <scheme val="minor"/>
      </rPr>
      <t>01</t>
    </r>
    <r>
      <rPr>
        <sz val="11"/>
        <color theme="1"/>
        <rFont val="Calibri"/>
        <family val="2"/>
        <charset val="204"/>
        <scheme val="minor"/>
      </rPr>
      <t xml:space="preserve"> - Off</t>
    </r>
  </si>
  <si>
    <r>
      <rPr>
        <b/>
        <sz val="11"/>
        <color theme="1"/>
        <rFont val="Calibri"/>
        <family val="2"/>
        <charset val="204"/>
        <scheme val="minor"/>
      </rPr>
      <t xml:space="preserve">Burglar Alarm </t>
    </r>
    <r>
      <rPr>
        <sz val="11"/>
        <color theme="1"/>
        <rFont val="Calibri"/>
        <family val="2"/>
        <charset val="204"/>
        <scheme val="minor"/>
      </rPr>
      <t>related</t>
    </r>
    <r>
      <rPr>
        <b/>
        <sz val="11"/>
        <color theme="1"/>
        <rFont val="Calibri"/>
        <family val="2"/>
        <charset val="204"/>
        <scheme val="minor"/>
      </rPr>
      <t xml:space="preserve">: 1
</t>
    </r>
    <r>
      <rPr>
        <sz val="11"/>
        <color theme="1"/>
        <rFont val="Calibri"/>
        <family val="2"/>
        <charset val="204"/>
        <scheme val="minor"/>
      </rPr>
      <t>[1= only in reg.</t>
    </r>
    <r>
      <rPr>
        <sz val="11"/>
        <color theme="1"/>
        <rFont val="Calibri"/>
        <family val="2"/>
        <scheme val="minor"/>
      </rPr>
      <t>21/41/61/71/81+M6(31 with AKE)]</t>
    </r>
  </si>
  <si>
    <r>
      <t xml:space="preserve">Burglar Alarm </t>
    </r>
    <r>
      <rPr>
        <sz val="11"/>
        <color theme="1"/>
        <rFont val="Calibri"/>
        <family val="2"/>
        <charset val="204"/>
        <scheme val="minor"/>
      </rPr>
      <t>related</t>
    </r>
    <r>
      <rPr>
        <b/>
        <sz val="11"/>
        <color theme="1"/>
        <rFont val="Calibri"/>
        <family val="2"/>
        <charset val="204"/>
        <scheme val="minor"/>
      </rPr>
      <t xml:space="preserve">: 1 
</t>
    </r>
    <r>
      <rPr>
        <sz val="11"/>
        <color theme="1"/>
        <rFont val="Calibri"/>
        <family val="2"/>
        <charset val="204"/>
        <scheme val="minor"/>
      </rPr>
      <t>[1= if 731-01-01 B2b5=1]</t>
    </r>
  </si>
  <si>
    <r>
      <rPr>
        <b/>
        <sz val="11"/>
        <color theme="1"/>
        <rFont val="Calibri"/>
        <family val="2"/>
        <charset val="204"/>
        <scheme val="minor"/>
      </rPr>
      <t>Burglar Alarm</t>
    </r>
    <r>
      <rPr>
        <sz val="11"/>
        <color theme="1"/>
        <rFont val="Calibri"/>
        <family val="2"/>
        <charset val="204"/>
        <scheme val="minor"/>
      </rPr>
      <t xml:space="preserve"> related</t>
    </r>
  </si>
  <si>
    <t>UPD38</t>
  </si>
  <si>
    <t>6.24</t>
  </si>
  <si>
    <t>1. Added some finds regarding Burglar Alarm. Thanks to NewFate
2. Added some findings regarding LAS. Thanks to Nikodim.
3. Some fixes in names of functions (i.e. Air Con.)
4. Styling (added Notes which show the content of the cell)</t>
  </si>
  <si>
    <r>
      <t xml:space="preserve">ESS: 0 </t>
    </r>
    <r>
      <rPr>
        <sz val="11"/>
        <color theme="1"/>
        <rFont val="Calibri"/>
        <family val="2"/>
        <charset val="204"/>
        <scheme val="minor"/>
      </rPr>
      <t xml:space="preserve">- Disabled / </t>
    </r>
    <r>
      <rPr>
        <b/>
        <sz val="11"/>
        <color theme="1"/>
        <rFont val="Calibri"/>
        <family val="2"/>
        <charset val="204"/>
        <scheme val="minor"/>
      </rPr>
      <t>1</t>
    </r>
    <r>
      <rPr>
        <sz val="11"/>
        <color theme="1"/>
        <rFont val="Calibri"/>
        <family val="2"/>
        <charset val="204"/>
        <scheme val="minor"/>
      </rPr>
      <t xml:space="preserve"> - Enabled</t>
    </r>
  </si>
  <si>
    <r>
      <rPr>
        <b/>
        <sz val="11"/>
        <color theme="1"/>
        <rFont val="Calibri"/>
        <family val="2"/>
        <charset val="204"/>
        <scheme val="minor"/>
      </rPr>
      <t>Bodystyle</t>
    </r>
    <r>
      <rPr>
        <sz val="11"/>
        <color theme="1"/>
        <rFont val="Calibri"/>
        <family val="2"/>
        <charset val="204"/>
        <scheme val="minor"/>
      </rPr>
      <t xml:space="preserve">
</t>
    </r>
    <r>
      <rPr>
        <i/>
        <sz val="10"/>
        <color theme="1"/>
        <rFont val="Calibri"/>
        <family val="2"/>
        <charset val="204"/>
        <scheme val="minor"/>
      </rPr>
      <t>b3b2b1 - Value</t>
    </r>
    <r>
      <rPr>
        <sz val="11"/>
        <color theme="1"/>
        <rFont val="Calibri"/>
        <family val="2"/>
        <charset val="204"/>
        <scheme val="minor"/>
      </rPr>
      <t xml:space="preserve">
</t>
    </r>
    <r>
      <rPr>
        <b/>
        <sz val="11"/>
        <color theme="1"/>
        <rFont val="Calibri"/>
        <family val="2"/>
        <charset val="204"/>
        <scheme val="minor"/>
      </rPr>
      <t>000</t>
    </r>
    <r>
      <rPr>
        <sz val="11"/>
        <color theme="1"/>
        <rFont val="Calibri"/>
        <family val="2"/>
        <charset val="204"/>
        <scheme val="minor"/>
      </rPr>
      <t xml:space="preserve"> - Sedan
</t>
    </r>
    <r>
      <rPr>
        <b/>
        <sz val="11"/>
        <color theme="1"/>
        <rFont val="Calibri"/>
        <family val="2"/>
        <charset val="204"/>
        <scheme val="minor"/>
      </rPr>
      <t>010</t>
    </r>
    <r>
      <rPr>
        <sz val="11"/>
        <color theme="1"/>
        <rFont val="Calibri"/>
        <family val="2"/>
        <charset val="204"/>
        <scheme val="minor"/>
      </rPr>
      <t xml:space="preserve"> - Wagon, HB (M2)
</t>
    </r>
    <r>
      <rPr>
        <b/>
        <sz val="11"/>
        <color theme="1"/>
        <rFont val="Calibri"/>
        <family val="2"/>
        <charset val="204"/>
        <scheme val="minor"/>
      </rPr>
      <t>100</t>
    </r>
    <r>
      <rPr>
        <sz val="11"/>
        <color theme="1"/>
        <rFont val="Calibri"/>
        <family val="2"/>
        <charset val="204"/>
        <scheme val="minor"/>
      </rPr>
      <t xml:space="preserve"> - Hatchback</t>
    </r>
  </si>
  <si>
    <r>
      <rPr>
        <b/>
        <sz val="11"/>
        <color theme="1"/>
        <rFont val="Calibri"/>
        <family val="2"/>
        <charset val="204"/>
        <scheme val="minor"/>
      </rPr>
      <t>Advanced Keyless Entry</t>
    </r>
    <r>
      <rPr>
        <sz val="11"/>
        <color theme="1"/>
        <rFont val="Calibri"/>
        <family val="2"/>
        <charset val="204"/>
        <scheme val="minor"/>
      </rPr>
      <t xml:space="preserve">: </t>
    </r>
    <r>
      <rPr>
        <b/>
        <sz val="11"/>
        <color theme="1"/>
        <rFont val="Calibri"/>
        <family val="2"/>
        <charset val="204"/>
        <scheme val="minor"/>
      </rPr>
      <t>0</t>
    </r>
    <r>
      <rPr>
        <sz val="11"/>
        <color theme="1"/>
        <rFont val="Calibri"/>
        <family val="2"/>
        <charset val="204"/>
        <scheme val="minor"/>
      </rPr>
      <t xml:space="preserve"> - Off / </t>
    </r>
    <r>
      <rPr>
        <b/>
        <sz val="11"/>
        <color theme="1"/>
        <rFont val="Calibri"/>
        <family val="2"/>
        <charset val="204"/>
        <scheme val="minor"/>
      </rPr>
      <t>1</t>
    </r>
    <r>
      <rPr>
        <sz val="11"/>
        <color theme="1"/>
        <rFont val="Calibri"/>
        <family val="2"/>
        <charset val="204"/>
        <scheme val="minor"/>
      </rPr>
      <t xml:space="preserve"> - On</t>
    </r>
  </si>
  <si>
    <r>
      <rPr>
        <b/>
        <sz val="11"/>
        <color theme="1"/>
        <rFont val="Calibri"/>
        <family val="2"/>
        <charset val="204"/>
        <scheme val="minor"/>
      </rPr>
      <t>Door Lock - Unlock Mode sub-menu</t>
    </r>
    <r>
      <rPr>
        <sz val="11"/>
        <color theme="1"/>
        <rFont val="Calibri"/>
        <family val="2"/>
        <scheme val="minor"/>
      </rPr>
      <t xml:space="preserve">: </t>
    </r>
    <r>
      <rPr>
        <b/>
        <sz val="11"/>
        <color theme="1"/>
        <rFont val="Calibri"/>
        <family val="2"/>
        <charset val="204"/>
        <scheme val="minor"/>
      </rPr>
      <t>0</t>
    </r>
    <r>
      <rPr>
        <sz val="11"/>
        <color theme="1"/>
        <rFont val="Calibri"/>
        <family val="2"/>
        <scheme val="minor"/>
      </rPr>
      <t xml:space="preserve"> - Enable / </t>
    </r>
    <r>
      <rPr>
        <b/>
        <sz val="11"/>
        <color theme="1"/>
        <rFont val="Calibri"/>
        <family val="2"/>
        <charset val="204"/>
        <scheme val="minor"/>
      </rPr>
      <t>1</t>
    </r>
    <r>
      <rPr>
        <sz val="11"/>
        <color theme="1"/>
        <rFont val="Calibri"/>
        <family val="2"/>
        <scheme val="minor"/>
      </rPr>
      <t xml:space="preserve"> - Disable</t>
    </r>
  </si>
  <si>
    <r>
      <rPr>
        <b/>
        <sz val="11"/>
        <color theme="1"/>
        <rFont val="Calibri"/>
        <family val="2"/>
        <charset val="204"/>
        <scheme val="minor"/>
      </rPr>
      <t>Door Lock - Walk Away Lock option</t>
    </r>
    <r>
      <rPr>
        <sz val="11"/>
        <color theme="1"/>
        <rFont val="Calibri"/>
        <family val="2"/>
        <scheme val="minor"/>
      </rPr>
      <t xml:space="preserve">: </t>
    </r>
    <r>
      <rPr>
        <b/>
        <sz val="11"/>
        <color theme="1"/>
        <rFont val="Calibri"/>
        <family val="2"/>
        <charset val="204"/>
        <scheme val="minor"/>
      </rPr>
      <t>0</t>
    </r>
    <r>
      <rPr>
        <sz val="11"/>
        <color theme="1"/>
        <rFont val="Calibri"/>
        <family val="2"/>
        <scheme val="minor"/>
      </rPr>
      <t xml:space="preserve"> - Enable / </t>
    </r>
    <r>
      <rPr>
        <b/>
        <sz val="11"/>
        <color theme="1"/>
        <rFont val="Calibri"/>
        <family val="2"/>
        <charset val="204"/>
        <scheme val="minor"/>
      </rPr>
      <t>1</t>
    </r>
    <r>
      <rPr>
        <sz val="11"/>
        <color theme="1"/>
        <rFont val="Calibri"/>
        <family val="2"/>
        <scheme val="minor"/>
      </rPr>
      <t xml:space="preserve"> - Disable</t>
    </r>
  </si>
  <si>
    <r>
      <rPr>
        <b/>
        <sz val="11"/>
        <color theme="1"/>
        <rFont val="Calibri"/>
        <family val="2"/>
        <charset val="204"/>
        <scheme val="minor"/>
      </rPr>
      <t>Door Lock - Keyless Lock Beep Volume sub-menu</t>
    </r>
    <r>
      <rPr>
        <sz val="11"/>
        <color theme="1"/>
        <rFont val="Calibri"/>
        <family val="2"/>
        <scheme val="minor"/>
      </rPr>
      <t xml:space="preserve">: </t>
    </r>
    <r>
      <rPr>
        <b/>
        <sz val="11"/>
        <color theme="1"/>
        <rFont val="Calibri"/>
        <family val="2"/>
        <charset val="204"/>
        <scheme val="minor"/>
      </rPr>
      <t>0</t>
    </r>
    <r>
      <rPr>
        <sz val="11"/>
        <color theme="1"/>
        <rFont val="Calibri"/>
        <family val="2"/>
        <scheme val="minor"/>
      </rPr>
      <t xml:space="preserve"> - Enable / </t>
    </r>
    <r>
      <rPr>
        <b/>
        <sz val="11"/>
        <color theme="1"/>
        <rFont val="Calibri"/>
        <family val="2"/>
        <charset val="204"/>
        <scheme val="minor"/>
      </rPr>
      <t>1</t>
    </r>
    <r>
      <rPr>
        <sz val="11"/>
        <color theme="1"/>
        <rFont val="Calibri"/>
        <family val="2"/>
        <scheme val="minor"/>
      </rPr>
      <t xml:space="preserve"> - Disable</t>
    </r>
  </si>
  <si>
    <r>
      <rPr>
        <b/>
        <sz val="11"/>
        <color theme="1"/>
        <rFont val="Calibri"/>
        <family val="2"/>
        <charset val="204"/>
        <scheme val="minor"/>
      </rPr>
      <t xml:space="preserve">"Walk Away Lock" Submenu:
</t>
    </r>
    <r>
      <rPr>
        <i/>
        <sz val="10"/>
        <color theme="1"/>
        <rFont val="Calibri"/>
        <family val="2"/>
        <charset val="204"/>
        <scheme val="minor"/>
      </rPr>
      <t>b7b6 - Values</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Not Equipped
</t>
    </r>
    <r>
      <rPr>
        <b/>
        <sz val="11"/>
        <color theme="1"/>
        <rFont val="Calibri"/>
        <family val="2"/>
        <charset val="204"/>
        <scheme val="minor"/>
      </rPr>
      <t>01</t>
    </r>
    <r>
      <rPr>
        <sz val="11"/>
        <color theme="1"/>
        <rFont val="Calibri"/>
        <family val="2"/>
        <charset val="204"/>
        <scheme val="minor"/>
      </rPr>
      <t xml:space="preserve"> - Off
</t>
    </r>
    <r>
      <rPr>
        <b/>
        <sz val="11"/>
        <color theme="1"/>
        <rFont val="Calibri"/>
        <family val="2"/>
        <charset val="204"/>
        <scheme val="minor"/>
      </rPr>
      <t>10</t>
    </r>
    <r>
      <rPr>
        <sz val="11"/>
        <color theme="1"/>
        <rFont val="Calibri"/>
        <family val="2"/>
        <charset val="204"/>
        <scheme val="minor"/>
      </rPr>
      <t xml:space="preserve"> - On</t>
    </r>
  </si>
  <si>
    <r>
      <rPr>
        <b/>
        <sz val="11"/>
        <color theme="1"/>
        <rFont val="Calibri"/>
        <family val="2"/>
        <scheme val="minor"/>
      </rPr>
      <t>Auto Relock Time:</t>
    </r>
    <r>
      <rPr>
        <sz val="11"/>
        <color theme="1"/>
        <rFont val="Calibri"/>
        <family val="2"/>
        <scheme val="minor"/>
      </rPr>
      <t xml:space="preserve">
</t>
    </r>
    <r>
      <rPr>
        <i/>
        <sz val="10"/>
        <color theme="1"/>
        <rFont val="Calibri"/>
        <family val="2"/>
        <charset val="204"/>
        <scheme val="minor"/>
      </rPr>
      <t>b5b4 - Value</t>
    </r>
    <r>
      <rPr>
        <sz val="11"/>
        <color theme="1"/>
        <rFont val="Calibri"/>
        <family val="2"/>
        <scheme val="minor"/>
      </rPr>
      <t xml:space="preserve">
</t>
    </r>
    <r>
      <rPr>
        <b/>
        <sz val="11"/>
        <color theme="1"/>
        <rFont val="Calibri"/>
        <family val="2"/>
        <charset val="204"/>
        <scheme val="minor"/>
      </rPr>
      <t>00</t>
    </r>
    <r>
      <rPr>
        <sz val="11"/>
        <color theme="1"/>
        <rFont val="Calibri"/>
        <family val="2"/>
        <scheme val="minor"/>
      </rPr>
      <t xml:space="preserve"> - NA
</t>
    </r>
    <r>
      <rPr>
        <b/>
        <sz val="11"/>
        <color theme="1"/>
        <rFont val="Calibri"/>
        <family val="2"/>
        <charset val="204"/>
        <scheme val="minor"/>
      </rPr>
      <t>01</t>
    </r>
    <r>
      <rPr>
        <sz val="11"/>
        <color theme="1"/>
        <rFont val="Calibri"/>
        <family val="2"/>
        <scheme val="minor"/>
      </rPr>
      <t xml:space="preserve"> - 30
</t>
    </r>
    <r>
      <rPr>
        <b/>
        <sz val="11"/>
        <color theme="1"/>
        <rFont val="Calibri"/>
        <family val="2"/>
        <charset val="204"/>
        <scheme val="minor"/>
      </rPr>
      <t>10</t>
    </r>
    <r>
      <rPr>
        <sz val="11"/>
        <color theme="1"/>
        <rFont val="Calibri"/>
        <family val="2"/>
        <scheme val="minor"/>
      </rPr>
      <t xml:space="preserve"> - 60
</t>
    </r>
    <r>
      <rPr>
        <b/>
        <sz val="11"/>
        <color theme="1"/>
        <rFont val="Calibri"/>
        <family val="2"/>
        <charset val="204"/>
        <scheme val="minor"/>
      </rPr>
      <t>11</t>
    </r>
    <r>
      <rPr>
        <sz val="11"/>
        <color theme="1"/>
        <rFont val="Calibri"/>
        <family val="2"/>
        <scheme val="minor"/>
      </rPr>
      <t xml:space="preserve"> - 90</t>
    </r>
  </si>
  <si>
    <r>
      <rPr>
        <b/>
        <sz val="11"/>
        <color theme="1"/>
        <rFont val="Calibri"/>
        <family val="2"/>
        <charset val="204"/>
        <scheme val="minor"/>
      </rPr>
      <t>"Unlock Mode (with remote)" Submenu:</t>
    </r>
    <r>
      <rPr>
        <sz val="11"/>
        <color theme="1"/>
        <rFont val="Calibri"/>
        <family val="2"/>
        <charset val="204"/>
        <scheme val="minor"/>
      </rPr>
      <t xml:space="preserve">
</t>
    </r>
    <r>
      <rPr>
        <i/>
        <sz val="10"/>
        <color theme="1"/>
        <rFont val="Calibri"/>
        <family val="2"/>
        <charset val="204"/>
        <scheme val="minor"/>
      </rPr>
      <t xml:space="preserve"> b3b2 - values</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Not Equipped
</t>
    </r>
    <r>
      <rPr>
        <b/>
        <sz val="11"/>
        <color theme="1"/>
        <rFont val="Calibri"/>
        <family val="2"/>
        <charset val="204"/>
        <scheme val="minor"/>
      </rPr>
      <t>01</t>
    </r>
    <r>
      <rPr>
        <sz val="11"/>
        <color theme="1"/>
        <rFont val="Calibri"/>
        <family val="2"/>
        <charset val="204"/>
        <scheme val="minor"/>
      </rPr>
      <t xml:space="preserve"> - 1x All doors
    </t>
    </r>
    <r>
      <rPr>
        <b/>
        <sz val="11"/>
        <color theme="1"/>
        <rFont val="Calibri"/>
        <family val="2"/>
        <charset val="204"/>
        <scheme val="minor"/>
      </rPr>
      <t>10</t>
    </r>
    <r>
      <rPr>
        <sz val="11"/>
        <color theme="1"/>
        <rFont val="Calibri"/>
        <family val="2"/>
        <charset val="204"/>
        <scheme val="minor"/>
      </rPr>
      <t xml:space="preserve"> - 1x Driver door / 2x All doors</t>
    </r>
  </si>
  <si>
    <r>
      <rPr>
        <b/>
        <sz val="11"/>
        <color theme="1"/>
        <rFont val="Calibri"/>
        <family val="2"/>
        <charset val="204"/>
        <scheme val="minor"/>
      </rPr>
      <t xml:space="preserve">"Keyless lock beep volume" Submenu:
</t>
    </r>
    <r>
      <rPr>
        <i/>
        <sz val="10"/>
        <color theme="1"/>
        <rFont val="Calibri"/>
        <family val="2"/>
        <charset val="204"/>
        <scheme val="minor"/>
      </rPr>
      <t xml:space="preserve">b2b1b0 - Value
</t>
    </r>
    <r>
      <rPr>
        <sz val="11"/>
        <color theme="1"/>
        <rFont val="Calibri"/>
        <family val="2"/>
        <charset val="204"/>
        <scheme val="minor"/>
      </rPr>
      <t xml:space="preserve">    </t>
    </r>
    <r>
      <rPr>
        <b/>
        <sz val="11"/>
        <color theme="1"/>
        <rFont val="Calibri"/>
        <family val="2"/>
        <charset val="204"/>
        <scheme val="minor"/>
      </rPr>
      <t>000</t>
    </r>
    <r>
      <rPr>
        <sz val="11"/>
        <color theme="1"/>
        <rFont val="Calibri"/>
        <family val="2"/>
        <charset val="204"/>
        <scheme val="minor"/>
      </rPr>
      <t xml:space="preserve"> - Not Equipped
    </t>
    </r>
    <r>
      <rPr>
        <b/>
        <sz val="11"/>
        <color theme="1"/>
        <rFont val="Calibri"/>
        <family val="2"/>
        <charset val="204"/>
        <scheme val="minor"/>
      </rPr>
      <t>001</t>
    </r>
    <r>
      <rPr>
        <sz val="11"/>
        <color theme="1"/>
        <rFont val="Calibri"/>
        <family val="2"/>
        <charset val="204"/>
        <scheme val="minor"/>
      </rPr>
      <t xml:space="preserve"> - Off
    </t>
    </r>
    <r>
      <rPr>
        <b/>
        <sz val="11"/>
        <color theme="1"/>
        <rFont val="Calibri"/>
        <family val="2"/>
        <charset val="204"/>
        <scheme val="minor"/>
      </rPr>
      <t>010</t>
    </r>
    <r>
      <rPr>
        <sz val="11"/>
        <color theme="1"/>
        <rFont val="Calibri"/>
        <family val="2"/>
        <charset val="204"/>
        <scheme val="minor"/>
      </rPr>
      <t xml:space="preserve"> - Low
    </t>
    </r>
    <r>
      <rPr>
        <b/>
        <sz val="11"/>
        <color theme="1"/>
        <rFont val="Calibri"/>
        <family val="2"/>
        <charset val="204"/>
        <scheme val="minor"/>
      </rPr>
      <t>011</t>
    </r>
    <r>
      <rPr>
        <sz val="11"/>
        <color theme="1"/>
        <rFont val="Calibri"/>
        <family val="2"/>
        <charset val="204"/>
        <scheme val="minor"/>
      </rPr>
      <t xml:space="preserve"> - Med
    </t>
    </r>
    <r>
      <rPr>
        <b/>
        <sz val="11"/>
        <color theme="1"/>
        <rFont val="Calibri"/>
        <family val="2"/>
        <charset val="204"/>
        <scheme val="minor"/>
      </rPr>
      <t>100</t>
    </r>
    <r>
      <rPr>
        <sz val="11"/>
        <color theme="1"/>
        <rFont val="Calibri"/>
        <family val="2"/>
        <charset val="204"/>
        <scheme val="minor"/>
      </rPr>
      <t xml:space="preserve"> - High</t>
    </r>
  </si>
  <si>
    <r>
      <rPr>
        <b/>
        <sz val="11"/>
        <color theme="1"/>
        <rFont val="Calibri"/>
        <family val="2"/>
        <charset val="204"/>
        <scheme val="minor"/>
      </rPr>
      <t>Mazda model</t>
    </r>
    <r>
      <rPr>
        <sz val="11"/>
        <color theme="1"/>
        <rFont val="Calibri"/>
        <family val="2"/>
        <charset val="204"/>
        <scheme val="minor"/>
      </rPr>
      <t xml:space="preserve">
</t>
    </r>
    <r>
      <rPr>
        <i/>
        <sz val="10"/>
        <color theme="1"/>
        <rFont val="Calibri"/>
        <family val="2"/>
        <charset val="204"/>
        <scheme val="minor"/>
      </rPr>
      <t>b7b6b5b4 - Value</t>
    </r>
    <r>
      <rPr>
        <sz val="10"/>
        <color theme="1"/>
        <rFont val="Calibri"/>
        <family val="2"/>
        <charset val="204"/>
        <scheme val="minor"/>
      </rPr>
      <t>:</t>
    </r>
    <r>
      <rPr>
        <sz val="11"/>
        <color theme="1"/>
        <rFont val="Calibri"/>
        <family val="2"/>
        <charset val="204"/>
        <scheme val="minor"/>
      </rPr>
      <t xml:space="preserve">
</t>
    </r>
    <r>
      <rPr>
        <b/>
        <sz val="11"/>
        <color theme="1"/>
        <rFont val="Calibri"/>
        <family val="2"/>
        <charset val="204"/>
        <scheme val="minor"/>
      </rPr>
      <t>0000</t>
    </r>
    <r>
      <rPr>
        <sz val="11"/>
        <color theme="1"/>
        <rFont val="Calibri"/>
        <family val="2"/>
        <charset val="204"/>
        <scheme val="minor"/>
      </rPr>
      <t xml:space="preserve"> — CX-5 KE
</t>
    </r>
    <r>
      <rPr>
        <b/>
        <sz val="11"/>
        <color theme="1"/>
        <rFont val="Calibri"/>
        <family val="2"/>
        <charset val="204"/>
        <scheme val="minor"/>
      </rPr>
      <t xml:space="preserve">0001 </t>
    </r>
    <r>
      <rPr>
        <sz val="11"/>
        <color theme="1"/>
        <rFont val="Calibri"/>
        <family val="2"/>
        <charset val="204"/>
        <scheme val="minor"/>
      </rPr>
      <t xml:space="preserve">— M6
</t>
    </r>
    <r>
      <rPr>
        <b/>
        <sz val="11"/>
        <color theme="1"/>
        <rFont val="Calibri"/>
        <family val="2"/>
        <charset val="204"/>
        <scheme val="minor"/>
      </rPr>
      <t>0010</t>
    </r>
    <r>
      <rPr>
        <sz val="11"/>
        <color theme="1"/>
        <rFont val="Calibri"/>
        <family val="2"/>
        <charset val="204"/>
        <scheme val="minor"/>
      </rPr>
      <t xml:space="preserve"> — M3
</t>
    </r>
    <r>
      <rPr>
        <b/>
        <sz val="11"/>
        <color theme="1"/>
        <rFont val="Calibri"/>
        <family val="2"/>
        <charset val="204"/>
        <scheme val="minor"/>
      </rPr>
      <t>0100</t>
    </r>
    <r>
      <rPr>
        <sz val="11"/>
        <color theme="1"/>
        <rFont val="Calibri"/>
        <family val="2"/>
        <charset val="204"/>
        <scheme val="minor"/>
      </rPr>
      <t xml:space="preserve"> — M2
</t>
    </r>
    <r>
      <rPr>
        <b/>
        <sz val="11"/>
        <color theme="1"/>
        <rFont val="Calibri"/>
        <family val="2"/>
        <charset val="204"/>
        <scheme val="minor"/>
      </rPr>
      <t>0100</t>
    </r>
    <r>
      <rPr>
        <sz val="11"/>
        <color theme="1"/>
        <rFont val="Calibri"/>
        <family val="2"/>
        <charset val="204"/>
        <scheme val="minor"/>
      </rPr>
      <t xml:space="preserve"> — CX-3
</t>
    </r>
    <r>
      <rPr>
        <b/>
        <sz val="11"/>
        <color theme="1"/>
        <rFont val="Calibri"/>
        <family val="2"/>
        <charset val="204"/>
        <scheme val="minor"/>
      </rPr>
      <t>0101</t>
    </r>
    <r>
      <rPr>
        <sz val="11"/>
        <color theme="1"/>
        <rFont val="Calibri"/>
        <family val="2"/>
        <charset val="204"/>
        <scheme val="minor"/>
      </rPr>
      <t xml:space="preserve"> — MX-5
</t>
    </r>
    <r>
      <rPr>
        <b/>
        <sz val="11"/>
        <color theme="1"/>
        <rFont val="Calibri"/>
        <family val="2"/>
        <charset val="204"/>
        <scheme val="minor"/>
      </rPr>
      <t xml:space="preserve">1000 </t>
    </r>
    <r>
      <rPr>
        <sz val="11"/>
        <color theme="1"/>
        <rFont val="Calibri"/>
        <family val="2"/>
        <charset val="204"/>
        <scheme val="minor"/>
      </rPr>
      <t xml:space="preserve">— CX-4
</t>
    </r>
    <r>
      <rPr>
        <b/>
        <sz val="11"/>
        <color theme="1"/>
        <rFont val="Calibri"/>
        <family val="2"/>
        <charset val="204"/>
        <scheme val="minor"/>
      </rPr>
      <t>1010</t>
    </r>
    <r>
      <rPr>
        <sz val="11"/>
        <color theme="1"/>
        <rFont val="Calibri"/>
        <family val="2"/>
        <charset val="204"/>
        <scheme val="minor"/>
      </rPr>
      <t xml:space="preserve"> — CX-9
</t>
    </r>
    <r>
      <rPr>
        <b/>
        <sz val="11"/>
        <color theme="1"/>
        <rFont val="Calibri"/>
        <family val="2"/>
        <charset val="204"/>
        <scheme val="minor"/>
      </rPr>
      <t>1011</t>
    </r>
    <r>
      <rPr>
        <sz val="11"/>
        <color theme="1"/>
        <rFont val="Calibri"/>
        <family val="2"/>
        <charset val="204"/>
        <scheme val="minor"/>
      </rPr>
      <t xml:space="preserve"> — CX-5 KF
</t>
    </r>
    <r>
      <rPr>
        <b/>
        <sz val="11"/>
        <color theme="1"/>
        <rFont val="Calibri"/>
        <family val="2"/>
        <charset val="204"/>
        <scheme val="minor"/>
      </rPr>
      <t>1100</t>
    </r>
    <r>
      <rPr>
        <sz val="11"/>
        <color theme="1"/>
        <rFont val="Calibri"/>
        <family val="2"/>
        <charset val="204"/>
        <scheme val="minor"/>
      </rPr>
      <t xml:space="preserve"> — CX-8</t>
    </r>
  </si>
  <si>
    <r>
      <rPr>
        <b/>
        <sz val="11"/>
        <color theme="1"/>
        <rFont val="Calibri"/>
        <family val="2"/>
        <charset val="204"/>
        <scheme val="minor"/>
      </rPr>
      <t>TCM</t>
    </r>
    <r>
      <rPr>
        <sz val="11"/>
        <color theme="1"/>
        <rFont val="Calibri"/>
        <family val="2"/>
        <charset val="204"/>
        <scheme val="minor"/>
      </rPr>
      <t xml:space="preserve">: </t>
    </r>
    <r>
      <rPr>
        <b/>
        <sz val="11"/>
        <color theme="1"/>
        <rFont val="Calibri"/>
        <family val="2"/>
        <charset val="204"/>
        <scheme val="minor"/>
      </rPr>
      <t xml:space="preserve"> 0</t>
    </r>
    <r>
      <rPr>
        <sz val="11"/>
        <color theme="1"/>
        <rFont val="Calibri"/>
        <family val="2"/>
        <charset val="204"/>
        <scheme val="minor"/>
      </rPr>
      <t xml:space="preserve"> - AT / </t>
    </r>
    <r>
      <rPr>
        <b/>
        <sz val="11"/>
        <color theme="1"/>
        <rFont val="Calibri"/>
        <family val="2"/>
        <charset val="204"/>
        <scheme val="minor"/>
      </rPr>
      <t>1</t>
    </r>
    <r>
      <rPr>
        <sz val="11"/>
        <color theme="1"/>
        <rFont val="Calibri"/>
        <family val="2"/>
        <charset val="204"/>
        <scheme val="minor"/>
      </rPr>
      <t xml:space="preserve"> - MT</t>
    </r>
  </si>
  <si>
    <r>
      <rPr>
        <b/>
        <sz val="11"/>
        <color theme="1"/>
        <rFont val="Calibri"/>
        <family val="2"/>
        <charset val="204"/>
        <scheme val="minor"/>
      </rPr>
      <t>i-Stop</t>
    </r>
    <r>
      <rPr>
        <sz val="11"/>
        <color theme="1"/>
        <rFont val="Calibri"/>
        <family val="2"/>
        <charset val="204"/>
        <scheme val="minor"/>
      </rPr>
      <t xml:space="preserve">: </t>
    </r>
    <r>
      <rPr>
        <b/>
        <sz val="11"/>
        <color theme="1"/>
        <rFont val="Calibri"/>
        <family val="2"/>
        <charset val="204"/>
        <scheme val="minor"/>
      </rPr>
      <t>0</t>
    </r>
    <r>
      <rPr>
        <sz val="11"/>
        <color theme="1"/>
        <rFont val="Calibri"/>
        <family val="2"/>
        <charset val="204"/>
        <scheme val="minor"/>
      </rPr>
      <t xml:space="preserve"> - OFF / </t>
    </r>
    <r>
      <rPr>
        <b/>
        <sz val="11"/>
        <color theme="1"/>
        <rFont val="Calibri"/>
        <family val="2"/>
        <charset val="204"/>
        <scheme val="minor"/>
      </rPr>
      <t>1</t>
    </r>
    <r>
      <rPr>
        <sz val="11"/>
        <color theme="1"/>
        <rFont val="Calibri"/>
        <family val="2"/>
        <charset val="204"/>
        <scheme val="minor"/>
      </rPr>
      <t xml:space="preserve"> - ON</t>
    </r>
  </si>
  <si>
    <t>Ukraine (MonoBank), Name - Sergii Litnevskyi</t>
  </si>
  <si>
    <t>FS</t>
  </si>
  <si>
    <t>UPD39</t>
  </si>
  <si>
    <t>6.25</t>
  </si>
  <si>
    <r>
      <rPr>
        <b/>
        <sz val="11"/>
        <color theme="1"/>
        <rFont val="Calibri"/>
        <family val="2"/>
        <charset val="204"/>
        <scheme val="minor"/>
      </rPr>
      <t>Update fully made by @banbat</t>
    </r>
    <r>
      <rPr>
        <sz val="11"/>
        <color theme="1"/>
        <rFont val="Calibri"/>
        <family val="2"/>
        <scheme val="minor"/>
      </rPr>
      <t xml:space="preserve">
1. Added support of Gx (G1,G2,G3..) format. Now format of "New" column will be the same as defined in "Orig" column;
2. Changed Format for "New" Column:
     a. Green Fill means Cell Address is valid for this particular block
     b. Red Text mens value in "New" Cell is not equal to value in "Old" Cell</t>
    </r>
  </si>
  <si>
    <r>
      <rPr>
        <b/>
        <sz val="11"/>
        <color theme="1"/>
        <rFont val="Calibri"/>
        <family val="2"/>
        <charset val="204"/>
        <scheme val="minor"/>
      </rPr>
      <t>1=</t>
    </r>
    <r>
      <rPr>
        <sz val="11"/>
        <color theme="1"/>
        <rFont val="Calibri"/>
        <family val="2"/>
        <charset val="204"/>
        <scheme val="minor"/>
      </rPr>
      <t>always ON</t>
    </r>
    <r>
      <rPr>
        <sz val="11"/>
        <color theme="1"/>
        <rFont val="Calibri"/>
        <family val="2"/>
        <scheme val="minor"/>
      </rPr>
      <t xml:space="preserve"> (OFF only in JP)</t>
    </r>
  </si>
  <si>
    <t>1=Central lock from driver's latch-lever</t>
  </si>
  <si>
    <t>1- if 720-04-27 B0=3x</t>
  </si>
  <si>
    <t>1=M6 &amp; CX-4 only (except US)</t>
  </si>
  <si>
    <t>1 - LED front+rear turn signal lights (Sedan only)</t>
  </si>
  <si>
    <t>1=only some M2(depends only &amp; exclusively on "PCM Part #")</t>
  </si>
  <si>
    <t>1=if 720-04-14 B4b5=1;
0=if 720-04-14 B4b5=0</t>
  </si>
  <si>
    <t>1= --&gt; 720-04-33 B2b1=1 (for M2/CX3/MX5)</t>
  </si>
  <si>
    <t>1=sometimes &amp; only if 720-04-27 B0=10…</t>
  </si>
  <si>
    <t>1- if 720-04-27 B0=3x, 0- if 720-04-27 B0=2x ???</t>
  </si>
  <si>
    <t>1=always used</t>
  </si>
  <si>
    <r>
      <rPr>
        <b/>
        <sz val="11"/>
        <color theme="1"/>
        <rFont val="Calibri"/>
        <family val="2"/>
        <charset val="204"/>
        <scheme val="minor"/>
      </rPr>
      <t>TPMS</t>
    </r>
    <r>
      <rPr>
        <sz val="11"/>
        <color theme="1"/>
        <rFont val="Calibri"/>
        <family val="2"/>
        <charset val="204"/>
        <scheme val="minor"/>
      </rPr>
      <t>: 0 - Disabled / 1 - Enabled</t>
    </r>
  </si>
  <si>
    <t>1=JP only</t>
  </si>
  <si>
    <t>1=MX-5 ONLY</t>
  </si>
  <si>
    <t>1 - ?????</t>
  </si>
  <si>
    <r>
      <rPr>
        <b/>
        <sz val="11"/>
        <color theme="1"/>
        <rFont val="Calibri"/>
        <family val="2"/>
        <charset val="204"/>
        <scheme val="minor"/>
      </rPr>
      <t>Radar Market Area</t>
    </r>
    <r>
      <rPr>
        <sz val="11"/>
        <color theme="1"/>
        <rFont val="Calibri"/>
        <family val="2"/>
        <charset val="204"/>
        <scheme val="minor"/>
      </rPr>
      <t xml:space="preserve">
</t>
    </r>
    <r>
      <rPr>
        <i/>
        <sz val="10"/>
        <color theme="1"/>
        <rFont val="Calibri"/>
        <family val="2"/>
        <charset val="204"/>
        <scheme val="minor"/>
      </rPr>
      <t>b7b6b5b4 - Value:</t>
    </r>
    <r>
      <rPr>
        <sz val="11"/>
        <color theme="1"/>
        <rFont val="Calibri"/>
        <family val="2"/>
        <charset val="204"/>
        <scheme val="minor"/>
      </rPr>
      <t xml:space="preserve">
</t>
    </r>
    <r>
      <rPr>
        <b/>
        <sz val="11"/>
        <color theme="1"/>
        <rFont val="Calibri"/>
        <family val="2"/>
        <charset val="204"/>
        <scheme val="minor"/>
      </rPr>
      <t>0000</t>
    </r>
    <r>
      <rPr>
        <sz val="11"/>
        <color theme="1"/>
        <rFont val="Calibri"/>
        <family val="2"/>
        <charset val="204"/>
        <scheme val="minor"/>
      </rPr>
      <t xml:space="preserve"> — Japan
</t>
    </r>
    <r>
      <rPr>
        <b/>
        <sz val="11"/>
        <color theme="1"/>
        <rFont val="Calibri"/>
        <family val="2"/>
        <charset val="204"/>
        <scheme val="minor"/>
      </rPr>
      <t>0010</t>
    </r>
    <r>
      <rPr>
        <sz val="11"/>
        <color theme="1"/>
        <rFont val="Calibri"/>
        <family val="2"/>
        <charset val="204"/>
        <scheme val="minor"/>
      </rPr>
      <t xml:space="preserve"> — Europe
</t>
    </r>
    <r>
      <rPr>
        <b/>
        <sz val="11"/>
        <color theme="1"/>
        <rFont val="Calibri"/>
        <family val="2"/>
        <charset val="204"/>
        <scheme val="minor"/>
      </rPr>
      <t>0101</t>
    </r>
    <r>
      <rPr>
        <sz val="11"/>
        <color theme="1"/>
        <rFont val="Calibri"/>
        <family val="2"/>
        <charset val="204"/>
        <scheme val="minor"/>
      </rPr>
      <t xml:space="preserve"> — Japan
</t>
    </r>
    <r>
      <rPr>
        <b/>
        <sz val="11"/>
        <color theme="1"/>
        <rFont val="Calibri"/>
        <family val="2"/>
        <charset val="204"/>
        <scheme val="minor"/>
      </rPr>
      <t>0110</t>
    </r>
    <r>
      <rPr>
        <sz val="11"/>
        <color theme="1"/>
        <rFont val="Calibri"/>
        <family val="2"/>
        <charset val="204"/>
        <scheme val="minor"/>
      </rPr>
      <t xml:space="preserve"> — US/Asia/Aus
</t>
    </r>
    <r>
      <rPr>
        <b/>
        <sz val="11"/>
        <color theme="1"/>
        <rFont val="Calibri"/>
        <family val="2"/>
        <charset val="204"/>
        <scheme val="minor"/>
      </rPr>
      <t>0111</t>
    </r>
    <r>
      <rPr>
        <sz val="11"/>
        <color theme="1"/>
        <rFont val="Calibri"/>
        <family val="2"/>
        <charset val="204"/>
        <scheme val="minor"/>
      </rPr>
      <t xml:space="preserve"> — US/Asia/Aus</t>
    </r>
  </si>
  <si>
    <t>1 = CMU; 0 = RCU</t>
  </si>
  <si>
    <r>
      <rPr>
        <b/>
        <sz val="11"/>
        <color theme="1"/>
        <rFont val="Calibri"/>
        <family val="2"/>
        <charset val="204"/>
        <scheme val="minor"/>
      </rPr>
      <t>HBC</t>
    </r>
    <r>
      <rPr>
        <sz val="11"/>
        <color theme="1"/>
        <rFont val="Calibri"/>
        <family val="2"/>
        <charset val="204"/>
        <scheme val="minor"/>
      </rPr>
      <t xml:space="preserve"> (if b7=1)
</t>
    </r>
    <r>
      <rPr>
        <i/>
        <sz val="10"/>
        <color theme="1"/>
        <rFont val="Calibri"/>
        <family val="2"/>
        <charset val="204"/>
        <scheme val="minor"/>
      </rPr>
      <t>b1b0 - Value:</t>
    </r>
    <r>
      <rPr>
        <sz val="11"/>
        <color theme="1"/>
        <rFont val="Calibri"/>
        <family val="2"/>
        <charset val="204"/>
        <scheme val="minor"/>
      </rPr>
      <t xml:space="preserve">
</t>
    </r>
    <r>
      <rPr>
        <b/>
        <sz val="11"/>
        <color theme="1"/>
        <rFont val="Calibri"/>
        <family val="2"/>
        <charset val="204"/>
        <scheme val="minor"/>
      </rPr>
      <t>10</t>
    </r>
    <r>
      <rPr>
        <sz val="11"/>
        <color theme="1"/>
        <rFont val="Calibri"/>
        <family val="2"/>
        <charset val="204"/>
        <scheme val="minor"/>
      </rPr>
      <t xml:space="preserve"> = (JPN only) + (CX5KE-LHD)
</t>
    </r>
    <r>
      <rPr>
        <b/>
        <sz val="11"/>
        <color theme="1"/>
        <rFont val="Calibri"/>
        <family val="2"/>
        <charset val="204"/>
        <scheme val="minor"/>
      </rPr>
      <t>01</t>
    </r>
    <r>
      <rPr>
        <sz val="11"/>
        <color theme="1"/>
        <rFont val="Calibri"/>
        <family val="2"/>
        <charset val="204"/>
        <scheme val="minor"/>
      </rPr>
      <t xml:space="preserve"> = LHD + AUS/ASIA + CX5KE-RHD (except AUS)</t>
    </r>
  </si>
  <si>
    <t>1 - if 720-04-27 B0=3x in M2/CX3/MX5</t>
  </si>
  <si>
    <t>100 - MX-5;
011 - CX-3;
010 - M2 HB;
000 = M2 SD</t>
  </si>
  <si>
    <t>1 =no ADL; 0=ADL</t>
  </si>
  <si>
    <t>1 - MX-5 only</t>
  </si>
  <si>
    <t>1 - i-STOP equipped</t>
  </si>
  <si>
    <t>1 - Advanced SCBS equipped MX-5</t>
  </si>
  <si>
    <t>UPD40</t>
  </si>
  <si>
    <t>6.26</t>
  </si>
  <si>
    <t>Added some findings by Nikodim in various modules.</t>
  </si>
  <si>
    <r>
      <rPr>
        <b/>
        <sz val="11"/>
        <color theme="1"/>
        <rFont val="Calibri"/>
        <family val="2"/>
        <charset val="204"/>
        <scheme val="minor"/>
      </rPr>
      <t>Region code:</t>
    </r>
    <r>
      <rPr>
        <sz val="11"/>
        <color theme="1"/>
        <rFont val="Calibri"/>
        <family val="2"/>
        <charset val="204"/>
        <scheme val="minor"/>
      </rPr>
      <t xml:space="preserve">
</t>
    </r>
    <r>
      <rPr>
        <i/>
        <sz val="10"/>
        <color theme="1"/>
        <rFont val="Calibri"/>
        <family val="2"/>
        <charset val="204"/>
        <scheme val="minor"/>
      </rPr>
      <t>b3b2b1 - Value</t>
    </r>
    <r>
      <rPr>
        <sz val="11"/>
        <color theme="1"/>
        <rFont val="Calibri"/>
        <family val="2"/>
        <charset val="204"/>
        <scheme val="minor"/>
      </rPr>
      <t xml:space="preserve">
JMZ (JPN/UK): </t>
    </r>
    <r>
      <rPr>
        <b/>
        <sz val="11"/>
        <color theme="1"/>
        <rFont val="Calibri"/>
        <family val="2"/>
        <charset val="204"/>
        <scheme val="minor"/>
      </rPr>
      <t>000</t>
    </r>
    <r>
      <rPr>
        <sz val="11"/>
        <color theme="1"/>
        <rFont val="Calibri"/>
        <family val="2"/>
        <charset val="204"/>
        <scheme val="minor"/>
      </rPr>
      <t xml:space="preserve">
JMZ (EU): </t>
    </r>
    <r>
      <rPr>
        <b/>
        <sz val="11"/>
        <color theme="1"/>
        <rFont val="Calibri"/>
        <family val="2"/>
        <charset val="204"/>
        <scheme val="minor"/>
      </rPr>
      <t>001</t>
    </r>
    <r>
      <rPr>
        <sz val="11"/>
        <color theme="1"/>
        <rFont val="Calibri"/>
        <family val="2"/>
        <charset val="204"/>
        <scheme val="minor"/>
      </rPr>
      <t xml:space="preserve">
JM1 (US): </t>
    </r>
    <r>
      <rPr>
        <b/>
        <sz val="11"/>
        <color theme="1"/>
        <rFont val="Calibri"/>
        <family val="2"/>
        <charset val="204"/>
        <scheme val="minor"/>
      </rPr>
      <t>010</t>
    </r>
    <r>
      <rPr>
        <sz val="11"/>
        <color theme="1"/>
        <rFont val="Calibri"/>
        <family val="2"/>
        <charset val="204"/>
        <scheme val="minor"/>
      </rPr>
      <t xml:space="preserve">
JM3 (CAN): </t>
    </r>
    <r>
      <rPr>
        <b/>
        <sz val="11"/>
        <color theme="1"/>
        <rFont val="Calibri"/>
        <family val="2"/>
        <charset val="204"/>
        <scheme val="minor"/>
      </rPr>
      <t>011</t>
    </r>
    <r>
      <rPr>
        <sz val="11"/>
        <color theme="1"/>
        <rFont val="Calibri"/>
        <family val="2"/>
        <charset val="204"/>
        <scheme val="minor"/>
      </rPr>
      <t xml:space="preserve">
JM0 (AUS): </t>
    </r>
    <r>
      <rPr>
        <b/>
        <sz val="11"/>
        <color theme="1"/>
        <rFont val="Calibri"/>
        <family val="2"/>
        <charset val="204"/>
        <scheme val="minor"/>
      </rPr>
      <t>100</t>
    </r>
    <r>
      <rPr>
        <sz val="11"/>
        <color theme="1"/>
        <rFont val="Calibri"/>
        <family val="2"/>
        <charset val="204"/>
        <scheme val="minor"/>
      </rPr>
      <t xml:space="preserve">
JM7 (Asia/S.America): </t>
    </r>
    <r>
      <rPr>
        <b/>
        <sz val="11"/>
        <color theme="1"/>
        <rFont val="Calibri"/>
        <family val="2"/>
        <charset val="204"/>
        <scheme val="minor"/>
      </rPr>
      <t>101</t>
    </r>
    <r>
      <rPr>
        <sz val="11"/>
        <color theme="1"/>
        <rFont val="Calibri"/>
        <family val="2"/>
        <charset val="204"/>
        <scheme val="minor"/>
      </rPr>
      <t xml:space="preserve">
(CHN): </t>
    </r>
    <r>
      <rPr>
        <b/>
        <sz val="11"/>
        <color theme="1"/>
        <rFont val="Calibri"/>
        <family val="2"/>
        <charset val="204"/>
        <scheme val="minor"/>
      </rPr>
      <t>110</t>
    </r>
    <r>
      <rPr>
        <sz val="11"/>
        <color theme="1"/>
        <rFont val="Calibri"/>
        <family val="2"/>
        <charset val="204"/>
        <scheme val="minor"/>
      </rPr>
      <t xml:space="preserve">
JM7 (Saudi): </t>
    </r>
    <r>
      <rPr>
        <b/>
        <sz val="11"/>
        <color theme="1"/>
        <rFont val="Calibri"/>
        <family val="2"/>
        <charset val="204"/>
        <scheme val="minor"/>
      </rPr>
      <t>111</t>
    </r>
  </si>
  <si>
    <r>
      <rPr>
        <b/>
        <sz val="11"/>
        <color theme="1"/>
        <rFont val="Calibri"/>
        <family val="2"/>
        <charset val="204"/>
        <scheme val="minor"/>
      </rPr>
      <t>SCBS-R:</t>
    </r>
    <r>
      <rPr>
        <sz val="11"/>
        <color theme="1"/>
        <rFont val="Calibri"/>
        <family val="2"/>
        <charset val="204"/>
        <scheme val="minor"/>
      </rPr>
      <t xml:space="preserve">
</t>
    </r>
    <r>
      <rPr>
        <i/>
        <sz val="10"/>
        <color theme="1"/>
        <rFont val="Calibri"/>
        <family val="2"/>
        <charset val="204"/>
        <scheme val="minor"/>
      </rPr>
      <t xml:space="preserve">b6b5 - Value
</t>
    </r>
    <r>
      <rPr>
        <b/>
        <sz val="11"/>
        <color theme="1"/>
        <rFont val="Calibri"/>
        <family val="2"/>
        <charset val="204"/>
        <scheme val="minor"/>
      </rPr>
      <t>00</t>
    </r>
    <r>
      <rPr>
        <sz val="11"/>
        <color theme="1"/>
        <rFont val="Calibri"/>
        <family val="2"/>
        <charset val="204"/>
        <scheme val="minor"/>
      </rPr>
      <t xml:space="preserve"> - Off (W/Parking overlays Off)
</t>
    </r>
    <r>
      <rPr>
        <b/>
        <sz val="11"/>
        <color theme="1"/>
        <rFont val="Calibri"/>
        <family val="2"/>
        <charset val="204"/>
        <scheme val="minor"/>
      </rPr>
      <t>01</t>
    </r>
    <r>
      <rPr>
        <sz val="11"/>
        <color theme="1"/>
        <rFont val="Calibri"/>
        <family val="2"/>
        <charset val="204"/>
        <scheme val="minor"/>
      </rPr>
      <t xml:space="preserve"> - Off (W/Parking overlays On)
</t>
    </r>
    <r>
      <rPr>
        <b/>
        <sz val="11"/>
        <color theme="1"/>
        <rFont val="Calibri"/>
        <family val="2"/>
        <charset val="204"/>
        <scheme val="minor"/>
      </rPr>
      <t>10</t>
    </r>
    <r>
      <rPr>
        <sz val="11"/>
        <color theme="1"/>
        <rFont val="Calibri"/>
        <family val="2"/>
        <charset val="204"/>
        <scheme val="minor"/>
      </rPr>
      <t xml:space="preserve"> - On (W/Parking overlays On)</t>
    </r>
  </si>
  <si>
    <t>Vehicle Control Module</t>
  </si>
  <si>
    <r>
      <rPr>
        <b/>
        <sz val="11"/>
        <color theme="1"/>
        <rFont val="Calibri"/>
        <family val="2"/>
        <charset val="204"/>
        <scheme val="minor"/>
      </rPr>
      <t>Parking Brake:</t>
    </r>
    <r>
      <rPr>
        <sz val="11"/>
        <color theme="1"/>
        <rFont val="Calibri"/>
        <family val="2"/>
        <scheme val="minor"/>
      </rPr>
      <t xml:space="preserve">
</t>
    </r>
    <r>
      <rPr>
        <i/>
        <sz val="10"/>
        <color theme="1"/>
        <rFont val="Calibri"/>
        <family val="2"/>
        <charset val="204"/>
        <scheme val="minor"/>
      </rPr>
      <t>b5b4 - Value</t>
    </r>
    <r>
      <rPr>
        <sz val="11"/>
        <color theme="1"/>
        <rFont val="Calibri"/>
        <family val="2"/>
        <scheme val="minor"/>
      </rPr>
      <t xml:space="preserve">
</t>
    </r>
    <r>
      <rPr>
        <b/>
        <sz val="11"/>
        <color theme="1"/>
        <rFont val="Calibri"/>
        <family val="2"/>
        <charset val="204"/>
        <scheme val="minor"/>
      </rPr>
      <t>10</t>
    </r>
    <r>
      <rPr>
        <sz val="11"/>
        <color theme="1"/>
        <rFont val="Calibri"/>
        <family val="2"/>
        <scheme val="minor"/>
      </rPr>
      <t xml:space="preserve"> - Mechanical
</t>
    </r>
    <r>
      <rPr>
        <b/>
        <sz val="11"/>
        <color theme="1"/>
        <rFont val="Calibri"/>
        <family val="2"/>
        <charset val="204"/>
        <scheme val="minor"/>
      </rPr>
      <t>11</t>
    </r>
    <r>
      <rPr>
        <sz val="11"/>
        <color theme="1"/>
        <rFont val="Calibri"/>
        <family val="2"/>
        <scheme val="minor"/>
      </rPr>
      <t xml:space="preserve"> - Electric (EPB)</t>
    </r>
  </si>
  <si>
    <t>UPD41</t>
  </si>
  <si>
    <t>Added Parking Brake IC icon in 720-01-01 B3 b5b4. Thanks to NewFate</t>
  </si>
  <si>
    <r>
      <rPr>
        <b/>
        <sz val="11"/>
        <color theme="1"/>
        <rFont val="Calibri"/>
        <family val="2"/>
        <charset val="204"/>
        <scheme val="minor"/>
      </rPr>
      <t xml:space="preserve">Keyfob type: </t>
    </r>
    <r>
      <rPr>
        <sz val="11"/>
        <color theme="1"/>
        <rFont val="Calibri"/>
        <family val="2"/>
        <charset val="204"/>
        <scheme val="minor"/>
      </rPr>
      <t xml:space="preserve">Bodystyle/Drive dependant
</t>
    </r>
    <r>
      <rPr>
        <i/>
        <sz val="10"/>
        <color theme="1"/>
        <rFont val="Calibri"/>
        <family val="2"/>
        <charset val="204"/>
        <scheme val="minor"/>
      </rPr>
      <t>Value (HEX)</t>
    </r>
    <r>
      <rPr>
        <sz val="10"/>
        <color theme="1"/>
        <rFont val="Calibri"/>
        <family val="2"/>
        <charset val="204"/>
        <scheme val="minor"/>
      </rPr>
      <t>:</t>
    </r>
    <r>
      <rPr>
        <sz val="11"/>
        <color theme="1"/>
        <rFont val="Calibri"/>
        <family val="2"/>
        <charset val="204"/>
        <scheme val="minor"/>
      </rPr>
      <t xml:space="preserve">
</t>
    </r>
    <r>
      <rPr>
        <b/>
        <sz val="11"/>
        <color theme="1"/>
        <rFont val="Calibri"/>
        <family val="2"/>
        <charset val="204"/>
        <scheme val="minor"/>
      </rPr>
      <t>01</t>
    </r>
    <r>
      <rPr>
        <sz val="11"/>
        <color theme="1"/>
        <rFont val="Calibri"/>
        <family val="2"/>
        <charset val="204"/>
        <scheme val="minor"/>
      </rPr>
      <t xml:space="preserve"> - HB/WGN (RHD except AUS);
</t>
    </r>
    <r>
      <rPr>
        <b/>
        <sz val="11"/>
        <color theme="1"/>
        <rFont val="Calibri"/>
        <family val="2"/>
        <charset val="204"/>
        <scheme val="minor"/>
      </rPr>
      <t>03</t>
    </r>
    <r>
      <rPr>
        <sz val="11"/>
        <color theme="1"/>
        <rFont val="Calibri"/>
        <family val="2"/>
        <charset val="204"/>
        <scheme val="minor"/>
      </rPr>
      <t xml:space="preserve"> - SD (RHD except AUS);
</t>
    </r>
    <r>
      <rPr>
        <b/>
        <sz val="11"/>
        <color theme="1"/>
        <rFont val="Calibri"/>
        <family val="2"/>
        <charset val="204"/>
        <scheme val="minor"/>
      </rPr>
      <t>0D</t>
    </r>
    <r>
      <rPr>
        <sz val="11"/>
        <color theme="1"/>
        <rFont val="Calibri"/>
        <family val="2"/>
        <charset val="204"/>
        <scheme val="minor"/>
      </rPr>
      <t xml:space="preserve"> - WGN (except AUS) only when 731-01-01 B2=C2/C6;
</t>
    </r>
    <r>
      <rPr>
        <b/>
        <sz val="11"/>
        <color theme="1"/>
        <rFont val="Calibri"/>
        <family val="2"/>
        <charset val="204"/>
        <scheme val="minor"/>
      </rPr>
      <t>06</t>
    </r>
    <r>
      <rPr>
        <sz val="11"/>
        <color theme="1"/>
        <rFont val="Calibri"/>
        <family val="2"/>
        <charset val="204"/>
        <scheme val="minor"/>
      </rPr>
      <t xml:space="preserve"> - HB/WGN (US only);
</t>
    </r>
    <r>
      <rPr>
        <b/>
        <sz val="11"/>
        <color theme="1"/>
        <rFont val="Calibri"/>
        <family val="2"/>
        <charset val="204"/>
        <scheme val="minor"/>
      </rPr>
      <t>09</t>
    </r>
    <r>
      <rPr>
        <sz val="11"/>
        <color theme="1"/>
        <rFont val="Calibri"/>
        <family val="2"/>
        <charset val="204"/>
        <scheme val="minor"/>
      </rPr>
      <t xml:space="preserve"> - 4 Buttons (Open, Close, Trunk, Panic) - SD (US only); 
</t>
    </r>
    <r>
      <rPr>
        <b/>
        <sz val="11"/>
        <color theme="1"/>
        <rFont val="Calibri"/>
        <family val="2"/>
        <charset val="204"/>
        <scheme val="minor"/>
      </rPr>
      <t>0E</t>
    </r>
    <r>
      <rPr>
        <sz val="11"/>
        <color theme="1"/>
        <rFont val="Calibri"/>
        <family val="2"/>
        <charset val="204"/>
        <scheme val="minor"/>
      </rPr>
      <t xml:space="preserve"> - WGN (US) only when  731-01-01 B2=D6/DE;
</t>
    </r>
    <r>
      <rPr>
        <b/>
        <sz val="11"/>
        <color theme="1"/>
        <rFont val="Calibri"/>
        <family val="2"/>
        <charset val="204"/>
        <scheme val="minor"/>
      </rPr>
      <t xml:space="preserve">18 </t>
    </r>
    <r>
      <rPr>
        <sz val="11"/>
        <color theme="1"/>
        <rFont val="Calibri"/>
        <family val="2"/>
        <charset val="204"/>
        <scheme val="minor"/>
      </rPr>
      <t xml:space="preserve">- 2 Buttons (Open, Close) - HB/WGN (LHD+AUS/SAfr);
</t>
    </r>
    <r>
      <rPr>
        <b/>
        <sz val="11"/>
        <color theme="1"/>
        <rFont val="Calibri"/>
        <family val="2"/>
        <charset val="204"/>
        <scheme val="minor"/>
      </rPr>
      <t>19</t>
    </r>
    <r>
      <rPr>
        <sz val="11"/>
        <color theme="1"/>
        <rFont val="Calibri"/>
        <family val="2"/>
        <charset val="204"/>
        <scheme val="minor"/>
      </rPr>
      <t xml:space="preserve"> - 3 Buttons (Open, Close, Trunk) - SD (LHD+AUS/SAfr);
</t>
    </r>
    <r>
      <rPr>
        <b/>
        <sz val="11"/>
        <color theme="1"/>
        <rFont val="Calibri"/>
        <family val="2"/>
        <charset val="204"/>
        <scheme val="minor"/>
      </rPr>
      <t>1E</t>
    </r>
    <r>
      <rPr>
        <sz val="11"/>
        <color theme="1"/>
        <rFont val="Calibri"/>
        <family val="2"/>
        <charset val="204"/>
        <scheme val="minor"/>
      </rPr>
      <t xml:space="preserve"> - WGN (LHD+AUS/UK only when 731-01-01 B2=6x/Ex);
</t>
    </r>
    <r>
      <rPr>
        <b/>
        <sz val="11"/>
        <color theme="1"/>
        <rFont val="Calibri"/>
        <family val="2"/>
        <charset val="204"/>
        <scheme val="minor"/>
      </rPr>
      <t>21</t>
    </r>
    <r>
      <rPr>
        <sz val="11"/>
        <color theme="1"/>
        <rFont val="Calibri"/>
        <family val="2"/>
        <charset val="204"/>
        <scheme val="minor"/>
      </rPr>
      <t xml:space="preserve"> - 4 Buttons (Open, Close, Trunk, Intrusion sensor) - SD (EU+UK only when 731-01-01 B2=68/E8/E0/C8);
</t>
    </r>
    <r>
      <rPr>
        <b/>
        <sz val="11"/>
        <color theme="1"/>
        <rFont val="Calibri"/>
        <family val="2"/>
        <charset val="204"/>
        <scheme val="minor"/>
      </rPr>
      <t>23</t>
    </r>
    <r>
      <rPr>
        <sz val="11"/>
        <color theme="1"/>
        <rFont val="Calibri"/>
        <family val="2"/>
        <charset val="204"/>
        <scheme val="minor"/>
      </rPr>
      <t xml:space="preserve"> - WGN (EU+UK only when 731-01-01 B2-C2/CA/C6/CE)</t>
    </r>
  </si>
  <si>
    <t>UPD42</t>
  </si>
  <si>
    <t>Updated SSU 731-01-02 B2 reagrding to Keyfob types. Thanks to NewFate</t>
  </si>
  <si>
    <t>720G1G60000002E</t>
  </si>
  <si>
    <t>720G4H0000000000041</t>
  </si>
  <si>
    <t>720G4HB000000000052</t>
  </si>
  <si>
    <t>720G4HC0053</t>
  </si>
  <si>
    <t>720G1G1000000000029</t>
  </si>
  <si>
    <t>720G1G200000000002A</t>
  </si>
  <si>
    <t>720G2G100000000002A</t>
  </si>
  <si>
    <t>720G4G100000000002C</t>
  </si>
  <si>
    <t>720G4G200000000002D</t>
  </si>
  <si>
    <t>720G4G300000000002E</t>
  </si>
  <si>
    <t>720G4G400000000002F</t>
  </si>
  <si>
    <t>720G4G5000000000030</t>
  </si>
  <si>
    <t>720G4G6000000000031</t>
  </si>
  <si>
    <t>720G4G7000000000032</t>
  </si>
  <si>
    <t>720G4G8000000000033</t>
  </si>
  <si>
    <t>720G4G9000000000034</t>
  </si>
  <si>
    <t>720G4GA00000000003B</t>
  </si>
  <si>
    <t>720G4GB00000000003C</t>
  </si>
  <si>
    <t>720G4GC00000000003D</t>
  </si>
  <si>
    <t>720G4GD00000000003E</t>
  </si>
  <si>
    <t>720G4GE00000000003F</t>
  </si>
  <si>
    <t>720G4GF000000000040</t>
  </si>
  <si>
    <t>720G4H1000000000042</t>
  </si>
  <si>
    <t>720G4H2000000000043</t>
  </si>
  <si>
    <t>720G4H3000000000044</t>
  </si>
  <si>
    <t>720G4H400000000004B</t>
  </si>
  <si>
    <t>720G4H500000000004C</t>
  </si>
  <si>
    <t>720G4H600000000004D</t>
  </si>
  <si>
    <t>720G4H700000000004E</t>
  </si>
  <si>
    <t>720G4H800000000004F</t>
  </si>
  <si>
    <t>720G4H9000000000050</t>
  </si>
  <si>
    <t>720G4HA000000000051</t>
  </si>
  <si>
    <t>UPD43</t>
  </si>
  <si>
    <t>6.27</t>
  </si>
  <si>
    <t>Fixed 720-02-01 line, which sometimes has 3 Bytes instead of 5.</t>
  </si>
  <si>
    <t>PayPal</t>
  </si>
  <si>
    <t>sergslim@gmail.com</t>
  </si>
  <si>
    <t>UPD44</t>
  </si>
  <si>
    <t>Added PayPal account to Donate tab</t>
  </si>
  <si>
    <t>Original VIN</t>
  </si>
  <si>
    <t>UPD45</t>
  </si>
  <si>
    <t>6.28</t>
  </si>
  <si>
    <r>
      <rPr>
        <b/>
        <sz val="11"/>
        <color theme="1"/>
        <rFont val="Calibri"/>
        <family val="2"/>
        <charset val="204"/>
        <scheme val="minor"/>
      </rPr>
      <t>Daylight Running Light/Bambi</t>
    </r>
    <r>
      <rPr>
        <sz val="11"/>
        <color theme="1"/>
        <rFont val="Calibri"/>
        <family val="2"/>
        <charset val="204"/>
        <scheme val="minor"/>
      </rPr>
      <t xml:space="preserve">:
</t>
    </r>
    <r>
      <rPr>
        <i/>
        <sz val="10"/>
        <color theme="1"/>
        <rFont val="Calibri"/>
        <family val="2"/>
        <scheme val="minor"/>
      </rPr>
      <t>b2b1 - Value:</t>
    </r>
    <r>
      <rPr>
        <sz val="11"/>
        <color theme="1"/>
        <rFont val="Calibri"/>
        <family val="2"/>
        <charset val="204"/>
        <scheme val="minor"/>
      </rPr>
      <t xml:space="preserve">
</t>
    </r>
    <r>
      <rPr>
        <b/>
        <sz val="11"/>
        <color theme="1"/>
        <rFont val="Calibri"/>
        <family val="2"/>
        <scheme val="minor"/>
      </rPr>
      <t>00</t>
    </r>
    <r>
      <rPr>
        <sz val="11"/>
        <color theme="1"/>
        <rFont val="Calibri"/>
        <family val="2"/>
        <charset val="204"/>
        <scheme val="minor"/>
      </rPr>
      <t xml:space="preserve"> - DRL + Bambi
</t>
    </r>
    <r>
      <rPr>
        <b/>
        <sz val="11"/>
        <color theme="1"/>
        <rFont val="Calibri"/>
        <family val="2"/>
        <scheme val="minor"/>
      </rPr>
      <t>01</t>
    </r>
    <r>
      <rPr>
        <sz val="11"/>
        <color theme="1"/>
        <rFont val="Calibri"/>
        <family val="2"/>
        <charset val="204"/>
        <scheme val="minor"/>
      </rPr>
      <t xml:space="preserve"> - Bambi w/o DRL
</t>
    </r>
    <r>
      <rPr>
        <b/>
        <sz val="11"/>
        <color theme="1"/>
        <rFont val="Calibri"/>
        <family val="2"/>
        <scheme val="minor"/>
      </rPr>
      <t>10</t>
    </r>
    <r>
      <rPr>
        <sz val="11"/>
        <color theme="1"/>
        <rFont val="Calibri"/>
        <family val="2"/>
        <charset val="204"/>
        <scheme val="minor"/>
      </rPr>
      <t xml:space="preserve"> - DRL w/o Bambi</t>
    </r>
  </si>
  <si>
    <t>Added ability to change VIN code - simply replace needed symbols in BIG squares in the right part of the IC sheet
Changed values and description of DRL/Bambi mode in FBCM</t>
  </si>
  <si>
    <t>UPD46</t>
  </si>
  <si>
    <t>Fixed a regression mistake in IC tab line 720-04-19. Thanks to @AsteriXD letting me know.</t>
  </si>
  <si>
    <r>
      <rPr>
        <b/>
        <sz val="11"/>
        <color theme="1"/>
        <rFont val="Calibri"/>
        <family val="2"/>
        <charset val="204"/>
        <scheme val="minor"/>
      </rPr>
      <t>Cruise control</t>
    </r>
    <r>
      <rPr>
        <sz val="11"/>
        <color theme="1"/>
        <rFont val="Calibri"/>
        <family val="2"/>
        <charset val="204"/>
        <scheme val="minor"/>
      </rPr>
      <t xml:space="preserve">:
</t>
    </r>
    <r>
      <rPr>
        <i/>
        <sz val="10"/>
        <color theme="1"/>
        <rFont val="Calibri"/>
        <family val="2"/>
        <charset val="204"/>
        <scheme val="minor"/>
      </rPr>
      <t>b6b5b4 - Value</t>
    </r>
    <r>
      <rPr>
        <sz val="11"/>
        <color theme="1"/>
        <rFont val="Calibri"/>
        <family val="2"/>
        <charset val="204"/>
        <scheme val="minor"/>
      </rPr>
      <t xml:space="preserve">
</t>
    </r>
    <r>
      <rPr>
        <b/>
        <sz val="11"/>
        <color theme="1"/>
        <rFont val="Calibri"/>
        <family val="2"/>
        <charset val="204"/>
        <scheme val="minor"/>
      </rPr>
      <t>001</t>
    </r>
    <r>
      <rPr>
        <sz val="11"/>
        <color theme="1"/>
        <rFont val="Calibri"/>
        <family val="2"/>
        <charset val="204"/>
        <scheme val="minor"/>
      </rPr>
      <t xml:space="preserve"> - Without CC
</t>
    </r>
    <r>
      <rPr>
        <b/>
        <sz val="11"/>
        <color theme="1"/>
        <rFont val="Calibri"/>
        <family val="2"/>
        <charset val="204"/>
        <scheme val="minor"/>
      </rPr>
      <t>010</t>
    </r>
    <r>
      <rPr>
        <sz val="11"/>
        <color theme="1"/>
        <rFont val="Calibri"/>
        <family val="2"/>
        <charset val="204"/>
        <scheme val="minor"/>
      </rPr>
      <t xml:space="preserve"> - Standard CC
</t>
    </r>
    <r>
      <rPr>
        <b/>
        <sz val="11"/>
        <color theme="1"/>
        <rFont val="Calibri"/>
        <family val="2"/>
        <charset val="204"/>
        <scheme val="minor"/>
      </rPr>
      <t>011</t>
    </r>
    <r>
      <rPr>
        <sz val="11"/>
        <color theme="1"/>
        <rFont val="Calibri"/>
        <family val="2"/>
        <charset val="204"/>
        <scheme val="minor"/>
      </rPr>
      <t xml:space="preserve"> - Standard MRCC
</t>
    </r>
    <r>
      <rPr>
        <b/>
        <sz val="11"/>
        <color theme="1"/>
        <rFont val="Calibri"/>
        <family val="2"/>
        <charset val="204"/>
        <scheme val="minor"/>
      </rPr>
      <t>100</t>
    </r>
    <r>
      <rPr>
        <sz val="11"/>
        <color theme="1"/>
        <rFont val="Calibri"/>
        <family val="2"/>
        <charset val="204"/>
        <scheme val="minor"/>
      </rPr>
      <t xml:space="preserve"> - CC with ASL
</t>
    </r>
    <r>
      <rPr>
        <b/>
        <sz val="11"/>
        <color theme="1"/>
        <rFont val="Calibri"/>
        <family val="2"/>
        <charset val="204"/>
        <scheme val="minor"/>
      </rPr>
      <t>101</t>
    </r>
    <r>
      <rPr>
        <sz val="11"/>
        <color theme="1"/>
        <rFont val="Calibri"/>
        <family val="2"/>
        <charset val="204"/>
        <scheme val="minor"/>
      </rPr>
      <t xml:space="preserve"> - MRCC with ASL
</t>
    </r>
    <r>
      <rPr>
        <b/>
        <sz val="11"/>
        <color theme="1"/>
        <rFont val="Calibri"/>
        <family val="2"/>
        <scheme val="minor"/>
      </rPr>
      <t>111</t>
    </r>
    <r>
      <rPr>
        <sz val="11"/>
        <color theme="1"/>
        <rFont val="Calibri"/>
        <family val="2"/>
        <charset val="204"/>
        <scheme val="minor"/>
      </rPr>
      <t xml:space="preserve"> - MRCC with ISA</t>
    </r>
  </si>
  <si>
    <t>Intelligent Speed Assist (ISA)</t>
  </si>
  <si>
    <r>
      <rPr>
        <b/>
        <sz val="11"/>
        <color theme="1"/>
        <rFont val="Calibri"/>
        <family val="2"/>
        <scheme val="minor"/>
      </rPr>
      <t>Backup Camera:</t>
    </r>
    <r>
      <rPr>
        <sz val="11"/>
        <color theme="1"/>
        <rFont val="Calibri"/>
        <family val="2"/>
        <scheme val="minor"/>
      </rPr>
      <t xml:space="preserve">
</t>
    </r>
    <r>
      <rPr>
        <b/>
        <sz val="11"/>
        <color theme="1"/>
        <rFont val="Calibri"/>
        <family val="2"/>
        <scheme val="minor"/>
      </rPr>
      <t>1</t>
    </r>
    <r>
      <rPr>
        <sz val="11"/>
        <color theme="1"/>
        <rFont val="Calibri"/>
        <family val="2"/>
        <scheme val="minor"/>
      </rPr>
      <t xml:space="preserve"> - with Dynamic Assist Lines (7 wires);
</t>
    </r>
    <r>
      <rPr>
        <b/>
        <sz val="11"/>
        <color theme="1"/>
        <rFont val="Calibri"/>
        <family val="2"/>
        <scheme val="minor"/>
      </rPr>
      <t>0</t>
    </r>
    <r>
      <rPr>
        <sz val="11"/>
        <color theme="1"/>
        <rFont val="Calibri"/>
        <family val="2"/>
        <scheme val="minor"/>
      </rPr>
      <t xml:space="preserve"> - with Fixed Assist Lines (4 wires)</t>
    </r>
  </si>
  <si>
    <t>UPD47</t>
  </si>
  <si>
    <t>6.29</t>
  </si>
  <si>
    <t>Added MRCC with ISA to IC 720-04-23, fixed few minor mistakes/typos.</t>
  </si>
  <si>
    <r>
      <rPr>
        <b/>
        <sz val="11"/>
        <color theme="1"/>
        <rFont val="Calibri"/>
        <family val="2"/>
        <scheme val="minor"/>
      </rPr>
      <t>Fuel Consumption Units</t>
    </r>
    <r>
      <rPr>
        <sz val="11"/>
        <color theme="1"/>
        <rFont val="Calibri"/>
        <family val="2"/>
        <scheme val="minor"/>
      </rPr>
      <t xml:space="preserve">: </t>
    </r>
    <r>
      <rPr>
        <b/>
        <sz val="11"/>
        <color theme="1"/>
        <rFont val="Calibri"/>
        <family val="2"/>
        <scheme val="minor"/>
      </rPr>
      <t>0</t>
    </r>
    <r>
      <rPr>
        <sz val="11"/>
        <color theme="1"/>
        <rFont val="Calibri"/>
        <family val="2"/>
        <scheme val="minor"/>
      </rPr>
      <t xml:space="preserve"> - L/100 Km; </t>
    </r>
    <r>
      <rPr>
        <b/>
        <sz val="11"/>
        <color theme="1"/>
        <rFont val="Calibri"/>
        <family val="2"/>
        <scheme val="minor"/>
      </rPr>
      <t>1</t>
    </r>
    <r>
      <rPr>
        <sz val="11"/>
        <color theme="1"/>
        <rFont val="Calibri"/>
        <family val="2"/>
        <scheme val="minor"/>
      </rPr>
      <t xml:space="preserve"> - MPG</t>
    </r>
  </si>
  <si>
    <t>Video UA</t>
  </si>
  <si>
    <t>Video Saudi</t>
  </si>
  <si>
    <t>UPD48</t>
  </si>
  <si>
    <t>Udated links in i-Activesense tab</t>
  </si>
  <si>
    <r>
      <rPr>
        <b/>
        <sz val="11"/>
        <color theme="1"/>
        <rFont val="Calibri"/>
        <family val="2"/>
        <scheme val="minor"/>
      </rPr>
      <t>2-Step Door Unlock</t>
    </r>
    <r>
      <rPr>
        <sz val="11"/>
        <color theme="1"/>
        <rFont val="Calibri"/>
        <family val="2"/>
        <charset val="204"/>
        <scheme val="minor"/>
      </rPr>
      <t xml:space="preserve">: </t>
    </r>
    <r>
      <rPr>
        <b/>
        <sz val="11"/>
        <color theme="1"/>
        <rFont val="Calibri"/>
        <family val="2"/>
        <scheme val="minor"/>
      </rPr>
      <t>0</t>
    </r>
    <r>
      <rPr>
        <sz val="11"/>
        <color theme="1"/>
        <rFont val="Calibri"/>
        <family val="2"/>
        <charset val="204"/>
        <scheme val="minor"/>
      </rPr>
      <t xml:space="preserve"> - OFF / </t>
    </r>
    <r>
      <rPr>
        <b/>
        <sz val="11"/>
        <color theme="1"/>
        <rFont val="Calibri"/>
        <family val="2"/>
        <scheme val="minor"/>
      </rPr>
      <t>1</t>
    </r>
    <r>
      <rPr>
        <sz val="11"/>
        <color theme="1"/>
        <rFont val="Calibri"/>
        <family val="2"/>
        <charset val="204"/>
        <scheme val="minor"/>
      </rPr>
      <t xml:space="preserve"> - ON</t>
    </r>
  </si>
  <si>
    <r>
      <rPr>
        <b/>
        <sz val="11"/>
        <color theme="1"/>
        <rFont val="Calibri"/>
        <family val="2"/>
        <scheme val="minor"/>
      </rPr>
      <t>2-step Unlock mode</t>
    </r>
    <r>
      <rPr>
        <sz val="11"/>
        <color theme="1"/>
        <rFont val="Calibri"/>
        <family val="2"/>
        <charset val="204"/>
        <scheme val="minor"/>
      </rPr>
      <t xml:space="preserve">: </t>
    </r>
    <r>
      <rPr>
        <b/>
        <sz val="11"/>
        <color theme="1"/>
        <rFont val="Calibri"/>
        <family val="2"/>
        <scheme val="minor"/>
      </rPr>
      <t>0</t>
    </r>
    <r>
      <rPr>
        <sz val="11"/>
        <color theme="1"/>
        <rFont val="Calibri"/>
        <family val="2"/>
        <charset val="204"/>
        <scheme val="minor"/>
      </rPr>
      <t xml:space="preserve"> - OFF / </t>
    </r>
    <r>
      <rPr>
        <b/>
        <sz val="11"/>
        <color theme="1"/>
        <rFont val="Calibri"/>
        <family val="2"/>
        <scheme val="minor"/>
      </rPr>
      <t>1</t>
    </r>
    <r>
      <rPr>
        <sz val="11"/>
        <color theme="1"/>
        <rFont val="Calibri"/>
        <family val="2"/>
        <charset val="204"/>
        <scheme val="minor"/>
      </rPr>
      <t xml:space="preserve"> - ON (in addition to 731-01-01 B2b2=1 only in US)</t>
    </r>
  </si>
  <si>
    <r>
      <rPr>
        <b/>
        <sz val="11"/>
        <color theme="1"/>
        <rFont val="Calibri"/>
        <family val="2"/>
        <scheme val="minor"/>
      </rPr>
      <t>2-step Unlock mode</t>
    </r>
    <r>
      <rPr>
        <sz val="11"/>
        <color theme="1"/>
        <rFont val="Calibri"/>
        <family val="2"/>
        <charset val="204"/>
        <scheme val="minor"/>
      </rPr>
      <t xml:space="preserve">: </t>
    </r>
    <r>
      <rPr>
        <b/>
        <sz val="11"/>
        <color theme="1"/>
        <rFont val="Calibri"/>
        <family val="2"/>
        <scheme val="minor"/>
      </rPr>
      <t>0</t>
    </r>
    <r>
      <rPr>
        <sz val="11"/>
        <color theme="1"/>
        <rFont val="Calibri"/>
        <family val="2"/>
        <charset val="204"/>
        <scheme val="minor"/>
      </rPr>
      <t xml:space="preserve"> - Off / </t>
    </r>
    <r>
      <rPr>
        <b/>
        <sz val="11"/>
        <color theme="1"/>
        <rFont val="Calibri"/>
        <family val="2"/>
        <scheme val="minor"/>
      </rPr>
      <t>1</t>
    </r>
    <r>
      <rPr>
        <sz val="11"/>
        <color theme="1"/>
        <rFont val="Calibri"/>
        <family val="2"/>
        <charset val="204"/>
        <scheme val="minor"/>
      </rPr>
      <t xml:space="preserve"> - On</t>
    </r>
  </si>
  <si>
    <t>UPD49</t>
  </si>
  <si>
    <t>Added another link to get As-Built data to CCC Converter tab</t>
  </si>
  <si>
    <t>Open Mazda As-Built Search Engine (https://www6.b2b.mazda.co.jp/AsBuilt/)</t>
  </si>
  <si>
    <t>Or use this Alternative</t>
  </si>
  <si>
    <t>UPD50</t>
  </si>
  <si>
    <t>1=Permanent value</t>
  </si>
  <si>
    <t>0=Permanent value</t>
  </si>
  <si>
    <r>
      <rPr>
        <b/>
        <sz val="11"/>
        <color theme="1"/>
        <rFont val="Calibri"/>
        <family val="2"/>
        <charset val="204"/>
        <scheme val="minor"/>
      </rPr>
      <t>LDWS/LAS/HBC/ALH</t>
    </r>
    <r>
      <rPr>
        <sz val="11"/>
        <color theme="1"/>
        <rFont val="Calibri"/>
        <family val="2"/>
        <charset val="204"/>
        <scheme val="minor"/>
      </rPr>
      <t xml:space="preserve">:
</t>
    </r>
    <r>
      <rPr>
        <i/>
        <sz val="10"/>
        <color theme="1"/>
        <rFont val="Calibri"/>
        <family val="2"/>
        <charset val="204"/>
        <scheme val="minor"/>
      </rPr>
      <t xml:space="preserve">b7b6b5b4 - Value
</t>
    </r>
    <r>
      <rPr>
        <b/>
        <sz val="11"/>
        <color theme="1"/>
        <rFont val="Calibri"/>
        <family val="2"/>
        <charset val="204"/>
        <scheme val="minor"/>
      </rPr>
      <t>0000</t>
    </r>
    <r>
      <rPr>
        <sz val="11"/>
        <color theme="1"/>
        <rFont val="Calibri"/>
        <family val="2"/>
        <charset val="204"/>
        <scheme val="minor"/>
      </rPr>
      <t xml:space="preserve"> - ?
</t>
    </r>
    <r>
      <rPr>
        <b/>
        <sz val="11"/>
        <color theme="1"/>
        <rFont val="Calibri"/>
        <family val="2"/>
        <charset val="204"/>
        <scheme val="minor"/>
      </rPr>
      <t>0001</t>
    </r>
    <r>
      <rPr>
        <sz val="11"/>
        <color theme="1"/>
        <rFont val="Calibri"/>
        <family val="2"/>
        <charset val="204"/>
        <scheme val="minor"/>
      </rPr>
      <t xml:space="preserve"> - No LDWS/LAS/HBC/ALH
</t>
    </r>
    <r>
      <rPr>
        <b/>
        <sz val="11"/>
        <color theme="1"/>
        <rFont val="Calibri"/>
        <family val="2"/>
        <charset val="204"/>
        <scheme val="minor"/>
      </rPr>
      <t>0010</t>
    </r>
    <r>
      <rPr>
        <sz val="11"/>
        <color theme="1"/>
        <rFont val="Calibri"/>
        <family val="2"/>
        <charset val="204"/>
        <scheme val="minor"/>
      </rPr>
      <t xml:space="preserve"> - LDWS+HBC [FSC Gen 1]
</t>
    </r>
    <r>
      <rPr>
        <b/>
        <sz val="11"/>
        <color theme="1"/>
        <rFont val="Calibri"/>
        <family val="2"/>
        <charset val="204"/>
        <scheme val="minor"/>
      </rPr>
      <t>0011</t>
    </r>
    <r>
      <rPr>
        <sz val="11"/>
        <color theme="1"/>
        <rFont val="Calibri"/>
        <family val="2"/>
        <charset val="204"/>
        <scheme val="minor"/>
      </rPr>
      <t xml:space="preserve"> - HBC [?]
</t>
    </r>
    <r>
      <rPr>
        <b/>
        <sz val="11"/>
        <color theme="1"/>
        <rFont val="Calibri"/>
        <family val="2"/>
        <charset val="204"/>
        <scheme val="minor"/>
      </rPr>
      <t>0100</t>
    </r>
    <r>
      <rPr>
        <sz val="11"/>
        <color theme="1"/>
        <rFont val="Calibri"/>
        <family val="2"/>
        <charset val="204"/>
        <scheme val="minor"/>
      </rPr>
      <t xml:space="preserve"> - LDWS [FSC Gen 1]
</t>
    </r>
    <r>
      <rPr>
        <b/>
        <sz val="11"/>
        <color theme="1"/>
        <rFont val="Calibri"/>
        <family val="2"/>
        <charset val="204"/>
        <scheme val="minor"/>
      </rPr>
      <t>0101</t>
    </r>
    <r>
      <rPr>
        <sz val="11"/>
        <color theme="1"/>
        <rFont val="Calibri"/>
        <family val="2"/>
        <charset val="204"/>
        <scheme val="minor"/>
      </rPr>
      <t xml:space="preserve"> - LDWS+HBC [?]
</t>
    </r>
    <r>
      <rPr>
        <b/>
        <sz val="11"/>
        <color theme="1"/>
        <rFont val="Calibri"/>
        <family val="2"/>
        <charset val="204"/>
        <scheme val="minor"/>
      </rPr>
      <t>0110</t>
    </r>
    <r>
      <rPr>
        <sz val="11"/>
        <color theme="1"/>
        <rFont val="Calibri"/>
        <family val="2"/>
        <charset val="204"/>
        <scheme val="minor"/>
      </rPr>
      <t xml:space="preserve"> - ?
</t>
    </r>
    <r>
      <rPr>
        <b/>
        <sz val="11"/>
        <color theme="1"/>
        <rFont val="Calibri"/>
        <family val="2"/>
        <charset val="204"/>
        <scheme val="minor"/>
      </rPr>
      <t>0111</t>
    </r>
    <r>
      <rPr>
        <sz val="11"/>
        <color theme="1"/>
        <rFont val="Calibri"/>
        <family val="2"/>
        <charset val="204"/>
        <scheme val="minor"/>
      </rPr>
      <t xml:space="preserve"> - LDWS [?]
</t>
    </r>
    <r>
      <rPr>
        <b/>
        <sz val="11"/>
        <color theme="1"/>
        <rFont val="Calibri"/>
        <family val="2"/>
        <charset val="204"/>
        <scheme val="minor"/>
      </rPr>
      <t>1000</t>
    </r>
    <r>
      <rPr>
        <sz val="11"/>
        <color theme="1"/>
        <rFont val="Calibri"/>
        <family val="2"/>
        <charset val="204"/>
        <scheme val="minor"/>
      </rPr>
      <t xml:space="preserve"> - HBC [?]
</t>
    </r>
    <r>
      <rPr>
        <b/>
        <sz val="11"/>
        <color theme="1"/>
        <rFont val="Calibri"/>
        <family val="2"/>
        <charset val="204"/>
        <scheme val="minor"/>
      </rPr>
      <t>1001</t>
    </r>
    <r>
      <rPr>
        <sz val="11"/>
        <color theme="1"/>
        <rFont val="Calibri"/>
        <family val="2"/>
        <charset val="204"/>
        <scheme val="minor"/>
      </rPr>
      <t xml:space="preserve"> - LDWS+HBC [FSC Gen 2]
</t>
    </r>
    <r>
      <rPr>
        <b/>
        <sz val="11"/>
        <color theme="1"/>
        <rFont val="Calibri"/>
        <family val="2"/>
        <charset val="204"/>
        <scheme val="minor"/>
      </rPr>
      <t>1010</t>
    </r>
    <r>
      <rPr>
        <sz val="11"/>
        <color theme="1"/>
        <rFont val="Calibri"/>
        <family val="2"/>
        <charset val="204"/>
        <scheme val="minor"/>
      </rPr>
      <t xml:space="preserve"> - LDWS+ALH [FSC Gen 1/2]
</t>
    </r>
    <r>
      <rPr>
        <b/>
        <sz val="11"/>
        <color theme="1"/>
        <rFont val="Calibri"/>
        <family val="2"/>
        <charset val="204"/>
        <scheme val="minor"/>
      </rPr>
      <t>1011</t>
    </r>
    <r>
      <rPr>
        <sz val="11"/>
        <color theme="1"/>
        <rFont val="Calibri"/>
        <family val="2"/>
        <charset val="204"/>
        <scheme val="minor"/>
      </rPr>
      <t xml:space="preserve"> - LAS+ALH [FSC Gen 1/2]
</t>
    </r>
    <r>
      <rPr>
        <b/>
        <sz val="11"/>
        <color theme="1"/>
        <rFont val="Calibri"/>
        <family val="2"/>
        <charset val="204"/>
        <scheme val="minor"/>
      </rPr>
      <t>1100</t>
    </r>
    <r>
      <rPr>
        <sz val="11"/>
        <color theme="1"/>
        <rFont val="Calibri"/>
        <family val="2"/>
        <charset val="204"/>
        <scheme val="minor"/>
      </rPr>
      <t xml:space="preserve"> - LAS+HBC [FSC Gen 1/2]
</t>
    </r>
    <r>
      <rPr>
        <b/>
        <sz val="11"/>
        <color theme="1"/>
        <rFont val="Calibri"/>
        <family val="2"/>
        <charset val="204"/>
        <scheme val="minor"/>
      </rPr>
      <t>1101</t>
    </r>
    <r>
      <rPr>
        <sz val="11"/>
        <color theme="1"/>
        <rFont val="Calibri"/>
        <family val="2"/>
        <charset val="204"/>
        <scheme val="minor"/>
      </rPr>
      <t xml:space="preserve"> - LAS [FSC Gen 2]
</t>
    </r>
    <r>
      <rPr>
        <b/>
        <sz val="11"/>
        <color theme="1"/>
        <rFont val="Calibri"/>
        <family val="2"/>
        <charset val="204"/>
        <scheme val="minor"/>
      </rPr>
      <t>1110</t>
    </r>
    <r>
      <rPr>
        <sz val="11"/>
        <color theme="1"/>
        <rFont val="Calibri"/>
        <family val="2"/>
        <charset val="204"/>
        <scheme val="minor"/>
      </rPr>
      <t xml:space="preserve"> - ?
</t>
    </r>
    <r>
      <rPr>
        <b/>
        <sz val="11"/>
        <color theme="1"/>
        <rFont val="Calibri"/>
        <family val="2"/>
        <charset val="204"/>
        <scheme val="minor"/>
      </rPr>
      <t>1111</t>
    </r>
    <r>
      <rPr>
        <sz val="11"/>
        <color theme="1"/>
        <rFont val="Calibri"/>
        <family val="2"/>
        <charset val="204"/>
        <scheme val="minor"/>
      </rPr>
      <t xml:space="preserve"> - ?</t>
    </r>
  </si>
  <si>
    <t>Forward Sensing Camera (FSC) Gen 1 w/SBS</t>
  </si>
  <si>
    <t>Electric Power Steering Unit w/LKA</t>
  </si>
  <si>
    <t>UPD51</t>
  </si>
  <si>
    <t>6.30</t>
  </si>
  <si>
    <t>Fixed some minor issues here and there. Thanks to Malte Weyer</t>
  </si>
  <si>
    <r>
      <rPr>
        <b/>
        <sz val="11"/>
        <color theme="1"/>
        <rFont val="Calibri"/>
        <family val="2"/>
        <charset val="204"/>
        <scheme val="minor"/>
      </rPr>
      <t>TSR</t>
    </r>
    <r>
      <rPr>
        <sz val="11"/>
        <color theme="1"/>
        <rFont val="Calibri"/>
        <family val="2"/>
        <charset val="204"/>
        <scheme val="minor"/>
      </rPr>
      <t xml:space="preserve">: 
</t>
    </r>
    <r>
      <rPr>
        <i/>
        <sz val="10"/>
        <color theme="1"/>
        <rFont val="Calibri"/>
        <family val="2"/>
        <scheme val="minor"/>
      </rPr>
      <t>b5b4 - Value</t>
    </r>
    <r>
      <rPr>
        <sz val="11"/>
        <color theme="1"/>
        <rFont val="Calibri"/>
        <family val="2"/>
        <charset val="204"/>
        <scheme val="minor"/>
      </rPr>
      <t xml:space="preserve">
</t>
    </r>
    <r>
      <rPr>
        <b/>
        <sz val="11"/>
        <color theme="1"/>
        <rFont val="Calibri"/>
        <family val="2"/>
        <scheme val="minor"/>
      </rPr>
      <t>00</t>
    </r>
    <r>
      <rPr>
        <sz val="11"/>
        <color theme="1"/>
        <rFont val="Calibri"/>
        <family val="2"/>
        <scheme val="minor"/>
      </rPr>
      <t xml:space="preserve"> - Enabled US</t>
    </r>
    <r>
      <rPr>
        <b/>
        <sz val="11"/>
        <color theme="1"/>
        <rFont val="Calibri"/>
        <family val="2"/>
        <scheme val="minor"/>
      </rPr>
      <t xml:space="preserve">
01</t>
    </r>
    <r>
      <rPr>
        <sz val="11"/>
        <color theme="1"/>
        <rFont val="Calibri"/>
        <family val="2"/>
        <scheme val="minor"/>
      </rPr>
      <t xml:space="preserve"> - Disabled</t>
    </r>
    <r>
      <rPr>
        <b/>
        <sz val="11"/>
        <color theme="1"/>
        <rFont val="Calibri"/>
        <family val="2"/>
        <scheme val="minor"/>
      </rPr>
      <t xml:space="preserve">
10</t>
    </r>
    <r>
      <rPr>
        <sz val="11"/>
        <color theme="1"/>
        <rFont val="Calibri"/>
        <family val="2"/>
        <scheme val="minor"/>
      </rPr>
      <t xml:space="preserve"> - Enabled EU</t>
    </r>
    <r>
      <rPr>
        <b/>
        <sz val="11"/>
        <color theme="1"/>
        <rFont val="Calibri"/>
        <family val="2"/>
        <scheme val="minor"/>
      </rPr>
      <t xml:space="preserve">
11</t>
    </r>
    <r>
      <rPr>
        <sz val="11"/>
        <color theme="1"/>
        <rFont val="Calibri"/>
        <family val="2"/>
        <scheme val="minor"/>
      </rPr>
      <t xml:space="preserve"> - Disabled</t>
    </r>
  </si>
  <si>
    <r>
      <rPr>
        <b/>
        <sz val="11"/>
        <color theme="1"/>
        <rFont val="Calibri"/>
        <family val="2"/>
        <scheme val="minor"/>
      </rPr>
      <t>SCBS-F</t>
    </r>
    <r>
      <rPr>
        <sz val="11"/>
        <color theme="1"/>
        <rFont val="Calibri"/>
        <family val="2"/>
        <charset val="204"/>
        <scheme val="minor"/>
      </rPr>
      <t xml:space="preserve">: </t>
    </r>
    <r>
      <rPr>
        <b/>
        <sz val="11"/>
        <color theme="1"/>
        <rFont val="Calibri"/>
        <family val="2"/>
        <charset val="204"/>
        <scheme val="minor"/>
      </rPr>
      <t>0</t>
    </r>
    <r>
      <rPr>
        <sz val="11"/>
        <color theme="1"/>
        <rFont val="Calibri"/>
        <family val="2"/>
        <charset val="204"/>
        <scheme val="minor"/>
      </rPr>
      <t xml:space="preserve"> - Disabled / </t>
    </r>
    <r>
      <rPr>
        <b/>
        <sz val="11"/>
        <color theme="1"/>
        <rFont val="Calibri"/>
        <family val="2"/>
        <charset val="204"/>
        <scheme val="minor"/>
      </rPr>
      <t>1</t>
    </r>
    <r>
      <rPr>
        <sz val="11"/>
        <color theme="1"/>
        <rFont val="Calibri"/>
        <family val="2"/>
        <charset val="204"/>
        <scheme val="minor"/>
      </rPr>
      <t xml:space="preserve"> - Enabled</t>
    </r>
  </si>
  <si>
    <r>
      <rPr>
        <b/>
        <sz val="11"/>
        <color theme="1"/>
        <rFont val="Calibri"/>
        <family val="2"/>
        <charset val="204"/>
        <scheme val="minor"/>
      </rPr>
      <t xml:space="preserve">Mazda model/market </t>
    </r>
    <r>
      <rPr>
        <sz val="11"/>
        <color theme="1"/>
        <rFont val="Calibri"/>
        <family val="2"/>
        <scheme val="minor"/>
      </rPr>
      <t>related</t>
    </r>
  </si>
  <si>
    <t>UPD52</t>
  </si>
  <si>
    <t>6.31</t>
  </si>
  <si>
    <t>Added more info to FSC Gen 2 related to TSR function. Thanks to @AsteriXD, @e_vashchuk, @AKS_1930</t>
  </si>
  <si>
    <r>
      <rPr>
        <b/>
        <sz val="11"/>
        <color theme="1"/>
        <rFont val="Calibri"/>
        <family val="2"/>
        <charset val="204"/>
        <scheme val="minor"/>
      </rPr>
      <t>Headlight Levelling:</t>
    </r>
    <r>
      <rPr>
        <sz val="11"/>
        <color theme="1"/>
        <rFont val="Calibri"/>
        <family val="2"/>
        <charset val="204"/>
        <scheme val="minor"/>
      </rPr>
      <t xml:space="preserve">
</t>
    </r>
    <r>
      <rPr>
        <i/>
        <sz val="10"/>
        <color theme="1"/>
        <rFont val="Calibri"/>
        <family val="2"/>
        <charset val="204"/>
        <scheme val="minor"/>
      </rPr>
      <t>b1b0 - Value</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No/Manual Type
</t>
    </r>
    <r>
      <rPr>
        <b/>
        <sz val="11"/>
        <color theme="1"/>
        <rFont val="Calibri"/>
        <family val="2"/>
        <charset val="204"/>
        <scheme val="minor"/>
      </rPr>
      <t>01</t>
    </r>
    <r>
      <rPr>
        <sz val="11"/>
        <color theme="1"/>
        <rFont val="Calibri"/>
        <family val="2"/>
        <charset val="204"/>
        <scheme val="minor"/>
      </rPr>
      <t xml:space="preserve"> - Auto Type [???]
</t>
    </r>
    <r>
      <rPr>
        <b/>
        <sz val="11"/>
        <color theme="1"/>
        <rFont val="Calibri"/>
        <family val="2"/>
        <charset val="204"/>
        <scheme val="minor"/>
      </rPr>
      <t>10</t>
    </r>
    <r>
      <rPr>
        <sz val="11"/>
        <color theme="1"/>
        <rFont val="Calibri"/>
        <family val="2"/>
        <charset val="204"/>
        <scheme val="minor"/>
      </rPr>
      <t xml:space="preserve"> - Auto Type [???]
</t>
    </r>
    <r>
      <rPr>
        <b/>
        <sz val="11"/>
        <color theme="1"/>
        <rFont val="Calibri"/>
        <family val="2"/>
        <scheme val="minor"/>
      </rPr>
      <t>11</t>
    </r>
    <r>
      <rPr>
        <sz val="11"/>
        <color theme="1"/>
        <rFont val="Calibri"/>
        <family val="2"/>
        <charset val="204"/>
        <scheme val="minor"/>
      </rPr>
      <t xml:space="preserve"> - Auto Type [???]</t>
    </r>
  </si>
  <si>
    <t>1 - Only when b6 = 1</t>
  </si>
  <si>
    <r>
      <rPr>
        <b/>
        <sz val="11"/>
        <color theme="1"/>
        <rFont val="Calibri"/>
        <family val="2"/>
        <charset val="204"/>
        <scheme val="minor"/>
      </rPr>
      <t>RVM/LCA</t>
    </r>
    <r>
      <rPr>
        <sz val="11"/>
        <color theme="1"/>
        <rFont val="Calibri"/>
        <family val="2"/>
        <charset val="204"/>
        <scheme val="minor"/>
      </rPr>
      <t xml:space="preserve">
</t>
    </r>
    <r>
      <rPr>
        <i/>
        <sz val="10"/>
        <color theme="1"/>
        <rFont val="Calibri"/>
        <family val="2"/>
        <charset val="204"/>
        <scheme val="minor"/>
      </rPr>
      <t>b5b4 - Value</t>
    </r>
    <r>
      <rPr>
        <sz val="11"/>
        <color theme="1"/>
        <rFont val="Calibri"/>
        <family val="2"/>
        <charset val="204"/>
        <scheme val="minor"/>
      </rPr>
      <t xml:space="preserve">
</t>
    </r>
    <r>
      <rPr>
        <b/>
        <sz val="11"/>
        <color theme="1"/>
        <rFont val="Calibri"/>
        <family val="2"/>
        <charset val="204"/>
        <scheme val="minor"/>
      </rPr>
      <t>01</t>
    </r>
    <r>
      <rPr>
        <sz val="11"/>
        <color theme="1"/>
        <rFont val="Calibri"/>
        <family val="2"/>
        <charset val="204"/>
        <scheme val="minor"/>
      </rPr>
      <t xml:space="preserve"> - no RVM;
</t>
    </r>
    <r>
      <rPr>
        <b/>
        <sz val="11"/>
        <color theme="1"/>
        <rFont val="Calibri"/>
        <family val="2"/>
        <charset val="204"/>
        <scheme val="minor"/>
      </rPr>
      <t xml:space="preserve">10 </t>
    </r>
    <r>
      <rPr>
        <sz val="11"/>
        <color theme="1"/>
        <rFont val="Calibri"/>
        <family val="2"/>
        <charset val="204"/>
        <scheme val="minor"/>
      </rPr>
      <t xml:space="preserve">- RVM
</t>
    </r>
  </si>
  <si>
    <r>
      <rPr>
        <b/>
        <sz val="11"/>
        <color theme="1"/>
        <rFont val="Calibri"/>
        <family val="2"/>
        <charset val="204"/>
        <scheme val="minor"/>
      </rPr>
      <t>BOSE:</t>
    </r>
    <r>
      <rPr>
        <sz val="11"/>
        <color theme="1"/>
        <rFont val="Calibri"/>
        <family val="2"/>
        <charset val="204"/>
        <scheme val="minor"/>
      </rPr>
      <t xml:space="preserve">
</t>
    </r>
    <r>
      <rPr>
        <i/>
        <sz val="10"/>
        <color theme="1"/>
        <rFont val="Calibri"/>
        <family val="2"/>
        <scheme val="minor"/>
      </rPr>
      <t>b5b4 - Value</t>
    </r>
    <r>
      <rPr>
        <sz val="11"/>
        <color theme="1"/>
        <rFont val="Calibri"/>
        <family val="2"/>
        <charset val="204"/>
        <scheme val="minor"/>
      </rPr>
      <t xml:space="preserve">
</t>
    </r>
    <r>
      <rPr>
        <b/>
        <sz val="11"/>
        <color theme="1"/>
        <rFont val="Calibri"/>
        <family val="2"/>
        <scheme val="minor"/>
      </rPr>
      <t>01</t>
    </r>
    <r>
      <rPr>
        <sz val="11"/>
        <color theme="1"/>
        <rFont val="Calibri"/>
        <family val="2"/>
        <charset val="204"/>
        <scheme val="minor"/>
      </rPr>
      <t xml:space="preserve"> - No BOSE
</t>
    </r>
    <r>
      <rPr>
        <b/>
        <sz val="11"/>
        <color theme="1"/>
        <rFont val="Calibri"/>
        <family val="2"/>
        <scheme val="minor"/>
      </rPr>
      <t>10</t>
    </r>
    <r>
      <rPr>
        <sz val="11"/>
        <color theme="1"/>
        <rFont val="Calibri"/>
        <family val="2"/>
        <charset val="204"/>
        <scheme val="minor"/>
      </rPr>
      <t xml:space="preserve"> -BOSE present</t>
    </r>
  </si>
  <si>
    <r>
      <rPr>
        <b/>
        <sz val="11"/>
        <color theme="1"/>
        <rFont val="Calibri"/>
        <family val="2"/>
        <charset val="204"/>
        <scheme val="minor"/>
      </rPr>
      <t>Seat heating:</t>
    </r>
    <r>
      <rPr>
        <sz val="11"/>
        <color theme="1"/>
        <rFont val="Calibri"/>
        <family val="2"/>
        <charset val="204"/>
        <scheme val="minor"/>
      </rPr>
      <t xml:space="preserve">
</t>
    </r>
    <r>
      <rPr>
        <i/>
        <sz val="10"/>
        <color theme="1"/>
        <rFont val="Calibri"/>
        <family val="2"/>
        <charset val="204"/>
        <scheme val="minor"/>
      </rPr>
      <t>b1b0 - Value</t>
    </r>
    <r>
      <rPr>
        <sz val="11"/>
        <color theme="1"/>
        <rFont val="Calibri"/>
        <family val="2"/>
        <charset val="204"/>
        <scheme val="minor"/>
      </rPr>
      <t xml:space="preserve">
</t>
    </r>
    <r>
      <rPr>
        <b/>
        <sz val="11"/>
        <color theme="1"/>
        <rFont val="Calibri"/>
        <family val="2"/>
        <charset val="204"/>
        <scheme val="minor"/>
      </rPr>
      <t>00</t>
    </r>
    <r>
      <rPr>
        <sz val="11"/>
        <color theme="1"/>
        <rFont val="Calibri"/>
        <family val="2"/>
        <charset val="204"/>
        <scheme val="minor"/>
      </rPr>
      <t xml:space="preserve"> - Cloth/Perforated Leather seats
</t>
    </r>
    <r>
      <rPr>
        <b/>
        <sz val="11"/>
        <color theme="1"/>
        <rFont val="Calibri"/>
        <family val="2"/>
        <charset val="204"/>
        <scheme val="minor"/>
      </rPr>
      <t>01</t>
    </r>
    <r>
      <rPr>
        <sz val="11"/>
        <color theme="1"/>
        <rFont val="Calibri"/>
        <family val="2"/>
        <charset val="204"/>
        <scheme val="minor"/>
      </rPr>
      <t xml:space="preserve"> - Leatherette seats
</t>
    </r>
    <r>
      <rPr>
        <b/>
        <sz val="11"/>
        <color theme="1"/>
        <rFont val="Calibri"/>
        <family val="2"/>
        <scheme val="minor"/>
      </rPr>
      <t>10</t>
    </r>
    <r>
      <rPr>
        <sz val="11"/>
        <color theme="1"/>
        <rFont val="Calibri"/>
        <family val="2"/>
        <charset val="204"/>
        <scheme val="minor"/>
      </rPr>
      <t xml:space="preserve"> - ??
</t>
    </r>
    <r>
      <rPr>
        <b/>
        <sz val="11"/>
        <color theme="1"/>
        <rFont val="Calibri"/>
        <family val="2"/>
        <scheme val="minor"/>
      </rPr>
      <t>11</t>
    </r>
    <r>
      <rPr>
        <sz val="11"/>
        <color theme="1"/>
        <rFont val="Calibri"/>
        <family val="2"/>
        <scheme val="minor"/>
      </rPr>
      <t xml:space="preserve"> - ??</t>
    </r>
  </si>
  <si>
    <r>
      <rPr>
        <b/>
        <sz val="11"/>
        <color theme="1"/>
        <rFont val="Calibri"/>
        <family val="2"/>
        <scheme val="minor"/>
      </rPr>
      <t>BSM</t>
    </r>
    <r>
      <rPr>
        <sz val="11"/>
        <color theme="1"/>
        <rFont val="Calibri"/>
        <family val="2"/>
        <charset val="204"/>
        <scheme val="minor"/>
      </rPr>
      <t xml:space="preserve">:
</t>
    </r>
    <r>
      <rPr>
        <i/>
        <sz val="10"/>
        <color theme="1"/>
        <rFont val="Calibri"/>
        <family val="2"/>
        <scheme val="minor"/>
      </rPr>
      <t>b6b5b4b3b2b1b0 - Value</t>
    </r>
    <r>
      <rPr>
        <sz val="11"/>
        <color theme="1"/>
        <rFont val="Calibri"/>
        <family val="2"/>
        <charset val="204"/>
        <scheme val="minor"/>
      </rPr>
      <t xml:space="preserve">
</t>
    </r>
    <r>
      <rPr>
        <b/>
        <sz val="11"/>
        <color theme="1"/>
        <rFont val="Calibri"/>
        <family val="2"/>
        <scheme val="minor"/>
      </rPr>
      <t>0010000</t>
    </r>
    <r>
      <rPr>
        <sz val="11"/>
        <color theme="1"/>
        <rFont val="Calibri"/>
        <family val="2"/>
        <charset val="204"/>
        <scheme val="minor"/>
      </rPr>
      <t xml:space="preserve"> - No BSM
</t>
    </r>
    <r>
      <rPr>
        <b/>
        <sz val="11"/>
        <color theme="1"/>
        <rFont val="Calibri"/>
        <family val="2"/>
        <scheme val="minor"/>
      </rPr>
      <t>0100000</t>
    </r>
    <r>
      <rPr>
        <sz val="11"/>
        <color theme="1"/>
        <rFont val="Calibri"/>
        <family val="2"/>
        <charset val="204"/>
        <scheme val="minor"/>
      </rPr>
      <t xml:space="preserve"> - BSM
</t>
    </r>
    <r>
      <rPr>
        <b/>
        <sz val="11"/>
        <color theme="1"/>
        <rFont val="Calibri"/>
        <family val="2"/>
        <scheme val="minor"/>
      </rPr>
      <t>0110011</t>
    </r>
    <r>
      <rPr>
        <sz val="11"/>
        <color theme="1"/>
        <rFont val="Calibri"/>
        <family val="2"/>
        <charset val="204"/>
        <scheme val="minor"/>
      </rPr>
      <t xml:space="preserve"> - LCA w/BSM
</t>
    </r>
    <r>
      <rPr>
        <b/>
        <sz val="11"/>
        <color theme="1"/>
        <rFont val="Calibri"/>
        <family val="2"/>
        <scheme val="minor"/>
      </rPr>
      <t>1000000</t>
    </r>
    <r>
      <rPr>
        <sz val="11"/>
        <color theme="1"/>
        <rFont val="Calibri"/>
        <family val="2"/>
        <charset val="204"/>
        <scheme val="minor"/>
      </rPr>
      <t xml:space="preserve"> - BSM
</t>
    </r>
    <r>
      <rPr>
        <b/>
        <sz val="11"/>
        <color theme="1"/>
        <rFont val="Calibri"/>
        <family val="2"/>
        <scheme val="minor"/>
      </rPr>
      <t>1010011</t>
    </r>
    <r>
      <rPr>
        <sz val="11"/>
        <color theme="1"/>
        <rFont val="Calibri"/>
        <family val="2"/>
        <charset val="204"/>
        <scheme val="minor"/>
      </rPr>
      <t xml:space="preserve"> - BSM
</t>
    </r>
  </si>
  <si>
    <r>
      <t xml:space="preserve">Body Style:
</t>
    </r>
    <r>
      <rPr>
        <i/>
        <sz val="10"/>
        <color theme="1"/>
        <rFont val="Calibri"/>
        <family val="2"/>
        <scheme val="minor"/>
      </rPr>
      <t>b1b0 - Value</t>
    </r>
    <r>
      <rPr>
        <b/>
        <sz val="11"/>
        <color theme="1"/>
        <rFont val="Calibri"/>
        <family val="2"/>
        <charset val="204"/>
        <scheme val="minor"/>
      </rPr>
      <t xml:space="preserve">
00 - </t>
    </r>
    <r>
      <rPr>
        <sz val="11"/>
        <color theme="1"/>
        <rFont val="Calibri"/>
        <family val="2"/>
        <scheme val="minor"/>
      </rPr>
      <t xml:space="preserve">4SD
</t>
    </r>
    <r>
      <rPr>
        <b/>
        <sz val="11"/>
        <color theme="1"/>
        <rFont val="Calibri"/>
        <family val="2"/>
        <scheme val="minor"/>
      </rPr>
      <t>0</t>
    </r>
    <r>
      <rPr>
        <b/>
        <sz val="11"/>
        <color theme="1"/>
        <rFont val="Calibri"/>
        <family val="2"/>
        <charset val="204"/>
        <scheme val="minor"/>
      </rPr>
      <t xml:space="preserve">1 - </t>
    </r>
    <r>
      <rPr>
        <sz val="11"/>
        <color theme="1"/>
        <rFont val="Calibri"/>
        <family val="2"/>
        <scheme val="minor"/>
      </rPr>
      <t xml:space="preserve">5HB
</t>
    </r>
    <r>
      <rPr>
        <b/>
        <sz val="11"/>
        <color theme="1"/>
        <rFont val="Calibri"/>
        <family val="2"/>
        <scheme val="minor"/>
      </rPr>
      <t>10</t>
    </r>
    <r>
      <rPr>
        <sz val="11"/>
        <color theme="1"/>
        <rFont val="Calibri"/>
        <family val="2"/>
        <scheme val="minor"/>
      </rPr>
      <t xml:space="preserve"> - ??? (MX-5 only)</t>
    </r>
  </si>
  <si>
    <r>
      <rPr>
        <b/>
        <sz val="11"/>
        <color theme="1"/>
        <rFont val="Calibri"/>
        <family val="2"/>
        <charset val="204"/>
        <scheme val="minor"/>
      </rPr>
      <t>Steering Wheel Location</t>
    </r>
    <r>
      <rPr>
        <sz val="11"/>
        <color theme="1"/>
        <rFont val="Calibri"/>
        <family val="2"/>
        <charset val="204"/>
        <scheme val="minor"/>
      </rPr>
      <t xml:space="preserve">:
</t>
    </r>
    <r>
      <rPr>
        <i/>
        <sz val="10"/>
        <color theme="1"/>
        <rFont val="Calibri"/>
        <family val="2"/>
        <charset val="204"/>
        <scheme val="minor"/>
      </rPr>
      <t>b5b4 - Value</t>
    </r>
    <r>
      <rPr>
        <sz val="11"/>
        <color theme="1"/>
        <rFont val="Calibri"/>
        <family val="2"/>
        <charset val="204"/>
        <scheme val="minor"/>
      </rPr>
      <t xml:space="preserve">
</t>
    </r>
    <r>
      <rPr>
        <b/>
        <sz val="11"/>
        <color theme="1"/>
        <rFont val="Calibri"/>
        <family val="2"/>
        <charset val="204"/>
        <scheme val="minor"/>
      </rPr>
      <t>01</t>
    </r>
    <r>
      <rPr>
        <sz val="11"/>
        <color theme="1"/>
        <rFont val="Calibri"/>
        <family val="2"/>
        <charset val="204"/>
        <scheme val="minor"/>
      </rPr>
      <t xml:space="preserve"> - Left Hand Drive
</t>
    </r>
    <r>
      <rPr>
        <b/>
        <sz val="11"/>
        <color theme="1"/>
        <rFont val="Calibri"/>
        <family val="2"/>
        <charset val="204"/>
        <scheme val="minor"/>
      </rPr>
      <t>10</t>
    </r>
    <r>
      <rPr>
        <sz val="11"/>
        <color theme="1"/>
        <rFont val="Calibri"/>
        <family val="2"/>
        <charset val="204"/>
        <scheme val="minor"/>
      </rPr>
      <t xml:space="preserve"> - Right Hand Drive</t>
    </r>
  </si>
  <si>
    <t>UPD53</t>
  </si>
  <si>
    <r>
      <rPr>
        <b/>
        <sz val="11"/>
        <color theme="1"/>
        <rFont val="Calibri"/>
        <family val="2"/>
        <charset val="204"/>
        <scheme val="minor"/>
      </rPr>
      <t>Destination</t>
    </r>
    <r>
      <rPr>
        <sz val="11"/>
        <color theme="1"/>
        <rFont val="Calibri"/>
        <family val="2"/>
        <charset val="204"/>
        <scheme val="minor"/>
      </rPr>
      <t xml:space="preserve">:
</t>
    </r>
    <r>
      <rPr>
        <i/>
        <sz val="10"/>
        <color theme="1"/>
        <rFont val="Calibri"/>
        <family val="2"/>
        <charset val="204"/>
        <scheme val="minor"/>
      </rPr>
      <t>HEX - Value</t>
    </r>
    <r>
      <rPr>
        <sz val="11"/>
        <color theme="1"/>
        <rFont val="Calibri"/>
        <family val="2"/>
        <charset val="204"/>
        <scheme val="minor"/>
      </rPr>
      <t xml:space="preserve">
</t>
    </r>
    <r>
      <rPr>
        <b/>
        <sz val="11"/>
        <color theme="1"/>
        <rFont val="Calibri"/>
        <family val="2"/>
        <charset val="204"/>
        <scheme val="minor"/>
      </rPr>
      <t>11</t>
    </r>
    <r>
      <rPr>
        <sz val="11"/>
        <color theme="1"/>
        <rFont val="Calibri"/>
        <family val="2"/>
        <scheme val="minor"/>
      </rPr>
      <t xml:space="preserve">  - Japan</t>
    </r>
    <r>
      <rPr>
        <b/>
        <sz val="11"/>
        <color theme="1"/>
        <rFont val="Calibri"/>
        <family val="2"/>
        <charset val="204"/>
        <scheme val="minor"/>
      </rPr>
      <t xml:space="preserve">
14</t>
    </r>
    <r>
      <rPr>
        <sz val="11"/>
        <color theme="1"/>
        <rFont val="Calibri"/>
        <family val="2"/>
        <scheme val="minor"/>
      </rPr>
      <t xml:space="preserve"> - Japan</t>
    </r>
    <r>
      <rPr>
        <b/>
        <sz val="11"/>
        <color theme="1"/>
        <rFont val="Calibri"/>
        <family val="2"/>
        <charset val="204"/>
        <scheme val="minor"/>
      </rPr>
      <t xml:space="preserve">
21</t>
    </r>
    <r>
      <rPr>
        <sz val="11"/>
        <color theme="1"/>
        <rFont val="Calibri"/>
        <family val="2"/>
        <scheme val="minor"/>
      </rPr>
      <t xml:space="preserve"> - North America</t>
    </r>
    <r>
      <rPr>
        <b/>
        <sz val="11"/>
        <color theme="1"/>
        <rFont val="Calibri"/>
        <family val="2"/>
        <charset val="204"/>
        <scheme val="minor"/>
      </rPr>
      <t xml:space="preserve">
24</t>
    </r>
    <r>
      <rPr>
        <sz val="11"/>
        <color theme="1"/>
        <rFont val="Calibri"/>
        <family val="2"/>
        <scheme val="minor"/>
      </rPr>
      <t xml:space="preserve"> - North America 4WD</t>
    </r>
    <r>
      <rPr>
        <b/>
        <sz val="11"/>
        <color theme="1"/>
        <rFont val="Calibri"/>
        <family val="2"/>
        <charset val="204"/>
        <scheme val="minor"/>
      </rPr>
      <t xml:space="preserve">
31</t>
    </r>
    <r>
      <rPr>
        <sz val="11"/>
        <color theme="1"/>
        <rFont val="Calibri"/>
        <family val="2"/>
        <scheme val="minor"/>
      </rPr>
      <t xml:space="preserve"> - EU</t>
    </r>
    <r>
      <rPr>
        <b/>
        <sz val="11"/>
        <color theme="1"/>
        <rFont val="Calibri"/>
        <family val="2"/>
        <charset val="204"/>
        <scheme val="minor"/>
      </rPr>
      <t xml:space="preserve">
34</t>
    </r>
    <r>
      <rPr>
        <sz val="11"/>
        <color theme="1"/>
        <rFont val="Calibri"/>
        <family val="2"/>
        <scheme val="minor"/>
      </rPr>
      <t xml:space="preserve"> - EU 4WD</t>
    </r>
    <r>
      <rPr>
        <b/>
        <sz val="11"/>
        <color theme="1"/>
        <rFont val="Calibri"/>
        <family val="2"/>
        <charset val="204"/>
        <scheme val="minor"/>
      </rPr>
      <t xml:space="preserve">
41</t>
    </r>
    <r>
      <rPr>
        <sz val="11"/>
        <color theme="1"/>
        <rFont val="Calibri"/>
        <family val="2"/>
        <scheme val="minor"/>
      </rPr>
      <t xml:space="preserve"> - UK w/TPMS</t>
    </r>
    <r>
      <rPr>
        <b/>
        <sz val="11"/>
        <color theme="1"/>
        <rFont val="Calibri"/>
        <family val="2"/>
        <charset val="204"/>
        <scheme val="minor"/>
      </rPr>
      <t xml:space="preserve">
44 </t>
    </r>
    <r>
      <rPr>
        <sz val="11"/>
        <color theme="1"/>
        <rFont val="Calibri"/>
        <family val="2"/>
        <scheme val="minor"/>
      </rPr>
      <t>- UK w/TPMS 4WD</t>
    </r>
    <r>
      <rPr>
        <b/>
        <sz val="11"/>
        <color theme="1"/>
        <rFont val="Calibri"/>
        <family val="2"/>
        <charset val="204"/>
        <scheme val="minor"/>
      </rPr>
      <t xml:space="preserve">
51</t>
    </r>
    <r>
      <rPr>
        <sz val="11"/>
        <color theme="1"/>
        <rFont val="Calibri"/>
        <family val="2"/>
        <scheme val="minor"/>
      </rPr>
      <t xml:space="preserve"> - ADR</t>
    </r>
    <r>
      <rPr>
        <b/>
        <sz val="11"/>
        <color theme="1"/>
        <rFont val="Calibri"/>
        <family val="2"/>
        <charset val="204"/>
        <scheme val="minor"/>
      </rPr>
      <t xml:space="preserve">
54 </t>
    </r>
    <r>
      <rPr>
        <sz val="11"/>
        <color theme="1"/>
        <rFont val="Calibri"/>
        <family val="2"/>
        <scheme val="minor"/>
      </rPr>
      <t>- ADR 4WD</t>
    </r>
    <r>
      <rPr>
        <b/>
        <sz val="11"/>
        <color theme="1"/>
        <rFont val="Calibri"/>
        <family val="2"/>
        <charset val="204"/>
        <scheme val="minor"/>
      </rPr>
      <t xml:space="preserve">
61</t>
    </r>
    <r>
      <rPr>
        <sz val="11"/>
        <color theme="1"/>
        <rFont val="Calibri"/>
        <family val="2"/>
        <scheme val="minor"/>
      </rPr>
      <t xml:space="preserve"> - GNRL_RHD</t>
    </r>
    <r>
      <rPr>
        <b/>
        <sz val="11"/>
        <color theme="1"/>
        <rFont val="Calibri"/>
        <family val="2"/>
        <charset val="204"/>
        <scheme val="minor"/>
      </rPr>
      <t xml:space="preserve">
64 </t>
    </r>
    <r>
      <rPr>
        <sz val="11"/>
        <color theme="1"/>
        <rFont val="Calibri"/>
        <family val="2"/>
        <scheme val="minor"/>
      </rPr>
      <t>- GNRL_RHD 4WD</t>
    </r>
    <r>
      <rPr>
        <b/>
        <sz val="11"/>
        <color theme="1"/>
        <rFont val="Calibri"/>
        <family val="2"/>
        <charset val="204"/>
        <scheme val="minor"/>
      </rPr>
      <t xml:space="preserve">
71</t>
    </r>
    <r>
      <rPr>
        <sz val="11"/>
        <color theme="1"/>
        <rFont val="Calibri"/>
        <family val="2"/>
        <scheme val="minor"/>
      </rPr>
      <t xml:space="preserve"> - GNRL_LHD</t>
    </r>
    <r>
      <rPr>
        <b/>
        <sz val="11"/>
        <color theme="1"/>
        <rFont val="Calibri"/>
        <family val="2"/>
        <charset val="204"/>
        <scheme val="minor"/>
      </rPr>
      <t xml:space="preserve">
74 </t>
    </r>
    <r>
      <rPr>
        <sz val="11"/>
        <color theme="1"/>
        <rFont val="Calibri"/>
        <family val="2"/>
        <scheme val="minor"/>
      </rPr>
      <t xml:space="preserve"> - GNRL_LHD 4WD</t>
    </r>
    <r>
      <rPr>
        <b/>
        <sz val="11"/>
        <color theme="1"/>
        <rFont val="Calibri"/>
        <family val="2"/>
        <charset val="204"/>
        <scheme val="minor"/>
      </rPr>
      <t xml:space="preserve">
81</t>
    </r>
    <r>
      <rPr>
        <sz val="11"/>
        <color theme="1"/>
        <rFont val="Calibri"/>
        <family val="2"/>
        <scheme val="minor"/>
      </rPr>
      <t xml:space="preserve"> - China</t>
    </r>
    <r>
      <rPr>
        <b/>
        <sz val="11"/>
        <color theme="1"/>
        <rFont val="Calibri"/>
        <family val="2"/>
        <charset val="204"/>
        <scheme val="minor"/>
      </rPr>
      <t xml:space="preserve">
84 </t>
    </r>
    <r>
      <rPr>
        <sz val="11"/>
        <color theme="1"/>
        <rFont val="Calibri"/>
        <family val="2"/>
        <scheme val="minor"/>
      </rPr>
      <t>- China 4WD</t>
    </r>
  </si>
  <si>
    <r>
      <rPr>
        <b/>
        <sz val="11"/>
        <color theme="1"/>
        <rFont val="Calibri"/>
        <family val="2"/>
        <charset val="204"/>
        <scheme val="minor"/>
      </rPr>
      <t xml:space="preserve">SCBS:
</t>
    </r>
    <r>
      <rPr>
        <i/>
        <sz val="10"/>
        <color theme="1"/>
        <rFont val="Calibri"/>
        <family val="2"/>
        <charset val="204"/>
        <scheme val="minor"/>
      </rPr>
      <t>b6b5b4 - Value</t>
    </r>
    <r>
      <rPr>
        <b/>
        <sz val="11"/>
        <color theme="1"/>
        <rFont val="Calibri"/>
        <family val="2"/>
        <charset val="204"/>
        <scheme val="minor"/>
      </rPr>
      <t xml:space="preserve">
001</t>
    </r>
    <r>
      <rPr>
        <sz val="11"/>
        <color theme="1"/>
        <rFont val="Calibri"/>
        <family val="2"/>
        <charset val="204"/>
        <scheme val="minor"/>
      </rPr>
      <t xml:space="preserve"> - SCBS Off</t>
    </r>
    <r>
      <rPr>
        <b/>
        <sz val="11"/>
        <color theme="1"/>
        <rFont val="Calibri"/>
        <family val="2"/>
        <charset val="204"/>
        <scheme val="minor"/>
      </rPr>
      <t xml:space="preserve">
010</t>
    </r>
    <r>
      <rPr>
        <sz val="11"/>
        <color theme="1"/>
        <rFont val="Calibri"/>
        <family val="2"/>
        <charset val="204"/>
        <scheme val="minor"/>
      </rPr>
      <t xml:space="preserve"> - SCBS On (Laser Sensor)</t>
    </r>
    <r>
      <rPr>
        <b/>
        <sz val="11"/>
        <color theme="1"/>
        <rFont val="Calibri"/>
        <family val="2"/>
        <charset val="204"/>
        <scheme val="minor"/>
      </rPr>
      <t xml:space="preserve">
100</t>
    </r>
    <r>
      <rPr>
        <sz val="11"/>
        <color theme="1"/>
        <rFont val="Calibri"/>
        <family val="2"/>
        <charset val="204"/>
        <scheme val="minor"/>
      </rPr>
      <t xml:space="preserve"> - SCBS On (FSC Gen 2)</t>
    </r>
  </si>
  <si>
    <r>
      <t>720-04-28</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</si>
  <si>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720-04-29</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</si>
  <si>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720-04-30</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</si>
  <si>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720-04-31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</si>
  <si>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720-04-32</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</si>
  <si>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720-04-33</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</si>
  <si>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720-04-34</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</si>
  <si>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720-04-35</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</si>
  <si>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720-04-36</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</si>
  <si>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720-04-37</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</si>
  <si>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720-04-38</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</si>
  <si>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720-04-39</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</si>
  <si>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720-04-40</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</si>
  <si>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720-04-41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</si>
  <si>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720-04-42</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</si>
  <si>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720-04-43</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</si>
  <si>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720-04-44</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</si>
  <si>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720-04-45</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</si>
  <si>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720-04-46</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</si>
  <si>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720-04-47</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</si>
  <si>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720-04-48</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</si>
  <si>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720-04-49</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</si>
  <si>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720-04-50</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</si>
  <si>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720-04-51</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</si>
  <si>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720-04-52</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t>
    </r>
    <r>
      <rPr>
        <sz val="11"/>
        <color rgb="FF92D050"/>
        <rFont val="Calibri"/>
        <family val="2"/>
        <scheme val="minor"/>
      </rPr>
      <t>B5</t>
    </r>
    <r>
      <rPr>
        <sz val="11"/>
        <color theme="1"/>
        <rFont val="Calibri"/>
        <family val="2"/>
        <scheme val="minor"/>
      </rPr>
      <t xml:space="preserve"> in HEX</t>
    </r>
  </si>
  <si>
    <r>
      <t>720-04-53</t>
    </r>
    <r>
      <rPr>
        <sz val="11"/>
        <color theme="1"/>
        <rFont val="Calibri"/>
        <family val="2"/>
        <scheme val="minor"/>
      </rPr>
      <t xml:space="preserve"> </t>
    </r>
    <r>
      <rPr>
        <sz val="11"/>
        <color rgb="FF7030A0"/>
        <rFont val="Calibri"/>
        <family val="2"/>
        <scheme val="minor"/>
      </rPr>
      <t>B0</t>
    </r>
    <r>
      <rPr>
        <sz val="11"/>
        <color theme="1"/>
        <rFont val="Calibri"/>
        <family val="2"/>
        <scheme val="minor"/>
      </rPr>
      <t xml:space="preserve"> </t>
    </r>
    <r>
      <rPr>
        <sz val="11"/>
        <color rgb="FFFF0000"/>
        <rFont val="Calibri"/>
        <family val="2"/>
        <scheme val="minor"/>
      </rPr>
      <t>B1</t>
    </r>
    <r>
      <rPr>
        <sz val="11"/>
        <color theme="1"/>
        <rFont val="Calibri"/>
        <family val="2"/>
        <scheme val="minor"/>
      </rPr>
      <t xml:space="preserve"> </t>
    </r>
    <r>
      <rPr>
        <sz val="11"/>
        <color rgb="FFFFC000"/>
        <rFont val="Calibri"/>
        <family val="2"/>
        <scheme val="minor"/>
      </rPr>
      <t>B2</t>
    </r>
    <r>
      <rPr>
        <sz val="11"/>
        <color theme="1"/>
        <rFont val="Calibri"/>
        <family val="2"/>
        <scheme val="minor"/>
      </rPr>
      <t xml:space="preserve"> </t>
    </r>
    <r>
      <rPr>
        <sz val="11"/>
        <color rgb="FFFFFF00"/>
        <rFont val="Calibri"/>
        <family val="2"/>
        <scheme val="minor"/>
      </rPr>
      <t>B3</t>
    </r>
    <r>
      <rPr>
        <sz val="11"/>
        <color theme="1"/>
        <rFont val="Calibri"/>
        <family val="2"/>
        <scheme val="minor"/>
      </rPr>
      <t xml:space="preserve"> </t>
    </r>
    <r>
      <rPr>
        <sz val="11"/>
        <color theme="4"/>
        <rFont val="Calibri"/>
        <family val="2"/>
        <scheme val="minor"/>
      </rPr>
      <t>B4</t>
    </r>
    <r>
      <rPr>
        <sz val="11"/>
        <color theme="1"/>
        <rFont val="Calibri"/>
        <family val="2"/>
        <scheme val="minor"/>
      </rPr>
      <t xml:space="preserve"> in HEX</t>
    </r>
  </si>
  <si>
    <r>
      <rPr>
        <b/>
        <sz val="11"/>
        <color theme="1"/>
        <rFont val="Calibri"/>
        <family val="2"/>
        <charset val="204"/>
        <scheme val="minor"/>
      </rPr>
      <t>Merged IC tabs for M2/CX-3/MX-5 and all other models in one tab</t>
    </r>
    <r>
      <rPr>
        <sz val="11"/>
        <color theme="1"/>
        <rFont val="Calibri"/>
        <family val="2"/>
        <scheme val="minor"/>
      </rPr>
      <t xml:space="preserve"> - bugs are possible. If you find any - contact me via Telegram @SergSlim or via email - sergslim@gmail.com
Updated info about BSM (720-04-21), RVM (720-04-19), Destination (720-04-11), Body Style/Steering Wheel Location (720-04-08), Headlight Levelling (720-04-14)</t>
    </r>
  </si>
  <si>
    <t>Mazda 2, CX-3, MX-5 only  -- Mazda 2, CX-3, MX-5 only  -- Mazda 2, CX-3, MX-5 only  -- Mazda 2, CX-3, MX-5 only  -- Mazda 2, CX-3, MX-5 only</t>
  </si>
  <si>
    <t>7.00</t>
  </si>
  <si>
    <t>Tutorial on how to use Mazda SkyActiv OBD-II calc (FORScan) Excel file (Eng)</t>
  </si>
  <si>
    <t>Tutorial on how to use Mazda SkyActiv OBD-II calc (FORScan) Excel file (rus)</t>
  </si>
  <si>
    <t>Tutorial on activating i-DM (Eng)</t>
  </si>
  <si>
    <t>Tutorial on activating i-DM (rus)</t>
  </si>
  <si>
    <t>Tutorial on activating Cruise Control and Auto Door Lock (rus)</t>
  </si>
  <si>
    <t>706G1G10000000000F</t>
  </si>
  <si>
    <t>706G1G2000000000010</t>
  </si>
  <si>
    <t>706G1G3000000000011</t>
  </si>
  <si>
    <t>706G1G4000012</t>
  </si>
  <si>
    <t>706G2G1000000000010</t>
  </si>
  <si>
    <t>731G1G100000000003A</t>
  </si>
  <si>
    <t>731G1G200000000003B</t>
  </si>
  <si>
    <t>731G1G30000003C</t>
  </si>
  <si>
    <t>731G2G10000003B</t>
  </si>
  <si>
    <t>726G1G100000000002F</t>
  </si>
  <si>
    <t>726G1G2000000000030</t>
  </si>
  <si>
    <t>726G1G30000000031</t>
  </si>
  <si>
    <t>726G2G10030</t>
  </si>
  <si>
    <t>726G3G10031</t>
  </si>
  <si>
    <t>726G4G10032</t>
  </si>
  <si>
    <t>726G5G10033</t>
  </si>
  <si>
    <t>7B7G1G10000000000C0</t>
  </si>
  <si>
    <t>7B7G1G20000000000C1</t>
  </si>
  <si>
    <t>7B7G1G300000000C2</t>
  </si>
  <si>
    <t>7B7G2G10000000000C1</t>
  </si>
  <si>
    <t>737G1G1000000000040</t>
  </si>
  <si>
    <t>737G1G200000041</t>
  </si>
  <si>
    <t>737G2G100000041</t>
  </si>
  <si>
    <t>726G1G1000000002F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</si>
</sst>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scheme val="minor"/>
    </font>
    <font>
      <b/>
      <sz val="11"/>
      <color theme="1"/>
      <name val="Calibri"/>
      <family val="2"/>
      <charset val="204"/>
      <scheme val="minor"/>
    </font>
    <font>
      <sz val="11"/>
      <color rgb="FFFF0000"/>
      <name val="Calibri"/>
      <family val="2"/>
      <scheme val="minor"/>
    </font>
    <font>
      <b/>
      <sz val="11"/>
      <color theme="4"/>
      <name val="Calibri"/>
      <family val="2"/>
      <scheme val="minor"/>
    </font>
    <font>
      <sz val="11"/>
      <color rgb="FF333333"/>
      <name val="Calibri"/>
      <family val="2"/>
      <scheme val="minor"/>
    </font>
    <font>
      <sz val="11"/>
      <color theme="4"/>
      <name val="Calibri"/>
      <family val="2"/>
      <scheme val="minor"/>
    </font>
    <font>
      <sz val="11"/>
      <color rgb="FF92D050"/>
      <name val="Calibri"/>
      <family val="2"/>
      <scheme val="minor"/>
    </font>
    <font>
      <sz val="11"/>
      <color rgb="FFFFC000"/>
      <name val="Calibri"/>
      <family val="2"/>
      <scheme val="minor"/>
    </font>
    <font>
      <sz val="11"/>
      <color rgb="FFFFFF00"/>
      <name val="Calibri"/>
      <family val="2"/>
      <scheme val="minor"/>
    </font>
    <font>
      <sz val="11"/>
      <color rgb="FF7030A0"/>
      <name val="Calibri"/>
      <family val="2"/>
      <scheme val="minor"/>
    </font>
    <font>
      <b/>
      <sz val="9"/>
      <color indexed="81"/>
      <name val="Tahoma"/>
      <family val="2"/>
    </font>
    <font>
      <sz val="9"/>
      <color indexed="81"/>
      <name val="Tahoma"/>
      <family val="2"/>
    </font>
    <font>
      <i/>
      <sz val="11"/>
      <color theme="1"/>
      <name val="Calibri"/>
      <family val="2"/>
      <scheme val="minor"/>
    </font>
    <font>
      <sz val="11"/>
      <color theme="0"/>
      <name val="Calibri"/>
      <family val="2"/>
      <scheme val="minor"/>
    </font>
    <font>
      <sz val="11"/>
      <name val="Calibri"/>
      <family val="2"/>
      <scheme val="minor"/>
    </font>
    <font>
      <sz val="72"/>
      <color theme="1"/>
      <name val="Calibri"/>
      <family val="2"/>
      <scheme val="minor"/>
    </font>
    <font>
      <sz val="11"/>
      <color theme="0"/>
      <name val="Calibri"/>
      <family val="2"/>
      <charset val="204"/>
      <scheme val="minor"/>
    </font>
    <font>
      <u/>
      <sz val="11"/>
      <color theme="10"/>
      <name val="Calibri"/>
      <family val="2"/>
      <scheme val="minor"/>
    </font>
    <font>
      <b/>
      <u/>
      <sz val="11"/>
      <color theme="10"/>
      <name val="Calibri"/>
      <family val="2"/>
      <scheme val="minor"/>
    </font>
    <font>
      <sz val="11"/>
      <color theme="4"/>
      <name val="Calibri"/>
      <family val="2"/>
      <charset val="204"/>
      <scheme val="minor"/>
    </font>
    <font>
      <sz val="11"/>
      <color rgb="FFFFC000"/>
      <name val="Calibri"/>
      <family val="2"/>
      <charset val="204"/>
      <scheme val="minor"/>
    </font>
    <font>
      <sz val="11"/>
      <color rgb="FF333333"/>
      <name val="Calibri"/>
      <family val="2"/>
      <charset val="204"/>
      <scheme val="minor"/>
    </font>
    <font>
      <sz val="9"/>
      <color indexed="81"/>
      <name val="Tahoma"/>
      <family val="2"/>
      <charset val="204"/>
    </font>
    <font>
      <b/>
      <sz val="9"/>
      <color indexed="81"/>
      <name val="Tahoma"/>
      <family val="2"/>
      <charset val="204"/>
    </font>
    <font>
      <sz val="11"/>
      <color theme="1"/>
      <name val="Calibri"/>
      <family val="2"/>
      <scheme val="minor"/>
    </font>
    <font>
      <sz val="11"/>
      <color rgb="FFFF0000"/>
      <name val="Calibri"/>
      <family val="2"/>
      <charset val="204"/>
      <scheme val="minor"/>
    </font>
    <font>
      <sz val="11"/>
      <color rgb="FFFFFF00"/>
      <name val="Calibri"/>
      <family val="2"/>
      <charset val="204"/>
      <scheme val="minor"/>
    </font>
    <font>
      <b/>
      <u/>
      <sz val="11"/>
      <color theme="10"/>
      <name val="Calibri"/>
      <family val="2"/>
      <charset val="204"/>
      <scheme val="minor"/>
    </font>
    <font>
      <sz val="11"/>
      <color rgb="FF006100"/>
      <name val="Calibri"/>
      <family val="2"/>
      <charset val="204"/>
      <scheme val="minor"/>
    </font>
    <font>
      <b/>
      <sz val="11"/>
      <color theme="1"/>
      <name val="Arial"/>
      <family val="2"/>
      <charset val="204"/>
    </font>
    <font>
      <sz val="11"/>
      <color theme="1"/>
      <name val="Arial"/>
      <family val="2"/>
      <charset val="204"/>
    </font>
    <font>
      <sz val="11"/>
      <color rgb="FF383A3B"/>
      <name val="Calibri"/>
      <family val="2"/>
      <charset val="204"/>
      <scheme val="minor"/>
    </font>
    <font>
      <b/>
      <sz val="8"/>
      <color theme="1"/>
      <name val="Arial"/>
      <family val="2"/>
      <charset val="204"/>
    </font>
    <font>
      <b/>
      <sz val="8"/>
      <color rgb="FFFF0000"/>
      <name val="Arial"/>
      <family val="2"/>
      <charset val="204"/>
    </font>
    <font>
      <sz val="8"/>
      <color theme="1"/>
      <name val="Arial"/>
      <family val="2"/>
      <charset val="204"/>
    </font>
    <font>
      <b/>
      <sz val="8"/>
      <color rgb="FF00B050"/>
      <name val="Arial"/>
      <family val="2"/>
      <charset val="204"/>
    </font>
    <font>
      <b/>
      <sz val="8"/>
      <color theme="1"/>
      <name val="Calibri"/>
      <family val="2"/>
      <scheme val="minor"/>
    </font>
    <font>
      <b/>
      <sz val="11"/>
      <color rgb="FF00B050"/>
      <name val="Calibri"/>
      <family val="2"/>
      <charset val="204"/>
      <scheme val="minor"/>
    </font>
    <font>
      <b/>
      <sz val="12"/>
      <color theme="1"/>
      <name val="Calibri"/>
      <family val="2"/>
      <charset val="204"/>
    </font>
    <font>
      <sz val="11"/>
      <color rgb="FFFF0000"/>
      <name val="Arial"/>
      <family val="2"/>
      <charset val="204"/>
    </font>
    <font>
      <sz val="8"/>
      <color rgb="FFFF0000"/>
      <name val="Arial"/>
      <family val="2"/>
      <charset val="204"/>
    </font>
    <font>
      <sz val="11"/>
      <color rgb="FF000000"/>
      <name val="Arial"/>
      <family val="2"/>
      <charset val="204"/>
    </font>
    <font>
      <sz val="8"/>
      <name val="Calibri"/>
      <family val="2"/>
      <scheme val="minor"/>
    </font>
    <font>
      <sz val="20"/>
      <color theme="1"/>
      <name val="Calibri"/>
      <family val="2"/>
      <scheme val="minor"/>
    </font>
    <font>
      <sz val="42"/>
      <color theme="1"/>
      <name val="Calibri"/>
      <family val="2"/>
      <scheme val="minor"/>
    </font>
    <font>
      <sz val="11"/>
      <color rgb="FF9C5700"/>
      <name val="Calibri"/>
      <family val="2"/>
      <charset val="204"/>
      <scheme val="minor"/>
    </font>
    <font>
      <i/>
      <sz val="10"/>
      <color theme="1"/>
      <name val="Calibri"/>
      <family val="2"/>
      <charset val="204"/>
      <scheme val="minor"/>
    </font>
    <font>
      <sz val="8"/>
      <color theme="1"/>
      <name val="Calibri"/>
      <family val="2"/>
      <charset val="204"/>
      <scheme val="minor"/>
    </font>
    <font>
      <b/>
      <sz val="8"/>
      <color theme="1"/>
      <name val="Calibri"/>
      <family val="2"/>
      <charset val="204"/>
      <scheme val="minor"/>
    </font>
    <font>
      <b/>
      <u/>
      <sz val="9"/>
      <color indexed="81"/>
      <name val="Tahoma"/>
      <family val="2"/>
      <charset val="204"/>
    </font>
    <font>
      <i/>
      <sz val="9"/>
      <color indexed="81"/>
      <name val="Tahoma"/>
      <family val="2"/>
      <charset val="204"/>
    </font>
    <font>
      <i/>
      <sz val="11"/>
      <color theme="1"/>
      <name val="Calibri"/>
      <family val="2"/>
      <charset val="204"/>
      <scheme val="minor"/>
    </font>
    <font>
      <sz val="10"/>
      <color theme="1"/>
      <name val="Calibri"/>
      <family val="2"/>
      <charset val="204"/>
      <scheme val="minor"/>
    </font>
    <font>
      <b/>
      <sz val="11"/>
      <color rgb="FFFF0000"/>
      <name val="Calibri"/>
      <family val="2"/>
      <charset val="204"/>
      <scheme val="minor"/>
    </font>
    <font>
      <b/>
      <sz val="11"/>
      <name val="Calibri"/>
      <family val="2"/>
      <charset val="204"/>
      <scheme val="minor"/>
    </font>
    <font>
      <i/>
      <sz val="8"/>
      <color theme="1"/>
      <name val="Calibri"/>
      <family val="2"/>
      <charset val="204"/>
      <scheme val="minor"/>
    </font>
    <font>
      <i/>
      <sz val="8"/>
      <color indexed="81"/>
      <name val="Tahoma"/>
      <family val="2"/>
      <charset val="204"/>
    </font>
    <font>
      <i/>
      <sz val="9"/>
      <color theme="1"/>
      <name val="Calibri"/>
      <family val="2"/>
      <charset val="204"/>
      <scheme val="minor"/>
    </font>
    <font>
      <b/>
      <sz val="11"/>
      <color theme="4"/>
      <name val="Calibri"/>
      <family val="2"/>
      <charset val="204"/>
      <scheme val="minor"/>
    </font>
    <font>
      <b/>
      <i/>
      <sz val="9"/>
      <color indexed="81"/>
      <name val="Tahoma"/>
      <family val="2"/>
      <charset val="204"/>
    </font>
    <font>
      <sz val="16"/>
      <color theme="1"/>
      <name val="Calibri"/>
      <family val="2"/>
      <scheme val="minor"/>
    </font>
    <font>
      <i/>
      <sz val="10"/>
      <color theme="1"/>
      <name val="Calibri"/>
      <family val="2"/>
      <scheme val="minor"/>
    </font>
    <font>
      <i/>
      <sz val="8"/>
      <color indexed="81"/>
      <name val="Tahoma"/>
      <family val="2"/>
    </font>
    <font>
      <sz val="28"/>
      <color rgb="FFFF0000"/>
      <name val="Calibri"/>
      <family val="2"/>
      <scheme val="minor"/>
    </font>
  </fonts>
  <fills count="3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4"/>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7030A0"/>
        <bgColor indexed="64"/>
      </patternFill>
    </fill>
    <fill>
      <patternFill patternType="solid">
        <fgColor rgb="FFEA64E4"/>
        <bgColor indexed="64"/>
      </patternFill>
    </fill>
    <fill>
      <patternFill patternType="solid">
        <fgColor theme="1"/>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79998168889431442"/>
        <bgColor indexed="65"/>
      </patternFill>
    </fill>
    <fill>
      <patternFill patternType="solid">
        <fgColor theme="9" tint="0.79998168889431442"/>
        <bgColor indexed="65"/>
      </patternFill>
    </fill>
    <fill>
      <patternFill patternType="solid">
        <fgColor theme="7"/>
        <bgColor indexed="64"/>
      </patternFill>
    </fill>
    <fill>
      <patternFill patternType="solid">
        <fgColor rgb="FF00B0F0"/>
        <bgColor indexed="64"/>
      </patternFill>
    </fill>
    <fill>
      <patternFill patternType="solid">
        <fgColor rgb="FFC6EFCE"/>
      </patternFill>
    </fill>
    <fill>
      <patternFill patternType="solid">
        <fgColor theme="8"/>
      </patternFill>
    </fill>
    <fill>
      <patternFill patternType="solid">
        <fgColor rgb="FFCCFFCC"/>
        <bgColor indexed="64"/>
      </patternFill>
    </fill>
    <fill>
      <patternFill patternType="solid">
        <fgColor theme="0" tint="-4.9989318521683403E-2"/>
        <bgColor indexed="64"/>
      </patternFill>
    </fill>
    <fill>
      <patternFill patternType="solid">
        <fgColor theme="6"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7" tint="-0.249977111117893"/>
        <bgColor indexed="64"/>
      </patternFill>
    </fill>
    <fill>
      <patternFill patternType="solid">
        <fgColor theme="6" tint="0.39997558519241921"/>
        <bgColor indexed="64"/>
      </patternFill>
    </fill>
    <fill>
      <patternFill patternType="solid">
        <fgColor theme="4" tint="0.59996337778862885"/>
        <bgColor indexed="64"/>
      </patternFill>
    </fill>
    <fill>
      <patternFill patternType="solid">
        <fgColor theme="4" tint="0.59999389629810485"/>
        <bgColor indexed="64"/>
      </patternFill>
    </fill>
    <fill>
      <patternFill patternType="solid">
        <fgColor theme="0"/>
        <bgColor indexed="64"/>
      </patternFill>
    </fill>
    <fill>
      <patternFill patternType="solid">
        <fgColor rgb="FFFFEB9C"/>
      </patternFill>
    </fill>
    <fill>
      <patternFill patternType="solid">
        <fgColor theme="8" tint="0.79998168889431442"/>
        <bgColor indexed="65"/>
      </patternFill>
    </fill>
    <fill>
      <patternFill patternType="solid">
        <fgColor theme="4" tint="0.79998168889431442"/>
        <bgColor indexed="64"/>
      </patternFill>
    </fill>
    <fill>
      <patternFill patternType="solid">
        <fgColor rgb="FF00B050"/>
        <bgColor indexed="64"/>
      </patternFill>
    </fill>
  </fills>
  <borders count="72">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theme="4"/>
      </right>
      <top style="thin">
        <color theme="4"/>
      </top>
      <bottom style="medium">
        <color theme="4"/>
      </bottom>
      <diagonal/>
    </border>
    <border>
      <left style="thin">
        <color theme="4"/>
      </left>
      <right style="thin">
        <color theme="4"/>
      </right>
      <top style="thin">
        <color theme="4"/>
      </top>
      <bottom style="medium">
        <color theme="4"/>
      </bottom>
      <diagonal/>
    </border>
    <border>
      <left style="thin">
        <color theme="4"/>
      </left>
      <right/>
      <top style="thin">
        <color theme="4"/>
      </top>
      <bottom style="medium">
        <color theme="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theme="4"/>
      </top>
      <bottom style="medium">
        <color theme="4"/>
      </bottom>
      <diagonal/>
    </border>
    <border>
      <left/>
      <right style="thin">
        <color indexed="64"/>
      </right>
      <top/>
      <bottom style="thin">
        <color indexed="64"/>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indexed="64"/>
      </right>
      <top/>
      <bottom/>
      <diagonal/>
    </border>
    <border>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style="thin">
        <color indexed="64"/>
      </right>
      <top style="medium">
        <color indexed="64"/>
      </top>
      <bottom style="thin">
        <color indexed="64"/>
      </bottom>
      <diagonal/>
    </border>
    <border>
      <left/>
      <right style="medium">
        <color rgb="FFFF0000"/>
      </right>
      <top/>
      <bottom/>
      <diagonal/>
    </border>
    <border>
      <left style="medium">
        <color rgb="FFFF0000"/>
      </left>
      <right style="thin">
        <color indexed="64"/>
      </right>
      <top style="thin">
        <color indexed="64"/>
      </top>
      <bottom style="thin">
        <color indexed="64"/>
      </bottom>
      <diagonal/>
    </border>
    <border>
      <left style="thin">
        <color indexed="64"/>
      </left>
      <right style="medium">
        <color rgb="FFFF0000"/>
      </right>
      <top style="thin">
        <color indexed="64"/>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medium">
        <color indexed="64"/>
      </right>
      <top style="thin">
        <color indexed="64"/>
      </top>
      <bottom style="medium">
        <color rgb="FFFF0000"/>
      </bottom>
      <diagonal/>
    </border>
    <border>
      <left style="medium">
        <color indexed="64"/>
      </left>
      <right/>
      <top/>
      <bottom style="medium">
        <color rgb="FFFF0000"/>
      </bottom>
      <diagonal/>
    </border>
    <border>
      <left style="thin">
        <color indexed="64"/>
      </left>
      <right style="medium">
        <color rgb="FFFF0000"/>
      </right>
      <top style="thin">
        <color indexed="64"/>
      </top>
      <bottom style="medium">
        <color rgb="FFFF0000"/>
      </bottom>
      <diagonal/>
    </border>
  </borders>
  <cellStyleXfs count="9">
    <xf numFmtId="0" fontId="0" fillId="0" borderId="0"/>
    <xf numFmtId="0" fontId="53" fillId="0" borderId="0" applyNumberFormat="0" applyFill="0" applyBorder="0" applyAlignment="0" applyProtection="0"/>
    <xf numFmtId="9" fontId="60" fillId="0" borderId="0" applyFont="0" applyFill="0" applyBorder="0" applyAlignment="0" applyProtection="0"/>
    <xf numFmtId="0" fontId="35" fillId="14" borderId="0" applyNumberFormat="0" applyBorder="0" applyAlignment="0" applyProtection="0"/>
    <xf numFmtId="0" fontId="34" fillId="15" borderId="0" applyNumberFormat="0" applyBorder="0" applyAlignment="0" applyProtection="0"/>
    <xf numFmtId="0" fontId="64" fillId="18" borderId="0" applyNumberFormat="0" applyBorder="0" applyAlignment="0" applyProtection="0"/>
    <xf numFmtId="0" fontId="52" fillId="19" borderId="0" applyNumberFormat="0" applyBorder="0" applyAlignment="0" applyProtection="0"/>
    <xf numFmtId="0" fontId="81" fillId="31" borderId="0" applyNumberFormat="0" applyBorder="0" applyAlignment="0" applyProtection="0"/>
    <xf numFmtId="0" fontId="15" fillId="32" borderId="0" applyNumberFormat="0" applyBorder="0" applyAlignment="0" applyProtection="0"/>
  </cellStyleXfs>
  <cellXfs count="598">
    <xf numFmtId="0" fontId="0" fillId="0" borderId="0" xfId="0"/>
    <xf numFmtId="0" fontId="36" fillId="0" borderId="0" xfId="0" applyFont="1"/>
    <xf numFmtId="0" fontId="0" fillId="4" borderId="2" xfId="0" applyFill="1" applyBorder="1" applyAlignment="1">
      <alignment horizontal="center"/>
    </xf>
    <xf numFmtId="0" fontId="0" fillId="5" borderId="1" xfId="0" applyFill="1" applyBorder="1" applyAlignment="1">
      <alignment horizontal="center"/>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49" fontId="37" fillId="3" borderId="4" xfId="0" applyNumberFormat="1" applyFont="1" applyFill="1" applyBorder="1" applyAlignment="1">
      <alignment horizontal="center"/>
    </xf>
    <xf numFmtId="49" fontId="37" fillId="3" borderId="5" xfId="0" applyNumberFormat="1" applyFont="1" applyFill="1" applyBorder="1" applyAlignment="1">
      <alignment horizontal="center"/>
    </xf>
    <xf numFmtId="49" fontId="37" fillId="3" borderId="6" xfId="0" applyNumberFormat="1" applyFont="1" applyFill="1" applyBorder="1" applyAlignment="1">
      <alignment horizontal="center"/>
    </xf>
    <xf numFmtId="0" fontId="37" fillId="3" borderId="4" xfId="0" applyFont="1" applyFill="1" applyBorder="1" applyAlignment="1">
      <alignment horizontal="center"/>
    </xf>
    <xf numFmtId="0" fontId="37" fillId="3" borderId="5" xfId="0" applyFont="1" applyFill="1" applyBorder="1" applyAlignment="1">
      <alignment horizontal="center"/>
    </xf>
    <xf numFmtId="0" fontId="37" fillId="3" borderId="6" xfId="0" applyFont="1" applyFill="1" applyBorder="1" applyAlignment="1">
      <alignment horizontal="center"/>
    </xf>
    <xf numFmtId="0" fontId="0" fillId="6" borderId="8" xfId="0" applyFill="1" applyBorder="1" applyAlignment="1">
      <alignment horizontal="center"/>
    </xf>
    <xf numFmtId="0" fontId="0" fillId="0" borderId="17" xfId="0" applyBorder="1"/>
    <xf numFmtId="0" fontId="0" fillId="0" borderId="18" xfId="0" applyBorder="1"/>
    <xf numFmtId="0" fontId="0" fillId="0" borderId="19" xfId="0" applyBorder="1"/>
    <xf numFmtId="0" fontId="0" fillId="0" borderId="21" xfId="0" applyBorder="1"/>
    <xf numFmtId="0" fontId="0" fillId="9" borderId="7" xfId="0" applyFill="1" applyBorder="1" applyAlignment="1">
      <alignment horizontal="center"/>
    </xf>
    <xf numFmtId="0" fontId="0" fillId="3" borderId="3" xfId="0" applyFill="1" applyBorder="1" applyAlignment="1">
      <alignment horizontal="center"/>
    </xf>
    <xf numFmtId="0" fontId="0" fillId="2" borderId="2" xfId="0" applyFill="1" applyBorder="1" applyAlignment="1">
      <alignment horizontal="center"/>
    </xf>
    <xf numFmtId="1" fontId="0" fillId="8" borderId="20" xfId="0" applyNumberFormat="1" applyFill="1" applyBorder="1"/>
    <xf numFmtId="1" fontId="0" fillId="0" borderId="0" xfId="0" applyNumberFormat="1"/>
    <xf numFmtId="1" fontId="0" fillId="0" borderId="15" xfId="0" applyNumberFormat="1" applyBorder="1"/>
    <xf numFmtId="1" fontId="0" fillId="0" borderId="0" xfId="0" applyNumberFormat="1" applyAlignment="1">
      <alignment horizontal="center"/>
    </xf>
    <xf numFmtId="0" fontId="0" fillId="7" borderId="13" xfId="0" applyFill="1" applyBorder="1"/>
    <xf numFmtId="0" fontId="0" fillId="7" borderId="0" xfId="0" applyFill="1"/>
    <xf numFmtId="0" fontId="0" fillId="0" borderId="22" xfId="0" applyBorder="1"/>
    <xf numFmtId="0" fontId="0" fillId="0" borderId="3" xfId="0" applyBorder="1"/>
    <xf numFmtId="0" fontId="0" fillId="0" borderId="23" xfId="0" applyBorder="1"/>
    <xf numFmtId="49" fontId="0" fillId="0" borderId="0" xfId="0" applyNumberFormat="1"/>
    <xf numFmtId="49" fontId="0" fillId="8" borderId="0" xfId="0" applyNumberFormat="1" applyFill="1"/>
    <xf numFmtId="0" fontId="37" fillId="3" borderId="24" xfId="0" applyFont="1" applyFill="1" applyBorder="1" applyAlignment="1">
      <alignment horizontal="center"/>
    </xf>
    <xf numFmtId="0" fontId="0" fillId="10" borderId="2" xfId="0" applyFill="1" applyBorder="1" applyAlignment="1">
      <alignment horizontal="center"/>
    </xf>
    <xf numFmtId="0" fontId="0" fillId="10" borderId="3" xfId="0" applyFill="1" applyBorder="1" applyAlignment="1">
      <alignment horizontal="center"/>
    </xf>
    <xf numFmtId="0" fontId="37" fillId="3" borderId="1" xfId="0" applyFont="1" applyFill="1" applyBorder="1" applyAlignment="1">
      <alignment horizontal="center"/>
    </xf>
    <xf numFmtId="0" fontId="0" fillId="3" borderId="7" xfId="0" applyFill="1" applyBorder="1" applyAlignment="1">
      <alignment horizontal="center"/>
    </xf>
    <xf numFmtId="0" fontId="0" fillId="3" borderId="2" xfId="0" applyFill="1" applyBorder="1" applyAlignment="1">
      <alignment horizontal="center"/>
    </xf>
    <xf numFmtId="0" fontId="0" fillId="3" borderId="8" xfId="0" applyFill="1" applyBorder="1" applyAlignment="1">
      <alignment horizontal="center"/>
    </xf>
    <xf numFmtId="0" fontId="0" fillId="3" borderId="1" xfId="0" applyFill="1" applyBorder="1" applyAlignment="1">
      <alignment horizontal="center"/>
    </xf>
    <xf numFmtId="0" fontId="48" fillId="0" borderId="13" xfId="0" applyFont="1" applyBorder="1"/>
    <xf numFmtId="0" fontId="49" fillId="11" borderId="0" xfId="0" applyFont="1" applyFill="1"/>
    <xf numFmtId="0" fontId="0" fillId="0" borderId="2"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0" borderId="7" xfId="0" applyBorder="1" applyAlignment="1">
      <alignment horizontal="center"/>
    </xf>
    <xf numFmtId="0" fontId="0" fillId="12" borderId="7" xfId="0" applyFill="1" applyBorder="1" applyAlignment="1">
      <alignment horizontal="center"/>
    </xf>
    <xf numFmtId="0" fontId="0" fillId="12" borderId="2" xfId="0" applyFill="1" applyBorder="1" applyAlignment="1">
      <alignment horizontal="center"/>
    </xf>
    <xf numFmtId="49" fontId="0" fillId="0" borderId="0" xfId="0" applyNumberFormat="1" applyAlignment="1">
      <alignment horizontal="right"/>
    </xf>
    <xf numFmtId="0" fontId="0" fillId="0" borderId="0" xfId="0" applyAlignment="1">
      <alignment horizontal="right"/>
    </xf>
    <xf numFmtId="1" fontId="0" fillId="8" borderId="28" xfId="0" applyNumberFormat="1" applyFill="1" applyBorder="1"/>
    <xf numFmtId="0" fontId="0" fillId="0" borderId="31" xfId="0" applyBorder="1" applyAlignment="1">
      <alignment wrapText="1"/>
    </xf>
    <xf numFmtId="0" fontId="36" fillId="0" borderId="0" xfId="0" applyFont="1" applyAlignment="1">
      <alignment horizontal="center" vertical="center" wrapText="1"/>
    </xf>
    <xf numFmtId="0" fontId="36" fillId="0" borderId="13" xfId="0" applyFont="1" applyBorder="1" applyAlignment="1">
      <alignment horizontal="center" vertical="center" wrapText="1"/>
    </xf>
    <xf numFmtId="0" fontId="0" fillId="0" borderId="30" xfId="0" applyBorder="1" applyAlignment="1">
      <alignment wrapText="1"/>
    </xf>
    <xf numFmtId="0" fontId="36" fillId="0" borderId="15" xfId="0" applyFont="1" applyBorder="1" applyAlignment="1">
      <alignment horizontal="center" vertical="center" wrapText="1"/>
    </xf>
    <xf numFmtId="0" fontId="0" fillId="0" borderId="0" xfId="0" applyAlignment="1">
      <alignment wrapText="1"/>
    </xf>
    <xf numFmtId="0" fontId="53" fillId="0" borderId="0" xfId="1" applyAlignment="1">
      <alignment wrapText="1"/>
    </xf>
    <xf numFmtId="0" fontId="54" fillId="0" borderId="10" xfId="1" applyFont="1" applyBorder="1" applyAlignment="1">
      <alignment horizontal="center" vertical="center" wrapText="1"/>
    </xf>
    <xf numFmtId="0" fontId="54" fillId="0" borderId="11" xfId="1" applyFont="1" applyBorder="1" applyAlignment="1">
      <alignment horizontal="center"/>
    </xf>
    <xf numFmtId="0" fontId="54" fillId="0" borderId="15" xfId="1" applyFont="1" applyBorder="1" applyAlignment="1">
      <alignment horizontal="center" vertical="center" wrapText="1"/>
    </xf>
    <xf numFmtId="0" fontId="54" fillId="0" borderId="15" xfId="1" applyFont="1" applyBorder="1" applyAlignment="1">
      <alignment wrapText="1"/>
    </xf>
    <xf numFmtId="0" fontId="0" fillId="0" borderId="15" xfId="0" applyBorder="1" applyAlignment="1">
      <alignment wrapText="1"/>
    </xf>
    <xf numFmtId="0" fontId="54" fillId="0" borderId="15" xfId="1" applyFont="1" applyBorder="1" applyAlignment="1">
      <alignment horizontal="center" wrapText="1"/>
    </xf>
    <xf numFmtId="0" fontId="0" fillId="0" borderId="29" xfId="0" applyBorder="1"/>
    <xf numFmtId="0" fontId="0" fillId="0" borderId="30" xfId="0" applyBorder="1"/>
    <xf numFmtId="0" fontId="0" fillId="0" borderId="0" xfId="0" applyAlignment="1">
      <alignment horizontal="center" wrapText="1"/>
    </xf>
    <xf numFmtId="0" fontId="54" fillId="0" borderId="0" xfId="1" applyFont="1" applyAlignment="1">
      <alignment horizontal="center" wrapText="1"/>
    </xf>
    <xf numFmtId="0" fontId="0" fillId="0" borderId="13" xfId="0" applyBorder="1" applyAlignment="1">
      <alignment wrapText="1"/>
    </xf>
    <xf numFmtId="0" fontId="36" fillId="0" borderId="9" xfId="0" applyFont="1" applyBorder="1" applyAlignment="1">
      <alignment horizontal="center" vertical="center" wrapText="1"/>
    </xf>
    <xf numFmtId="0" fontId="36" fillId="0" borderId="10" xfId="0" applyFont="1" applyBorder="1" applyAlignment="1">
      <alignment horizontal="center" vertical="center" wrapText="1"/>
    </xf>
    <xf numFmtId="0" fontId="36" fillId="0" borderId="12" xfId="0" applyFont="1" applyBorder="1" applyAlignment="1">
      <alignment horizontal="center" vertical="center" wrapText="1"/>
    </xf>
    <xf numFmtId="0" fontId="36" fillId="0" borderId="14" xfId="0" applyFont="1" applyBorder="1" applyAlignment="1">
      <alignment horizontal="center" vertical="center" wrapText="1"/>
    </xf>
    <xf numFmtId="0" fontId="0" fillId="0" borderId="0" xfId="0" applyAlignment="1">
      <alignment horizontal="center" vertical="center" wrapText="1"/>
    </xf>
    <xf numFmtId="0" fontId="0" fillId="0" borderId="15" xfId="0" applyBorder="1" applyAlignment="1">
      <alignment horizontal="center"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6" xfId="0" applyBorder="1" applyAlignment="1">
      <alignment horizontal="center" vertical="center" wrapText="1"/>
    </xf>
    <xf numFmtId="0" fontId="0" fillId="4" borderId="0" xfId="0" applyFill="1"/>
    <xf numFmtId="0" fontId="0" fillId="5" borderId="0" xfId="0" applyFill="1"/>
    <xf numFmtId="10" fontId="0" fillId="7" borderId="13" xfId="2" applyNumberFormat="1" applyFont="1" applyFill="1" applyBorder="1" applyAlignment="1">
      <alignment horizontal="center"/>
    </xf>
    <xf numFmtId="0" fontId="0" fillId="13" borderId="13" xfId="0" applyFill="1" applyBorder="1" applyAlignment="1">
      <alignment horizontal="center"/>
    </xf>
    <xf numFmtId="0" fontId="0" fillId="0" borderId="37" xfId="0" applyBorder="1"/>
    <xf numFmtId="0" fontId="0" fillId="7" borderId="37" xfId="0" applyFill="1" applyBorder="1" applyAlignment="1">
      <alignment horizontal="left"/>
    </xf>
    <xf numFmtId="0" fontId="0" fillId="7" borderId="37" xfId="0" applyFill="1" applyBorder="1"/>
    <xf numFmtId="0" fontId="0" fillId="7" borderId="36" xfId="0" applyFill="1" applyBorder="1"/>
    <xf numFmtId="0" fontId="0" fillId="0" borderId="38" xfId="0" applyBorder="1"/>
    <xf numFmtId="0" fontId="0" fillId="4" borderId="0" xfId="0" applyFill="1" applyAlignment="1">
      <alignment horizontal="center"/>
    </xf>
    <xf numFmtId="0" fontId="0" fillId="0" borderId="33" xfId="0" applyBorder="1"/>
    <xf numFmtId="0" fontId="0" fillId="7" borderId="33" xfId="0" applyFill="1" applyBorder="1"/>
    <xf numFmtId="0" fontId="35" fillId="14" borderId="13" xfId="3" applyBorder="1"/>
    <xf numFmtId="0" fontId="35" fillId="14" borderId="16" xfId="3" applyBorder="1"/>
    <xf numFmtId="0" fontId="53" fillId="0" borderId="0" xfId="1"/>
    <xf numFmtId="0" fontId="54" fillId="0" borderId="10" xfId="1" applyFont="1" applyBorder="1" applyAlignment="1">
      <alignment horizontal="center" wrapText="1"/>
    </xf>
    <xf numFmtId="0" fontId="0" fillId="0" borderId="0" xfId="0" applyAlignment="1">
      <alignment horizontal="center"/>
    </xf>
    <xf numFmtId="0" fontId="36" fillId="0" borderId="0" xfId="0" applyFont="1" applyAlignment="1">
      <alignment horizontal="center"/>
    </xf>
    <xf numFmtId="0" fontId="0" fillId="4" borderId="13" xfId="0" applyFill="1" applyBorder="1"/>
    <xf numFmtId="0" fontId="53" fillId="0" borderId="0" xfId="1" applyAlignment="1"/>
    <xf numFmtId="0" fontId="63" fillId="0" borderId="10" xfId="1" applyFont="1" applyBorder="1" applyAlignment="1">
      <alignment horizontal="center" wrapText="1"/>
    </xf>
    <xf numFmtId="0" fontId="63" fillId="0" borderId="15" xfId="1" applyFont="1" applyBorder="1" applyAlignment="1">
      <alignment horizontal="center" wrapText="1"/>
    </xf>
    <xf numFmtId="0" fontId="32" fillId="0" borderId="0" xfId="0" applyFont="1" applyAlignment="1">
      <alignment horizontal="center" vertical="center" wrapText="1"/>
    </xf>
    <xf numFmtId="0" fontId="32" fillId="0" borderId="15" xfId="0" applyFont="1" applyBorder="1" applyAlignment="1">
      <alignment horizontal="center" vertical="center" wrapText="1"/>
    </xf>
    <xf numFmtId="0" fontId="31" fillId="4" borderId="35" xfId="0" applyFont="1" applyFill="1" applyBorder="1" applyAlignment="1">
      <alignment wrapText="1"/>
    </xf>
    <xf numFmtId="0" fontId="64" fillId="18" borderId="0" xfId="5"/>
    <xf numFmtId="0" fontId="53" fillId="18" borderId="0" xfId="1" applyFill="1"/>
    <xf numFmtId="0" fontId="53" fillId="0" borderId="0" xfId="1" quotePrefix="1"/>
    <xf numFmtId="0" fontId="33" fillId="0" borderId="13" xfId="3" applyFont="1" applyFill="1" applyBorder="1"/>
    <xf numFmtId="0" fontId="28" fillId="14" borderId="16" xfId="3" applyFont="1" applyBorder="1"/>
    <xf numFmtId="0" fontId="26" fillId="14" borderId="13" xfId="3" applyFont="1" applyBorder="1"/>
    <xf numFmtId="0" fontId="65" fillId="0" borderId="0" xfId="0" applyFont="1" applyAlignment="1">
      <alignment horizontal="right"/>
    </xf>
    <xf numFmtId="0" fontId="66" fillId="0" borderId="2" xfId="0" applyFont="1" applyBorder="1" applyAlignment="1">
      <alignment horizontal="left"/>
    </xf>
    <xf numFmtId="0" fontId="66" fillId="0" borderId="2" xfId="0" applyFont="1" applyBorder="1" applyAlignment="1">
      <alignment horizontal="center"/>
    </xf>
    <xf numFmtId="0" fontId="66" fillId="20" borderId="2" xfId="0" applyFont="1" applyFill="1" applyBorder="1" applyAlignment="1">
      <alignment horizontal="center"/>
    </xf>
    <xf numFmtId="0" fontId="66" fillId="21" borderId="2" xfId="0" applyFont="1" applyFill="1" applyBorder="1" applyAlignment="1">
      <alignment horizontal="center"/>
    </xf>
    <xf numFmtId="0" fontId="37" fillId="0" borderId="29" xfId="0" applyFont="1" applyBorder="1" applyAlignment="1">
      <alignment horizontal="center"/>
    </xf>
    <xf numFmtId="0" fontId="24" fillId="0" borderId="2" xfId="0" applyFont="1" applyBorder="1"/>
    <xf numFmtId="49" fontId="67" fillId="0" borderId="2" xfId="0" applyNumberFormat="1" applyFont="1" applyBorder="1"/>
    <xf numFmtId="49" fontId="24" fillId="0" borderId="2" xfId="0" applyNumberFormat="1" applyFont="1" applyBorder="1"/>
    <xf numFmtId="0" fontId="24" fillId="0" borderId="0" xfId="0" applyFont="1"/>
    <xf numFmtId="0" fontId="0" fillId="22" borderId="0" xfId="0" applyFill="1"/>
    <xf numFmtId="0" fontId="68" fillId="0" borderId="39" xfId="0" applyFont="1" applyBorder="1" applyAlignment="1">
      <alignment horizontal="center"/>
    </xf>
    <xf numFmtId="0" fontId="70" fillId="0" borderId="40" xfId="0" applyFont="1" applyBorder="1" applyAlignment="1">
      <alignment horizontal="center"/>
    </xf>
    <xf numFmtId="0" fontId="70" fillId="0" borderId="7" xfId="0" applyFont="1" applyBorder="1" applyAlignment="1">
      <alignment horizontal="center"/>
    </xf>
    <xf numFmtId="0" fontId="71" fillId="0" borderId="19" xfId="0" applyFont="1" applyBorder="1" applyAlignment="1">
      <alignment horizontal="center"/>
    </xf>
    <xf numFmtId="0" fontId="68" fillId="0" borderId="20" xfId="0" applyFont="1" applyBorder="1" applyAlignment="1">
      <alignment horizontal="center"/>
    </xf>
    <xf numFmtId="0" fontId="71" fillId="0" borderId="3" xfId="0" applyFont="1" applyBorder="1" applyAlignment="1">
      <alignment horizontal="center"/>
    </xf>
    <xf numFmtId="0" fontId="71" fillId="0" borderId="2" xfId="0" applyFont="1" applyBorder="1" applyAlignment="1">
      <alignment horizontal="center"/>
    </xf>
    <xf numFmtId="0" fontId="72" fillId="0" borderId="2" xfId="0" applyFont="1" applyBorder="1" applyAlignment="1">
      <alignment horizontal="center"/>
    </xf>
    <xf numFmtId="0" fontId="72" fillId="0" borderId="8" xfId="0" applyFont="1" applyBorder="1" applyAlignment="1">
      <alignment horizontal="center"/>
    </xf>
    <xf numFmtId="0" fontId="68" fillId="20" borderId="19" xfId="0" applyFont="1" applyFill="1" applyBorder="1" applyAlignment="1">
      <alignment horizontal="center"/>
    </xf>
    <xf numFmtId="0" fontId="73" fillId="0" borderId="20" xfId="0" applyFont="1" applyBorder="1" applyAlignment="1">
      <alignment horizontal="center"/>
    </xf>
    <xf numFmtId="0" fontId="0" fillId="23" borderId="0" xfId="0" applyFill="1" applyAlignment="1">
      <alignment horizontal="center"/>
    </xf>
    <xf numFmtId="0" fontId="0" fillId="9" borderId="0" xfId="0" applyFill="1" applyAlignment="1">
      <alignment horizontal="center"/>
    </xf>
    <xf numFmtId="0" fontId="68" fillId="28" borderId="40" xfId="0" applyFont="1" applyFill="1" applyBorder="1" applyAlignment="1">
      <alignment horizontal="center"/>
    </xf>
    <xf numFmtId="0" fontId="74" fillId="29" borderId="19" xfId="0" applyFont="1" applyFill="1" applyBorder="1" applyAlignment="1">
      <alignment horizontal="center"/>
    </xf>
    <xf numFmtId="0" fontId="74" fillId="29" borderId="20" xfId="0" applyFont="1" applyFill="1" applyBorder="1" applyAlignment="1">
      <alignment horizontal="center"/>
    </xf>
    <xf numFmtId="0" fontId="36" fillId="28" borderId="3" xfId="0" applyFont="1" applyFill="1" applyBorder="1" applyAlignment="1">
      <alignment horizontal="center"/>
    </xf>
    <xf numFmtId="0" fontId="36" fillId="28" borderId="2" xfId="0" applyFont="1" applyFill="1" applyBorder="1" applyAlignment="1">
      <alignment horizontal="center"/>
    </xf>
    <xf numFmtId="0" fontId="36" fillId="28" borderId="8" xfId="0" applyFont="1" applyFill="1" applyBorder="1" applyAlignment="1">
      <alignment horizontal="center"/>
    </xf>
    <xf numFmtId="0" fontId="36" fillId="28" borderId="19" xfId="0" applyFont="1" applyFill="1" applyBorder="1" applyAlignment="1">
      <alignment horizontal="center"/>
    </xf>
    <xf numFmtId="0" fontId="36" fillId="28" borderId="20" xfId="0" applyFont="1" applyFill="1" applyBorder="1" applyAlignment="1">
      <alignment horizontal="center"/>
    </xf>
    <xf numFmtId="0" fontId="36" fillId="28" borderId="44" xfId="0" applyFont="1" applyFill="1" applyBorder="1" applyAlignment="1">
      <alignment horizontal="center"/>
    </xf>
    <xf numFmtId="0" fontId="36" fillId="28" borderId="45" xfId="0" applyFont="1" applyFill="1" applyBorder="1" applyAlignment="1">
      <alignment horizontal="center"/>
    </xf>
    <xf numFmtId="0" fontId="36" fillId="23" borderId="46" xfId="0" applyFont="1" applyFill="1" applyBorder="1"/>
    <xf numFmtId="49" fontId="36" fillId="28" borderId="47" xfId="0" applyNumberFormat="1" applyFont="1" applyFill="1" applyBorder="1" applyAlignment="1">
      <alignment horizontal="center"/>
    </xf>
    <xf numFmtId="49" fontId="36" fillId="28" borderId="48" xfId="0" applyNumberFormat="1" applyFont="1" applyFill="1" applyBorder="1" applyAlignment="1">
      <alignment horizontal="center"/>
    </xf>
    <xf numFmtId="49" fontId="36" fillId="28" borderId="49" xfId="0" applyNumberFormat="1" applyFont="1" applyFill="1" applyBorder="1" applyAlignment="1">
      <alignment horizontal="center"/>
    </xf>
    <xf numFmtId="0" fontId="36" fillId="4" borderId="50" xfId="0" applyFont="1" applyFill="1" applyBorder="1"/>
    <xf numFmtId="49" fontId="37" fillId="28" borderId="19" xfId="0" applyNumberFormat="1" applyFont="1" applyFill="1" applyBorder="1" applyAlignment="1">
      <alignment horizontal="center"/>
    </xf>
    <xf numFmtId="49" fontId="37" fillId="28" borderId="20" xfId="0" applyNumberFormat="1" applyFont="1" applyFill="1" applyBorder="1" applyAlignment="1">
      <alignment horizontal="center"/>
    </xf>
    <xf numFmtId="0" fontId="37" fillId="28" borderId="19" xfId="0" applyFont="1" applyFill="1" applyBorder="1" applyAlignment="1">
      <alignment horizontal="center"/>
    </xf>
    <xf numFmtId="0" fontId="37" fillId="28" borderId="2" xfId="0" applyFont="1" applyFill="1" applyBorder="1" applyAlignment="1">
      <alignment horizontal="center"/>
    </xf>
    <xf numFmtId="0" fontId="37" fillId="28" borderId="20" xfId="0" applyFont="1" applyFill="1" applyBorder="1" applyAlignment="1">
      <alignment horizontal="center"/>
    </xf>
    <xf numFmtId="0" fontId="37" fillId="28" borderId="7" xfId="0" applyFont="1" applyFill="1" applyBorder="1" applyAlignment="1">
      <alignment horizontal="center"/>
    </xf>
    <xf numFmtId="0" fontId="36" fillId="9" borderId="44" xfId="0" applyFont="1" applyFill="1" applyBorder="1"/>
    <xf numFmtId="49" fontId="68" fillId="0" borderId="40" xfId="0" applyNumberFormat="1" applyFont="1" applyBorder="1"/>
    <xf numFmtId="49" fontId="70" fillId="30" borderId="40" xfId="0" applyNumberFormat="1" applyFont="1" applyFill="1" applyBorder="1" applyAlignment="1">
      <alignment horizontal="center"/>
    </xf>
    <xf numFmtId="49" fontId="66" fillId="0" borderId="7" xfId="0" applyNumberFormat="1" applyFont="1" applyBorder="1" applyAlignment="1">
      <alignment vertical="top" wrapText="1"/>
    </xf>
    <xf numFmtId="0" fontId="66" fillId="0" borderId="19" xfId="0" applyFont="1" applyBorder="1" applyAlignment="1">
      <alignment horizontal="center"/>
    </xf>
    <xf numFmtId="0" fontId="66" fillId="0" borderId="20" xfId="0" applyFont="1" applyBorder="1" applyAlignment="1">
      <alignment horizontal="center"/>
    </xf>
    <xf numFmtId="49" fontId="66" fillId="0" borderId="3" xfId="0" applyNumberFormat="1" applyFont="1" applyBorder="1" applyAlignment="1">
      <alignment horizontal="center"/>
    </xf>
    <xf numFmtId="49" fontId="66" fillId="0" borderId="2" xfId="0" applyNumberFormat="1" applyFont="1" applyBorder="1" applyAlignment="1">
      <alignment horizontal="center"/>
    </xf>
    <xf numFmtId="49" fontId="66" fillId="0" borderId="8" xfId="0" applyNumberFormat="1" applyFont="1" applyBorder="1" applyAlignment="1">
      <alignment horizontal="center"/>
    </xf>
    <xf numFmtId="49" fontId="66" fillId="20" borderId="19" xfId="0" applyNumberFormat="1" applyFont="1" applyFill="1" applyBorder="1" applyAlignment="1">
      <alignment horizontal="center"/>
    </xf>
    <xf numFmtId="49" fontId="66" fillId="21" borderId="20" xfId="0" applyNumberFormat="1" applyFont="1" applyFill="1" applyBorder="1" applyAlignment="1">
      <alignment horizontal="center"/>
    </xf>
    <xf numFmtId="49" fontId="66" fillId="0" borderId="51" xfId="0" applyNumberFormat="1" applyFont="1" applyBorder="1" applyAlignment="1">
      <alignment horizontal="center"/>
    </xf>
    <xf numFmtId="49" fontId="66" fillId="0" borderId="48" xfId="0" applyNumberFormat="1" applyFont="1" applyBorder="1" applyAlignment="1">
      <alignment horizontal="center"/>
    </xf>
    <xf numFmtId="0" fontId="0" fillId="23" borderId="0" xfId="0" applyFill="1"/>
    <xf numFmtId="49" fontId="0" fillId="0" borderId="19" xfId="0" applyNumberFormat="1" applyBorder="1" applyAlignment="1">
      <alignment horizontal="center"/>
    </xf>
    <xf numFmtId="49" fontId="0" fillId="0" borderId="2" xfId="0" applyNumberFormat="1" applyBorder="1" applyAlignment="1">
      <alignment horizontal="center"/>
    </xf>
    <xf numFmtId="49" fontId="0" fillId="0" borderId="20" xfId="0" applyNumberFormat="1" applyBorder="1" applyAlignment="1">
      <alignment horizontal="center"/>
    </xf>
    <xf numFmtId="0" fontId="0" fillId="0" borderId="33"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9" borderId="0" xfId="0" applyFill="1"/>
    <xf numFmtId="49" fontId="66" fillId="0" borderId="19" xfId="0" applyNumberFormat="1" applyFont="1" applyBorder="1" applyAlignment="1">
      <alignment horizontal="center"/>
    </xf>
    <xf numFmtId="49" fontId="66" fillId="20" borderId="2" xfId="0" applyNumberFormat="1" applyFont="1" applyFill="1" applyBorder="1" applyAlignment="1">
      <alignment horizontal="center"/>
    </xf>
    <xf numFmtId="49" fontId="69" fillId="0" borderId="40" xfId="0" applyNumberFormat="1" applyFont="1" applyBorder="1"/>
    <xf numFmtId="49" fontId="76" fillId="30" borderId="40" xfId="0" applyNumberFormat="1" applyFont="1" applyFill="1" applyBorder="1" applyAlignment="1">
      <alignment horizontal="center"/>
    </xf>
    <xf numFmtId="49" fontId="75" fillId="0" borderId="7" xfId="0" applyNumberFormat="1" applyFont="1" applyBorder="1" applyAlignment="1">
      <alignment vertical="top" wrapText="1"/>
    </xf>
    <xf numFmtId="49" fontId="75" fillId="0" borderId="19" xfId="0" applyNumberFormat="1" applyFont="1" applyBorder="1" applyAlignment="1">
      <alignment horizontal="center"/>
    </xf>
    <xf numFmtId="0" fontId="75" fillId="0" borderId="20" xfId="0" applyFont="1" applyBorder="1" applyAlignment="1">
      <alignment horizontal="center"/>
    </xf>
    <xf numFmtId="49" fontId="75" fillId="0" borderId="3" xfId="0" applyNumberFormat="1" applyFont="1" applyBorder="1" applyAlignment="1">
      <alignment horizontal="center"/>
    </xf>
    <xf numFmtId="49" fontId="75" fillId="0" borderId="2" xfId="0" applyNumberFormat="1" applyFont="1" applyBorder="1" applyAlignment="1">
      <alignment horizontal="center"/>
    </xf>
    <xf numFmtId="49" fontId="75" fillId="0" borderId="8" xfId="0" applyNumberFormat="1" applyFont="1" applyBorder="1" applyAlignment="1">
      <alignment horizontal="center"/>
    </xf>
    <xf numFmtId="49" fontId="75" fillId="20" borderId="19" xfId="0" applyNumberFormat="1" applyFont="1" applyFill="1" applyBorder="1" applyAlignment="1">
      <alignment horizontal="center"/>
    </xf>
    <xf numFmtId="49" fontId="75" fillId="4" borderId="2" xfId="0" applyNumberFormat="1" applyFont="1" applyFill="1" applyBorder="1" applyAlignment="1">
      <alignment horizontal="center"/>
    </xf>
    <xf numFmtId="49" fontId="75" fillId="21" borderId="20" xfId="0" applyNumberFormat="1" applyFont="1" applyFill="1" applyBorder="1" applyAlignment="1">
      <alignment horizontal="center"/>
    </xf>
    <xf numFmtId="0" fontId="38" fillId="23" borderId="0" xfId="0" applyFont="1" applyFill="1"/>
    <xf numFmtId="49" fontId="38" fillId="0" borderId="19" xfId="0" applyNumberFormat="1" applyFont="1" applyBorder="1" applyAlignment="1">
      <alignment horizontal="center"/>
    </xf>
    <xf numFmtId="49" fontId="38" fillId="0" borderId="2" xfId="0" applyNumberFormat="1" applyFont="1" applyBorder="1" applyAlignment="1">
      <alignment horizontal="center"/>
    </xf>
    <xf numFmtId="49" fontId="38" fillId="0" borderId="20" xfId="0" applyNumberFormat="1" applyFont="1" applyBorder="1" applyAlignment="1">
      <alignment horizontal="center"/>
    </xf>
    <xf numFmtId="0" fontId="38" fillId="4" borderId="0" xfId="0" applyFont="1" applyFill="1"/>
    <xf numFmtId="0" fontId="75" fillId="0" borderId="19" xfId="0" applyFont="1" applyBorder="1" applyAlignment="1">
      <alignment horizontal="center"/>
    </xf>
    <xf numFmtId="0" fontId="38" fillId="20" borderId="19" xfId="0" applyFont="1" applyFill="1" applyBorder="1" applyAlignment="1">
      <alignment horizontal="center"/>
    </xf>
    <xf numFmtId="0" fontId="38" fillId="0" borderId="2" xfId="0" applyFont="1" applyBorder="1" applyAlignment="1">
      <alignment horizontal="center"/>
    </xf>
    <xf numFmtId="0" fontId="38" fillId="0" borderId="20" xfId="0" applyFont="1" applyBorder="1" applyAlignment="1">
      <alignment horizontal="center"/>
    </xf>
    <xf numFmtId="0" fontId="38" fillId="0" borderId="0" xfId="0" applyFont="1" applyAlignment="1">
      <alignment horizontal="center"/>
    </xf>
    <xf numFmtId="0" fontId="38" fillId="0" borderId="19" xfId="0" applyFont="1" applyBorder="1" applyAlignment="1">
      <alignment horizontal="center"/>
    </xf>
    <xf numFmtId="0" fontId="38" fillId="0" borderId="7" xfId="0" applyFont="1" applyBorder="1" applyAlignment="1">
      <alignment horizontal="center"/>
    </xf>
    <xf numFmtId="0" fontId="38" fillId="9" borderId="0" xfId="0" applyFont="1" applyFill="1"/>
    <xf numFmtId="0" fontId="0" fillId="20" borderId="19" xfId="0" applyFill="1" applyBorder="1" applyAlignment="1">
      <alignment horizontal="center"/>
    </xf>
    <xf numFmtId="49" fontId="66" fillId="0" borderId="7" xfId="0" applyNumberFormat="1" applyFont="1" applyBorder="1" applyAlignment="1">
      <alignment horizontal="left"/>
    </xf>
    <xf numFmtId="49" fontId="0" fillId="23" borderId="0" xfId="0" applyNumberFormat="1" applyFill="1" applyAlignment="1">
      <alignment horizontal="center"/>
    </xf>
    <xf numFmtId="49" fontId="0" fillId="4" borderId="0" xfId="0" applyNumberFormat="1" applyFill="1" applyAlignment="1">
      <alignment horizontal="center"/>
    </xf>
    <xf numFmtId="49" fontId="0" fillId="0" borderId="7" xfId="0" applyNumberFormat="1" applyBorder="1" applyAlignment="1">
      <alignment horizontal="center"/>
    </xf>
    <xf numFmtId="49" fontId="0" fillId="9" borderId="0" xfId="0" applyNumberFormat="1" applyFill="1" applyAlignment="1">
      <alignment horizontal="center"/>
    </xf>
    <xf numFmtId="49" fontId="68" fillId="0" borderId="40" xfId="0" applyNumberFormat="1" applyFont="1" applyBorder="1" applyAlignment="1">
      <alignment horizontal="left"/>
    </xf>
    <xf numFmtId="0" fontId="77" fillId="0" borderId="19" xfId="0" applyFont="1" applyBorder="1" applyAlignment="1">
      <alignment horizontal="center"/>
    </xf>
    <xf numFmtId="0" fontId="77" fillId="0" borderId="20" xfId="0" applyFont="1" applyBorder="1" applyAlignment="1">
      <alignment horizontal="center"/>
    </xf>
    <xf numFmtId="0" fontId="68" fillId="0" borderId="40" xfId="0" applyFont="1" applyBorder="1"/>
    <xf numFmtId="0" fontId="70" fillId="30" borderId="40" xfId="0" applyFont="1" applyFill="1" applyBorder="1" applyAlignment="1">
      <alignment horizontal="center"/>
    </xf>
    <xf numFmtId="0" fontId="66" fillId="0" borderId="7" xfId="0" applyFont="1" applyBorder="1"/>
    <xf numFmtId="0" fontId="66" fillId="20" borderId="19" xfId="0" applyFont="1" applyFill="1" applyBorder="1" applyAlignment="1">
      <alignment horizontal="center"/>
    </xf>
    <xf numFmtId="0" fontId="66" fillId="0" borderId="0" xfId="0" applyFont="1" applyAlignment="1">
      <alignment horizontal="center"/>
    </xf>
    <xf numFmtId="0" fontId="66" fillId="23" borderId="0" xfId="0" applyFont="1" applyFill="1" applyAlignment="1">
      <alignment horizontal="center"/>
    </xf>
    <xf numFmtId="49" fontId="24" fillId="0" borderId="19" xfId="0" applyNumberFormat="1" applyFont="1" applyBorder="1" applyAlignment="1">
      <alignment horizontal="center"/>
    </xf>
    <xf numFmtId="49" fontId="24" fillId="0" borderId="2" xfId="0" applyNumberFormat="1" applyFont="1" applyBorder="1" applyAlignment="1">
      <alignment horizontal="center"/>
    </xf>
    <xf numFmtId="49" fontId="24" fillId="0" borderId="20" xfId="0" applyNumberFormat="1" applyFont="1" applyBorder="1" applyAlignment="1">
      <alignment horizontal="center"/>
    </xf>
    <xf numFmtId="0" fontId="24" fillId="4" borderId="0" xfId="0" applyFont="1" applyFill="1" applyAlignment="1">
      <alignment horizontal="center"/>
    </xf>
    <xf numFmtId="0" fontId="24" fillId="0" borderId="19" xfId="0" applyFont="1" applyBorder="1" applyAlignment="1">
      <alignment horizontal="center"/>
    </xf>
    <xf numFmtId="0" fontId="24" fillId="0" borderId="2" xfId="0" applyFont="1" applyBorder="1" applyAlignment="1">
      <alignment horizontal="center"/>
    </xf>
    <xf numFmtId="0" fontId="24" fillId="0" borderId="20" xfId="0" applyFont="1" applyBorder="1" applyAlignment="1">
      <alignment horizontal="center"/>
    </xf>
    <xf numFmtId="0" fontId="24" fillId="0" borderId="7" xfId="0" applyFont="1" applyBorder="1" applyAlignment="1">
      <alignment horizontal="center"/>
    </xf>
    <xf numFmtId="0" fontId="69" fillId="0" borderId="40" xfId="0" applyFont="1" applyBorder="1"/>
    <xf numFmtId="0" fontId="76" fillId="30" borderId="40" xfId="0" applyFont="1" applyFill="1" applyBorder="1" applyAlignment="1">
      <alignment horizontal="center"/>
    </xf>
    <xf numFmtId="0" fontId="75" fillId="0" borderId="2" xfId="0" applyFont="1" applyBorder="1" applyAlignment="1">
      <alignment horizontal="left"/>
    </xf>
    <xf numFmtId="0" fontId="75" fillId="0" borderId="2" xfId="0" applyFont="1" applyBorder="1" applyAlignment="1">
      <alignment horizontal="center"/>
    </xf>
    <xf numFmtId="0" fontId="75" fillId="20" borderId="19" xfId="0" applyFont="1" applyFill="1" applyBorder="1" applyAlignment="1">
      <alignment horizontal="center"/>
    </xf>
    <xf numFmtId="0" fontId="75" fillId="0" borderId="0" xfId="0" applyFont="1" applyAlignment="1">
      <alignment horizontal="center"/>
    </xf>
    <xf numFmtId="0" fontId="75" fillId="23" borderId="0" xfId="0" applyFont="1" applyFill="1" applyAlignment="1">
      <alignment horizontal="center"/>
    </xf>
    <xf numFmtId="49" fontId="61" fillId="0" borderId="19" xfId="0" applyNumberFormat="1" applyFont="1" applyBorder="1" applyAlignment="1">
      <alignment horizontal="center"/>
    </xf>
    <xf numFmtId="49" fontId="61" fillId="0" borderId="2" xfId="0" applyNumberFormat="1" applyFont="1" applyBorder="1" applyAlignment="1">
      <alignment horizontal="center"/>
    </xf>
    <xf numFmtId="49" fontId="61" fillId="0" borderId="20" xfId="0" applyNumberFormat="1" applyFont="1" applyBorder="1" applyAlignment="1">
      <alignment horizontal="center"/>
    </xf>
    <xf numFmtId="0" fontId="61" fillId="4" borderId="0" xfId="0" applyFont="1" applyFill="1" applyAlignment="1">
      <alignment horizontal="center"/>
    </xf>
    <xf numFmtId="0" fontId="61" fillId="0" borderId="19" xfId="0" applyFont="1" applyBorder="1" applyAlignment="1">
      <alignment horizontal="center"/>
    </xf>
    <xf numFmtId="0" fontId="61" fillId="0" borderId="2" xfId="0" applyFont="1" applyBorder="1" applyAlignment="1">
      <alignment horizontal="center"/>
    </xf>
    <xf numFmtId="0" fontId="61" fillId="0" borderId="20" xfId="0" applyFont="1" applyBorder="1" applyAlignment="1">
      <alignment horizontal="center"/>
    </xf>
    <xf numFmtId="0" fontId="61" fillId="0" borderId="7" xfId="0" applyFont="1" applyBorder="1" applyAlignment="1">
      <alignment horizontal="center"/>
    </xf>
    <xf numFmtId="0" fontId="66" fillId="23" borderId="0" xfId="0" applyFont="1" applyFill="1"/>
    <xf numFmtId="0" fontId="24" fillId="4" borderId="0" xfId="0" applyFont="1" applyFill="1"/>
    <xf numFmtId="0" fontId="75" fillId="0" borderId="8" xfId="0" applyFont="1" applyBorder="1" applyAlignment="1">
      <alignment horizontal="center"/>
    </xf>
    <xf numFmtId="0" fontId="75" fillId="20" borderId="40" xfId="0" applyFont="1" applyFill="1" applyBorder="1" applyAlignment="1">
      <alignment horizontal="center"/>
    </xf>
    <xf numFmtId="0" fontId="75" fillId="0" borderId="3" xfId="0" applyFont="1" applyBorder="1" applyAlignment="1">
      <alignment horizontal="center"/>
    </xf>
    <xf numFmtId="0" fontId="75" fillId="20" borderId="2" xfId="0" applyFont="1" applyFill="1" applyBorder="1" applyAlignment="1">
      <alignment horizontal="center"/>
    </xf>
    <xf numFmtId="0" fontId="75" fillId="21" borderId="2" xfId="0" applyFont="1" applyFill="1" applyBorder="1" applyAlignment="1">
      <alignment horizontal="center"/>
    </xf>
    <xf numFmtId="0" fontId="76" fillId="0" borderId="40" xfId="0" applyFont="1" applyBorder="1" applyAlignment="1">
      <alignment horizontal="center"/>
    </xf>
    <xf numFmtId="0" fontId="75" fillId="23" borderId="0" xfId="0" applyFont="1" applyFill="1"/>
    <xf numFmtId="0" fontId="61" fillId="4" borderId="0" xfId="0" applyFont="1" applyFill="1"/>
    <xf numFmtId="0" fontId="66" fillId="0" borderId="8" xfId="0" applyFont="1" applyBorder="1" applyAlignment="1">
      <alignment horizontal="center"/>
    </xf>
    <xf numFmtId="0" fontId="66" fillId="20" borderId="40" xfId="0" applyFont="1" applyFill="1" applyBorder="1" applyAlignment="1">
      <alignment horizontal="center"/>
    </xf>
    <xf numFmtId="0" fontId="66" fillId="0" borderId="3" xfId="0" applyFont="1" applyBorder="1" applyAlignment="1">
      <alignment horizontal="center"/>
    </xf>
    <xf numFmtId="0" fontId="0" fillId="0" borderId="2" xfId="0" applyBorder="1"/>
    <xf numFmtId="0" fontId="0" fillId="0" borderId="20" xfId="0" applyBorder="1"/>
    <xf numFmtId="0" fontId="0" fillId="0" borderId="7" xfId="0" applyBorder="1"/>
    <xf numFmtId="0" fontId="0" fillId="0" borderId="8" xfId="0" applyBorder="1"/>
    <xf numFmtId="0" fontId="0" fillId="0" borderId="40" xfId="0" applyBorder="1"/>
    <xf numFmtId="0" fontId="36" fillId="4" borderId="7" xfId="0" applyFont="1" applyFill="1" applyBorder="1"/>
    <xf numFmtId="0" fontId="64" fillId="18" borderId="0" xfId="5" applyBorder="1"/>
    <xf numFmtId="0" fontId="53" fillId="18" borderId="0" xfId="1" applyFill="1" applyBorder="1"/>
    <xf numFmtId="0" fontId="49" fillId="2" borderId="0" xfId="0" applyFont="1" applyFill="1"/>
    <xf numFmtId="49" fontId="66" fillId="21" borderId="2" xfId="0" applyNumberFormat="1" applyFont="1" applyFill="1" applyBorder="1" applyAlignment="1">
      <alignment horizontal="center"/>
    </xf>
    <xf numFmtId="49" fontId="66" fillId="0" borderId="2" xfId="0" applyNumberFormat="1" applyFont="1" applyBorder="1" applyAlignment="1">
      <alignment horizontal="left"/>
    </xf>
    <xf numFmtId="0" fontId="0" fillId="0" borderId="53" xfId="0" applyBorder="1" applyAlignment="1">
      <alignment horizontal="center"/>
    </xf>
    <xf numFmtId="0" fontId="0" fillId="0" borderId="54" xfId="0" applyBorder="1" applyAlignment="1">
      <alignment horizontal="center"/>
    </xf>
    <xf numFmtId="49" fontId="0" fillId="8" borderId="55" xfId="0" applyNumberFormat="1" applyFill="1" applyBorder="1"/>
    <xf numFmtId="49" fontId="0" fillId="21" borderId="55" xfId="0" applyNumberFormat="1" applyFill="1" applyBorder="1"/>
    <xf numFmtId="49" fontId="0" fillId="8" borderId="51" xfId="0" applyNumberFormat="1" applyFill="1" applyBorder="1"/>
    <xf numFmtId="49" fontId="0" fillId="21" borderId="0" xfId="0" applyNumberFormat="1" applyFill="1"/>
    <xf numFmtId="49" fontId="0" fillId="21" borderId="56" xfId="0" applyNumberFormat="1" applyFill="1" applyBorder="1"/>
    <xf numFmtId="49" fontId="0" fillId="21" borderId="51" xfId="0" applyNumberFormat="1" applyFill="1" applyBorder="1"/>
    <xf numFmtId="49" fontId="0" fillId="8" borderId="56" xfId="0" applyNumberFormat="1" applyFill="1" applyBorder="1"/>
    <xf numFmtId="49" fontId="37" fillId="3" borderId="24" xfId="0" applyNumberFormat="1" applyFont="1" applyFill="1" applyBorder="1" applyAlignment="1">
      <alignment horizontal="center"/>
    </xf>
    <xf numFmtId="49" fontId="0" fillId="0" borderId="55" xfId="0" applyNumberFormat="1" applyBorder="1"/>
    <xf numFmtId="0" fontId="0" fillId="0" borderId="0" xfId="0" applyAlignment="1">
      <alignment horizontal="left"/>
    </xf>
    <xf numFmtId="0" fontId="22" fillId="14" borderId="13" xfId="3" applyFont="1" applyBorder="1" applyAlignment="1"/>
    <xf numFmtId="49" fontId="38" fillId="0" borderId="55" xfId="0" applyNumberFormat="1" applyFont="1" applyBorder="1"/>
    <xf numFmtId="0" fontId="20" fillId="7" borderId="33" xfId="0" applyFont="1" applyFill="1" applyBorder="1"/>
    <xf numFmtId="0" fontId="20" fillId="14" borderId="0" xfId="3" applyFont="1"/>
    <xf numFmtId="2" fontId="0" fillId="0" borderId="0" xfId="0" applyNumberFormat="1"/>
    <xf numFmtId="0" fontId="37" fillId="4" borderId="20" xfId="0" applyFont="1" applyFill="1" applyBorder="1"/>
    <xf numFmtId="0" fontId="37" fillId="4" borderId="37" xfId="0" applyFont="1" applyFill="1" applyBorder="1"/>
    <xf numFmtId="0" fontId="37" fillId="4" borderId="28" xfId="0" applyFont="1" applyFill="1" applyBorder="1"/>
    <xf numFmtId="0" fontId="37" fillId="4" borderId="2" xfId="0" applyFont="1" applyFill="1" applyBorder="1"/>
    <xf numFmtId="0" fontId="37" fillId="4" borderId="20" xfId="0" applyFont="1" applyFill="1" applyBorder="1" applyAlignment="1">
      <alignment horizontal="left" vertical="center"/>
    </xf>
    <xf numFmtId="0" fontId="37" fillId="4" borderId="20" xfId="0" applyFont="1" applyFill="1" applyBorder="1" applyAlignment="1">
      <alignment vertical="center"/>
    </xf>
    <xf numFmtId="0" fontId="37" fillId="4" borderId="28" xfId="0" applyFont="1" applyFill="1" applyBorder="1" applyAlignment="1">
      <alignment vertical="center"/>
    </xf>
    <xf numFmtId="0" fontId="89" fillId="0" borderId="13" xfId="0" applyFont="1" applyBorder="1"/>
    <xf numFmtId="0" fontId="90" fillId="4" borderId="20" xfId="0" applyFont="1" applyFill="1" applyBorder="1"/>
    <xf numFmtId="0" fontId="19" fillId="14" borderId="20" xfId="3" applyFont="1" applyBorder="1"/>
    <xf numFmtId="0" fontId="37" fillId="14" borderId="28" xfId="3" applyFont="1" applyBorder="1" applyAlignment="1">
      <alignment vertical="top" wrapText="1"/>
    </xf>
    <xf numFmtId="0" fontId="37" fillId="4" borderId="49" xfId="0" applyFont="1" applyFill="1" applyBorder="1"/>
    <xf numFmtId="0" fontId="37" fillId="14" borderId="20" xfId="3" applyFont="1" applyBorder="1"/>
    <xf numFmtId="0" fontId="37" fillId="14" borderId="28" xfId="3" applyFont="1" applyBorder="1"/>
    <xf numFmtId="0" fontId="19" fillId="4" borderId="20" xfId="0" applyFont="1" applyFill="1" applyBorder="1"/>
    <xf numFmtId="0" fontId="89" fillId="0" borderId="16" xfId="0" applyFont="1" applyBorder="1"/>
    <xf numFmtId="0" fontId="89" fillId="4" borderId="20" xfId="0" applyFont="1" applyFill="1" applyBorder="1"/>
    <xf numFmtId="0" fontId="89" fillId="4" borderId="28" xfId="0" applyFont="1" applyFill="1" applyBorder="1"/>
    <xf numFmtId="0" fontId="19" fillId="7" borderId="33" xfId="0" applyFont="1" applyFill="1" applyBorder="1"/>
    <xf numFmtId="0" fontId="19" fillId="14" borderId="34" xfId="3" applyFont="1" applyBorder="1"/>
    <xf numFmtId="0" fontId="61" fillId="0" borderId="13" xfId="0" applyFont="1" applyBorder="1"/>
    <xf numFmtId="0" fontId="61" fillId="0" borderId="16" xfId="0" applyFont="1" applyBorder="1"/>
    <xf numFmtId="14" fontId="0" fillId="0" borderId="0" xfId="0" applyNumberFormat="1"/>
    <xf numFmtId="0" fontId="0" fillId="0" borderId="0" xfId="0" quotePrefix="1" applyAlignment="1">
      <alignment wrapText="1"/>
    </xf>
    <xf numFmtId="0" fontId="0" fillId="0" borderId="0" xfId="0" quotePrefix="1"/>
    <xf numFmtId="49" fontId="0" fillId="0" borderId="0" xfId="0" quotePrefix="1" applyNumberFormat="1"/>
    <xf numFmtId="0" fontId="81" fillId="31" borderId="0" xfId="7" applyAlignment="1">
      <alignment wrapText="1"/>
    </xf>
    <xf numFmtId="0" fontId="0" fillId="2" borderId="1" xfId="0" applyFill="1" applyBorder="1" applyAlignment="1">
      <alignment horizontal="center"/>
    </xf>
    <xf numFmtId="0" fontId="0" fillId="6" borderId="1" xfId="0" applyFill="1" applyBorder="1" applyAlignment="1">
      <alignment horizontal="center"/>
    </xf>
    <xf numFmtId="0" fontId="0" fillId="4" borderId="1" xfId="0" applyFill="1" applyBorder="1" applyAlignment="1">
      <alignment horizontal="center"/>
    </xf>
    <xf numFmtId="0" fontId="17" fillId="7" borderId="34" xfId="0" applyFont="1" applyFill="1" applyBorder="1"/>
    <xf numFmtId="49" fontId="0" fillId="8" borderId="19" xfId="0" applyNumberFormat="1" applyFill="1" applyBorder="1" applyAlignment="1">
      <alignment horizontal="center"/>
    </xf>
    <xf numFmtId="49" fontId="0" fillId="8" borderId="2" xfId="0" applyNumberFormat="1" applyFill="1" applyBorder="1" applyAlignment="1">
      <alignment horizontal="center"/>
    </xf>
    <xf numFmtId="49" fontId="0" fillId="8" borderId="20" xfId="0" applyNumberFormat="1" applyFill="1" applyBorder="1" applyAlignment="1">
      <alignment horizontal="center"/>
    </xf>
    <xf numFmtId="49" fontId="0" fillId="8" borderId="1" xfId="0" applyNumberFormat="1" applyFill="1" applyBorder="1" applyAlignment="1">
      <alignment horizontal="center"/>
    </xf>
    <xf numFmtId="49" fontId="0" fillId="8" borderId="8" xfId="0" applyNumberFormat="1" applyFill="1" applyBorder="1" applyAlignment="1">
      <alignment horizontal="center"/>
    </xf>
    <xf numFmtId="49" fontId="0" fillId="8" borderId="57" xfId="0" applyNumberFormat="1" applyFill="1" applyBorder="1" applyAlignment="1">
      <alignment horizontal="center"/>
    </xf>
    <xf numFmtId="0" fontId="14" fillId="14" borderId="13" xfId="3" applyFont="1" applyBorder="1"/>
    <xf numFmtId="0" fontId="14" fillId="7" borderId="33" xfId="0" applyFont="1" applyFill="1" applyBorder="1"/>
    <xf numFmtId="0" fontId="14" fillId="14" borderId="13" xfId="3" applyFont="1" applyBorder="1" applyAlignment="1">
      <alignment vertical="top" wrapText="1"/>
    </xf>
    <xf numFmtId="0" fontId="14" fillId="14" borderId="13" xfId="3" applyFont="1" applyBorder="1" applyAlignment="1">
      <alignment vertical="top"/>
    </xf>
    <xf numFmtId="0" fontId="14" fillId="14" borderId="0" xfId="3" applyFont="1"/>
    <xf numFmtId="0" fontId="37" fillId="4" borderId="20" xfId="0" applyFont="1" applyFill="1" applyBorder="1" applyAlignment="1">
      <alignment vertical="top" wrapText="1"/>
    </xf>
    <xf numFmtId="0" fontId="14" fillId="14" borderId="33" xfId="3" applyFont="1" applyBorder="1"/>
    <xf numFmtId="0" fontId="37" fillId="14" borderId="33" xfId="3" applyFont="1" applyBorder="1"/>
    <xf numFmtId="0" fontId="14" fillId="14" borderId="20" xfId="3" applyFont="1" applyBorder="1"/>
    <xf numFmtId="0" fontId="14" fillId="7" borderId="34" xfId="0" applyFont="1" applyFill="1" applyBorder="1"/>
    <xf numFmtId="0" fontId="14" fillId="14" borderId="20" xfId="3" applyFont="1" applyBorder="1" applyAlignment="1">
      <alignment horizontal="center"/>
    </xf>
    <xf numFmtId="49" fontId="0" fillId="0" borderId="0" xfId="0" applyNumberFormat="1" applyAlignment="1">
      <alignment horizontal="center"/>
    </xf>
    <xf numFmtId="0" fontId="0" fillId="0" borderId="15" xfId="0" applyBorder="1" applyAlignment="1">
      <alignment horizontal="center"/>
    </xf>
    <xf numFmtId="49" fontId="0" fillId="0" borderId="15" xfId="0" applyNumberFormat="1" applyBorder="1" applyAlignment="1">
      <alignment horizontal="center"/>
    </xf>
    <xf numFmtId="49" fontId="0" fillId="0" borderId="15" xfId="0" applyNumberFormat="1" applyBorder="1" applyAlignment="1">
      <alignment horizontal="center" vertical="center"/>
    </xf>
    <xf numFmtId="0" fontId="0" fillId="0" borderId="15" xfId="0" applyBorder="1" applyAlignment="1">
      <alignment horizontal="center" vertical="center"/>
    </xf>
    <xf numFmtId="0" fontId="0" fillId="8" borderId="19" xfId="0" applyFill="1" applyBorder="1" applyAlignment="1">
      <alignment horizontal="center"/>
    </xf>
    <xf numFmtId="0" fontId="13" fillId="0" borderId="0" xfId="0" applyFont="1" applyAlignment="1">
      <alignment wrapText="1"/>
    </xf>
    <xf numFmtId="0" fontId="12" fillId="4" borderId="20" xfId="0" applyFont="1" applyFill="1" applyBorder="1" applyAlignment="1">
      <alignment vertical="top" wrapText="1"/>
    </xf>
    <xf numFmtId="0" fontId="12" fillId="4" borderId="20" xfId="0" applyFont="1" applyFill="1" applyBorder="1"/>
    <xf numFmtId="0" fontId="12" fillId="7" borderId="2" xfId="0" applyFont="1" applyFill="1" applyBorder="1"/>
    <xf numFmtId="0" fontId="37" fillId="4" borderId="20" xfId="0" applyFont="1" applyFill="1" applyBorder="1" applyAlignment="1">
      <alignment horizontal="left" vertical="top" wrapText="1"/>
    </xf>
    <xf numFmtId="0" fontId="12" fillId="14" borderId="16" xfId="3" applyFont="1" applyBorder="1" applyAlignment="1">
      <alignment vertical="top"/>
    </xf>
    <xf numFmtId="0" fontId="37" fillId="4" borderId="8" xfId="3" applyFont="1" applyFill="1" applyBorder="1" applyAlignment="1">
      <alignment vertical="top" wrapText="1"/>
    </xf>
    <xf numFmtId="0" fontId="89" fillId="0" borderId="0" xfId="0" applyFont="1"/>
    <xf numFmtId="0" fontId="37" fillId="4" borderId="8" xfId="0" applyFont="1" applyFill="1" applyBorder="1"/>
    <xf numFmtId="0" fontId="89" fillId="0" borderId="15" xfId="0" applyFont="1" applyBorder="1"/>
    <xf numFmtId="0" fontId="0" fillId="0" borderId="64" xfId="0" applyBorder="1"/>
    <xf numFmtId="0" fontId="0" fillId="0" borderId="65" xfId="0" applyBorder="1"/>
    <xf numFmtId="0" fontId="0" fillId="0" borderId="66" xfId="0" applyBorder="1"/>
    <xf numFmtId="0" fontId="37" fillId="4" borderId="67" xfId="0" applyFont="1" applyFill="1" applyBorder="1" applyAlignment="1">
      <alignment horizontal="left"/>
    </xf>
    <xf numFmtId="0" fontId="37" fillId="4" borderId="67" xfId="0" applyFont="1" applyFill="1" applyBorder="1"/>
    <xf numFmtId="0" fontId="0" fillId="0" borderId="68" xfId="0" applyBorder="1"/>
    <xf numFmtId="1" fontId="0" fillId="8" borderId="69" xfId="0" applyNumberFormat="1" applyFill="1" applyBorder="1"/>
    <xf numFmtId="0" fontId="0" fillId="0" borderId="70" xfId="0" applyBorder="1"/>
    <xf numFmtId="0" fontId="37" fillId="17" borderId="71" xfId="0" applyFont="1" applyFill="1" applyBorder="1" applyAlignment="1">
      <alignment horizontal="left"/>
    </xf>
    <xf numFmtId="0" fontId="0" fillId="12" borderId="20" xfId="0" applyFill="1" applyBorder="1" applyAlignment="1">
      <alignment horizontal="center"/>
    </xf>
    <xf numFmtId="0" fontId="0" fillId="12" borderId="19" xfId="0" applyFill="1" applyBorder="1" applyAlignment="1">
      <alignment horizontal="center"/>
    </xf>
    <xf numFmtId="0" fontId="0" fillId="14" borderId="20" xfId="3" applyFont="1" applyBorder="1" applyAlignment="1">
      <alignment vertical="top"/>
    </xf>
    <xf numFmtId="0" fontId="53" fillId="0" borderId="0" xfId="1" applyFill="1"/>
    <xf numFmtId="0" fontId="53" fillId="0" borderId="10" xfId="1" applyBorder="1" applyAlignment="1">
      <alignment horizontal="center" wrapText="1"/>
    </xf>
    <xf numFmtId="0" fontId="53" fillId="0" borderId="15" xfId="1" applyBorder="1" applyAlignment="1">
      <alignment horizontal="center" wrapText="1"/>
    </xf>
    <xf numFmtId="0" fontId="0" fillId="15" borderId="33" xfId="4" applyFont="1" applyBorder="1"/>
    <xf numFmtId="0" fontId="0" fillId="15" borderId="20" xfId="4" applyFont="1" applyBorder="1"/>
    <xf numFmtId="0" fontId="6" fillId="15" borderId="20" xfId="4" applyFont="1" applyBorder="1"/>
    <xf numFmtId="0" fontId="0" fillId="0" borderId="12" xfId="0" applyBorder="1" applyAlignment="1">
      <alignment wrapText="1"/>
    </xf>
    <xf numFmtId="0" fontId="0" fillId="14" borderId="13" xfId="3" applyFont="1" applyBorder="1"/>
    <xf numFmtId="0" fontId="37" fillId="4" borderId="20" xfId="3" applyFont="1" applyFill="1" applyBorder="1"/>
    <xf numFmtId="0" fontId="14" fillId="32" borderId="13" xfId="8" applyFont="1" applyBorder="1" applyAlignment="1">
      <alignment horizontal="left"/>
    </xf>
    <xf numFmtId="0" fontId="2" fillId="0" borderId="0" xfId="0" applyFont="1" applyAlignment="1">
      <alignment wrapText="1"/>
    </xf>
    <xf numFmtId="0" fontId="0" fillId="34" borderId="2" xfId="0" applyFill="1" applyBorder="1"/>
    <xf numFmtId="49" fontId="0" fillId="34" borderId="2" xfId="0" applyNumberFormat="1" applyFill="1" applyBorder="1"/>
    <xf numFmtId="0" fontId="53" fillId="34" borderId="2" xfId="1" applyFill="1" applyBorder="1"/>
    <xf numFmtId="0" fontId="0" fillId="0" borderId="29" xfId="0" applyBorder="1" applyAlignment="1">
      <alignment horizontal="center" vertical="center"/>
    </xf>
    <xf numFmtId="0" fontId="0" fillId="0" borderId="30" xfId="0" applyBorder="1" applyAlignment="1">
      <alignment horizontal="center" vertical="center"/>
    </xf>
    <xf numFmtId="0" fontId="54" fillId="0" borderId="10" xfId="1" applyFont="1"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0" xfId="0" applyAlignment="1">
      <alignment horizontal="center"/>
    </xf>
    <xf numFmtId="0" fontId="52" fillId="19" borderId="0" xfId="6" applyAlignment="1">
      <alignment horizontal="center"/>
    </xf>
    <xf numFmtId="0" fontId="53" fillId="0" borderId="0" xfId="1" applyAlignment="1">
      <alignment horizontal="center"/>
    </xf>
    <xf numFmtId="0" fontId="53" fillId="0" borderId="0" xfId="1" applyAlignment="1">
      <alignment horizontal="center" wrapText="1"/>
    </xf>
    <xf numFmtId="0" fontId="30" fillId="15" borderId="0" xfId="4" applyFont="1" applyBorder="1" applyAlignment="1">
      <alignment horizontal="center"/>
    </xf>
    <xf numFmtId="0" fontId="30" fillId="14" borderId="0" xfId="3" applyFont="1" applyBorder="1" applyAlignment="1">
      <alignment horizontal="center" wrapText="1"/>
    </xf>
    <xf numFmtId="0" fontId="0" fillId="4" borderId="0" xfId="0" applyFill="1" applyAlignment="1">
      <alignment horizontal="center"/>
    </xf>
    <xf numFmtId="0" fontId="53" fillId="16" borderId="0" xfId="1" applyFill="1" applyAlignment="1">
      <alignment horizontal="center"/>
    </xf>
    <xf numFmtId="0" fontId="53" fillId="10" borderId="0" xfId="1" applyFill="1" applyAlignment="1">
      <alignment horizontal="center"/>
    </xf>
    <xf numFmtId="0" fontId="36" fillId="0" borderId="0" xfId="0" applyFont="1" applyAlignment="1">
      <alignment horizontal="center"/>
    </xf>
    <xf numFmtId="0" fontId="0" fillId="8" borderId="15" xfId="0" applyFill="1" applyBorder="1" applyAlignment="1">
      <alignment horizontal="center"/>
    </xf>
    <xf numFmtId="0" fontId="36" fillId="0" borderId="15" xfId="0" applyFont="1" applyBorder="1" applyAlignment="1">
      <alignment horizontal="left"/>
    </xf>
    <xf numFmtId="0" fontId="36" fillId="0" borderId="15"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33" fillId="0" borderId="9" xfId="0" applyFont="1" applyBorder="1" applyAlignment="1">
      <alignment horizontal="center"/>
    </xf>
    <xf numFmtId="0" fontId="0" fillId="0" borderId="51" xfId="0" applyBorder="1" applyAlignment="1">
      <alignment horizontal="center"/>
    </xf>
    <xf numFmtId="0" fontId="0" fillId="0" borderId="52"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36" fillId="0" borderId="0" xfId="0" applyFont="1" applyAlignment="1">
      <alignment horizontal="left"/>
    </xf>
    <xf numFmtId="0" fontId="33" fillId="0" borderId="25" xfId="0" applyFont="1"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19" fillId="7" borderId="35" xfId="0" applyFont="1" applyFill="1" applyBorder="1" applyAlignment="1">
      <alignment horizontal="center" vertical="top" wrapText="1"/>
    </xf>
    <xf numFmtId="0" fontId="0" fillId="7" borderId="13" xfId="0" applyFill="1" applyBorder="1" applyAlignment="1">
      <alignment horizontal="center" vertical="top" wrapText="1"/>
    </xf>
    <xf numFmtId="0" fontId="0" fillId="7" borderId="16" xfId="0" applyFill="1" applyBorder="1" applyAlignment="1">
      <alignment horizontal="center" vertical="top" wrapText="1"/>
    </xf>
    <xf numFmtId="0" fontId="19" fillId="4" borderId="38" xfId="3" applyFont="1" applyFill="1" applyBorder="1" applyAlignment="1">
      <alignment horizontal="center" wrapText="1"/>
    </xf>
    <xf numFmtId="0" fontId="35" fillId="4" borderId="37" xfId="3" applyFill="1" applyBorder="1" applyAlignment="1">
      <alignment horizontal="center"/>
    </xf>
    <xf numFmtId="0" fontId="19" fillId="4" borderId="38" xfId="3" applyFont="1" applyFill="1" applyBorder="1" applyAlignment="1">
      <alignment horizontal="center" vertical="top" wrapText="1"/>
    </xf>
    <xf numFmtId="0" fontId="19" fillId="4" borderId="37" xfId="3" applyFont="1" applyFill="1" applyBorder="1" applyAlignment="1">
      <alignment horizontal="center" vertical="top" wrapText="1"/>
    </xf>
    <xf numFmtId="0" fontId="19" fillId="4" borderId="36" xfId="3" applyFont="1" applyFill="1" applyBorder="1" applyAlignment="1">
      <alignment horizontal="center" vertical="top" wrapText="1"/>
    </xf>
    <xf numFmtId="0" fontId="19" fillId="4" borderId="58" xfId="3" applyFont="1" applyFill="1" applyBorder="1" applyAlignment="1">
      <alignment horizontal="center" vertical="top" wrapText="1"/>
    </xf>
    <xf numFmtId="0" fontId="19" fillId="4" borderId="59" xfId="3" applyFont="1" applyFill="1" applyBorder="1" applyAlignment="1">
      <alignment horizontal="center" vertical="top" wrapText="1"/>
    </xf>
    <xf numFmtId="0" fontId="19" fillId="4" borderId="48" xfId="3" applyFont="1" applyFill="1" applyBorder="1" applyAlignment="1">
      <alignment horizontal="center" vertical="top" wrapText="1"/>
    </xf>
    <xf numFmtId="0" fontId="0" fillId="7" borderId="32" xfId="0" applyFill="1" applyBorder="1" applyAlignment="1">
      <alignment horizontal="center" vertical="top" wrapText="1"/>
    </xf>
    <xf numFmtId="0" fontId="19" fillId="7" borderId="33" xfId="0" applyFont="1" applyFill="1" applyBorder="1" applyAlignment="1">
      <alignment horizontal="center" vertical="top" wrapText="1"/>
    </xf>
    <xf numFmtId="0" fontId="0" fillId="7" borderId="33" xfId="0" applyFill="1" applyBorder="1" applyAlignment="1">
      <alignment horizontal="center" vertical="top"/>
    </xf>
    <xf numFmtId="0" fontId="0" fillId="7" borderId="32" xfId="0" applyFill="1" applyBorder="1" applyAlignment="1">
      <alignment horizontal="center" vertical="top"/>
    </xf>
    <xf numFmtId="0" fontId="14" fillId="7" borderId="35" xfId="0" applyFont="1" applyFill="1" applyBorder="1" applyAlignment="1">
      <alignment horizontal="center" wrapText="1"/>
    </xf>
    <xf numFmtId="0" fontId="0" fillId="7" borderId="13" xfId="0" applyFill="1" applyBorder="1" applyAlignment="1">
      <alignment horizontal="center"/>
    </xf>
    <xf numFmtId="0" fontId="0" fillId="7" borderId="32" xfId="0" applyFill="1" applyBorder="1" applyAlignment="1">
      <alignment horizontal="center"/>
    </xf>
    <xf numFmtId="0" fontId="0" fillId="7" borderId="13" xfId="0" applyFill="1" applyBorder="1" applyAlignment="1">
      <alignment horizontal="center" vertical="top"/>
    </xf>
    <xf numFmtId="0" fontId="19" fillId="7" borderId="35" xfId="0" applyFont="1" applyFill="1" applyBorder="1" applyAlignment="1">
      <alignment horizontal="center" wrapText="1"/>
    </xf>
    <xf numFmtId="0" fontId="19" fillId="14" borderId="0" xfId="3" applyFont="1" applyAlignment="1">
      <alignment horizontal="center" vertical="top" wrapText="1"/>
    </xf>
    <xf numFmtId="0" fontId="29" fillId="14" borderId="13" xfId="3" applyFont="1" applyBorder="1" applyAlignment="1">
      <alignment horizontal="center" vertical="top"/>
    </xf>
    <xf numFmtId="0" fontId="29" fillId="14" borderId="16" xfId="3" applyFont="1" applyBorder="1" applyAlignment="1">
      <alignment horizontal="center" vertical="top"/>
    </xf>
    <xf numFmtId="0" fontId="16" fillId="7" borderId="35" xfId="0" applyFont="1" applyFill="1" applyBorder="1" applyAlignment="1">
      <alignment horizontal="center" vertical="top" wrapText="1"/>
    </xf>
    <xf numFmtId="0" fontId="0" fillId="4" borderId="38" xfId="0" applyFill="1" applyBorder="1" applyAlignment="1">
      <alignment horizontal="center" vertical="top" wrapText="1"/>
    </xf>
    <xf numFmtId="0" fontId="0" fillId="4" borderId="49" xfId="0" applyFill="1" applyBorder="1" applyAlignment="1">
      <alignment horizontal="center" vertical="top"/>
    </xf>
    <xf numFmtId="0" fontId="12" fillId="4" borderId="38" xfId="3" applyFont="1" applyFill="1" applyBorder="1" applyAlignment="1">
      <alignment horizontal="center" vertical="top" wrapText="1"/>
    </xf>
    <xf numFmtId="0" fontId="8" fillId="14" borderId="35" xfId="3" applyFont="1" applyBorder="1" applyAlignment="1">
      <alignment horizontal="center" vertical="top" wrapText="1"/>
    </xf>
    <xf numFmtId="0" fontId="14" fillId="14" borderId="32" xfId="3" applyFont="1" applyBorder="1" applyAlignment="1">
      <alignment horizontal="center" vertical="top"/>
    </xf>
    <xf numFmtId="0" fontId="8" fillId="14" borderId="38" xfId="3" applyFont="1" applyBorder="1" applyAlignment="1">
      <alignment horizontal="center" vertical="top" wrapText="1"/>
    </xf>
    <xf numFmtId="0" fontId="19" fillId="14" borderId="37" xfId="3" applyFont="1" applyBorder="1" applyAlignment="1">
      <alignment horizontal="center" vertical="top" wrapText="1"/>
    </xf>
    <xf numFmtId="0" fontId="19" fillId="14" borderId="49" xfId="3" applyFont="1" applyBorder="1" applyAlignment="1">
      <alignment horizontal="center" vertical="top" wrapText="1"/>
    </xf>
    <xf numFmtId="0" fontId="12" fillId="14" borderId="38" xfId="3" applyFont="1" applyBorder="1" applyAlignment="1">
      <alignment horizontal="center" vertical="top" wrapText="1"/>
    </xf>
    <xf numFmtId="0" fontId="19" fillId="4" borderId="54" xfId="3" applyFont="1" applyFill="1" applyBorder="1" applyAlignment="1">
      <alignment horizontal="center" vertical="top" wrapText="1"/>
    </xf>
    <xf numFmtId="0" fontId="19" fillId="4" borderId="60" xfId="3" applyFont="1" applyFill="1" applyBorder="1" applyAlignment="1">
      <alignment horizontal="center" vertical="top" wrapText="1"/>
    </xf>
    <xf numFmtId="0" fontId="19" fillId="4" borderId="20" xfId="0" applyFont="1" applyFill="1" applyBorder="1" applyAlignment="1">
      <alignment horizontal="center" vertical="top" wrapText="1"/>
    </xf>
    <xf numFmtId="0" fontId="0" fillId="4" borderId="20" xfId="0" applyFill="1" applyBorder="1" applyAlignment="1">
      <alignment horizontal="center" vertical="top"/>
    </xf>
    <xf numFmtId="0" fontId="0" fillId="4" borderId="28" xfId="0" applyFill="1" applyBorder="1" applyAlignment="1">
      <alignment horizontal="center" vertical="top"/>
    </xf>
    <xf numFmtId="0" fontId="9" fillId="4" borderId="38" xfId="3" applyFont="1" applyFill="1" applyBorder="1" applyAlignment="1">
      <alignment horizontal="center" vertical="top" wrapText="1"/>
    </xf>
    <xf numFmtId="0" fontId="0" fillId="0" borderId="25" xfId="0" applyBorder="1" applyAlignment="1">
      <alignment horizontal="center"/>
    </xf>
    <xf numFmtId="0" fontId="0" fillId="7" borderId="35" xfId="0" applyFill="1" applyBorder="1" applyAlignment="1">
      <alignment horizontal="center" vertical="top" wrapText="1"/>
    </xf>
    <xf numFmtId="0" fontId="6" fillId="7" borderId="35" xfId="0" applyFont="1" applyFill="1" applyBorder="1" applyAlignment="1">
      <alignment horizontal="center" vertical="top" wrapText="1"/>
    </xf>
    <xf numFmtId="0" fontId="6" fillId="7" borderId="13" xfId="0" applyFont="1" applyFill="1" applyBorder="1" applyAlignment="1">
      <alignment horizontal="center" vertical="top" wrapText="1"/>
    </xf>
    <xf numFmtId="0" fontId="0" fillId="0" borderId="61" xfId="0" applyBorder="1" applyAlignment="1">
      <alignment horizontal="center"/>
    </xf>
    <xf numFmtId="0" fontId="0" fillId="0" borderId="62" xfId="0" applyBorder="1" applyAlignment="1">
      <alignment horizontal="center"/>
    </xf>
    <xf numFmtId="0" fontId="0" fillId="0" borderId="63" xfId="0" applyBorder="1" applyAlignment="1">
      <alignment horizontal="center"/>
    </xf>
    <xf numFmtId="0" fontId="14" fillId="15" borderId="35" xfId="4" applyFont="1" applyBorder="1" applyAlignment="1">
      <alignment horizontal="center" wrapText="1"/>
    </xf>
    <xf numFmtId="0" fontId="34" fillId="15" borderId="32" xfId="4" applyBorder="1" applyAlignment="1">
      <alignment horizontal="center"/>
    </xf>
    <xf numFmtId="0" fontId="14" fillId="14" borderId="35" xfId="3" applyFont="1" applyBorder="1" applyAlignment="1">
      <alignment horizontal="center" vertical="center" wrapText="1"/>
    </xf>
    <xf numFmtId="0" fontId="35" fillId="14" borderId="16" xfId="3" applyBorder="1" applyAlignment="1">
      <alignment horizontal="center" vertical="center"/>
    </xf>
    <xf numFmtId="0" fontId="14" fillId="14" borderId="13" xfId="3" applyFont="1" applyBorder="1" applyAlignment="1">
      <alignment horizontal="center" vertical="top" wrapText="1"/>
    </xf>
    <xf numFmtId="0" fontId="35" fillId="14" borderId="13" xfId="3" applyBorder="1" applyAlignment="1">
      <alignment horizontal="center" vertical="top"/>
    </xf>
    <xf numFmtId="0" fontId="35" fillId="14" borderId="16" xfId="3" applyBorder="1" applyAlignment="1">
      <alignment horizontal="center" vertical="top"/>
    </xf>
    <xf numFmtId="0" fontId="5" fillId="14" borderId="35" xfId="3" applyFont="1" applyBorder="1" applyAlignment="1">
      <alignment horizontal="center" vertical="top" wrapText="1"/>
    </xf>
    <xf numFmtId="0" fontId="21" fillId="14" borderId="13" xfId="3" applyFont="1" applyBorder="1" applyAlignment="1">
      <alignment horizontal="center" vertical="top" wrapText="1"/>
    </xf>
    <xf numFmtId="0" fontId="21" fillId="14" borderId="32" xfId="3" applyFont="1" applyBorder="1" applyAlignment="1">
      <alignment horizontal="center" vertical="top" wrapText="1"/>
    </xf>
    <xf numFmtId="0" fontId="14" fillId="14" borderId="35" xfId="3" applyFont="1" applyBorder="1" applyAlignment="1">
      <alignment horizontal="center" wrapText="1"/>
    </xf>
    <xf numFmtId="0" fontId="35" fillId="14" borderId="32" xfId="3" applyBorder="1" applyAlignment="1">
      <alignment horizontal="center"/>
    </xf>
    <xf numFmtId="0" fontId="14" fillId="4" borderId="2" xfId="3" applyFont="1" applyFill="1" applyBorder="1" applyAlignment="1">
      <alignment horizontal="center" vertical="center" wrapText="1"/>
    </xf>
    <xf numFmtId="0" fontId="35" fillId="4" borderId="2" xfId="3" applyFill="1" applyBorder="1" applyAlignment="1">
      <alignment horizontal="center" vertical="center"/>
    </xf>
    <xf numFmtId="0" fontId="14" fillId="4" borderId="20" xfId="3" applyFont="1" applyFill="1" applyBorder="1" applyAlignment="1">
      <alignment horizontal="center" vertical="top" wrapText="1"/>
    </xf>
    <xf numFmtId="0" fontId="35" fillId="4" borderId="20" xfId="3" applyFill="1" applyBorder="1" applyAlignment="1">
      <alignment horizontal="center" vertical="top"/>
    </xf>
    <xf numFmtId="0" fontId="14" fillId="15" borderId="35" xfId="4" applyFont="1" applyBorder="1" applyAlignment="1">
      <alignment horizontal="center" vertical="top" wrapText="1"/>
    </xf>
    <xf numFmtId="0" fontId="34" fillId="15" borderId="13" xfId="4" applyBorder="1" applyAlignment="1">
      <alignment horizontal="center" vertical="top"/>
    </xf>
    <xf numFmtId="0" fontId="34" fillId="15" borderId="32" xfId="4" applyBorder="1" applyAlignment="1">
      <alignment horizontal="center" vertical="top"/>
    </xf>
    <xf numFmtId="0" fontId="34" fillId="15" borderId="13" xfId="4" applyBorder="1" applyAlignment="1">
      <alignment horizontal="center" vertical="top" wrapText="1"/>
    </xf>
    <xf numFmtId="0" fontId="34" fillId="15" borderId="32" xfId="4" applyBorder="1" applyAlignment="1">
      <alignment horizontal="center" vertical="top" wrapText="1"/>
    </xf>
    <xf numFmtId="0" fontId="12" fillId="4" borderId="20" xfId="4" applyFont="1" applyFill="1" applyBorder="1" applyAlignment="1">
      <alignment horizontal="center" wrapText="1"/>
    </xf>
    <xf numFmtId="0" fontId="34" fillId="4" borderId="28" xfId="4" applyFill="1" applyBorder="1" applyAlignment="1">
      <alignment horizontal="center"/>
    </xf>
    <xf numFmtId="0" fontId="14" fillId="14" borderId="35" xfId="3" applyFont="1" applyBorder="1" applyAlignment="1">
      <alignment horizontal="center" vertical="top" wrapText="1"/>
    </xf>
    <xf numFmtId="0" fontId="35" fillId="14" borderId="32" xfId="3" applyBorder="1" applyAlignment="1">
      <alignment horizontal="center" vertical="top"/>
    </xf>
    <xf numFmtId="0" fontId="35" fillId="14" borderId="13" xfId="3" applyBorder="1" applyAlignment="1">
      <alignment horizontal="center" vertical="top" wrapText="1"/>
    </xf>
    <xf numFmtId="0" fontId="35" fillId="14" borderId="32" xfId="3" applyBorder="1" applyAlignment="1">
      <alignment horizontal="center" vertical="top" wrapText="1"/>
    </xf>
    <xf numFmtId="0" fontId="35" fillId="14" borderId="13" xfId="3" applyBorder="1" applyAlignment="1">
      <alignment horizontal="center"/>
    </xf>
    <xf numFmtId="0" fontId="35" fillId="14" borderId="35" xfId="3" applyBorder="1" applyAlignment="1">
      <alignment horizontal="center" vertical="center" wrapText="1"/>
    </xf>
    <xf numFmtId="0" fontId="35" fillId="14" borderId="13" xfId="3" applyBorder="1" applyAlignment="1">
      <alignment horizontal="center" vertical="center" wrapText="1"/>
    </xf>
    <xf numFmtId="0" fontId="35" fillId="14" borderId="16" xfId="3" applyBorder="1" applyAlignment="1">
      <alignment horizontal="center" vertical="center" wrapText="1"/>
    </xf>
    <xf numFmtId="0" fontId="4" fillId="14" borderId="35" xfId="3" applyFont="1" applyBorder="1" applyAlignment="1">
      <alignment horizontal="center" vertical="center" wrapText="1"/>
    </xf>
    <xf numFmtId="0" fontId="35" fillId="14" borderId="32" xfId="3" applyBorder="1" applyAlignment="1">
      <alignment horizontal="center" vertical="center"/>
    </xf>
    <xf numFmtId="0" fontId="4" fillId="4" borderId="2" xfId="0" applyFont="1" applyFill="1" applyBorder="1" applyAlignment="1">
      <alignment horizontal="center" vertical="center" wrapText="1"/>
    </xf>
    <xf numFmtId="0" fontId="0" fillId="4" borderId="2" xfId="0" applyFill="1" applyBorder="1" applyAlignment="1">
      <alignment horizontal="center" vertical="center" wrapText="1"/>
    </xf>
    <xf numFmtId="0" fontId="4" fillId="14" borderId="35" xfId="3" applyFont="1" applyBorder="1" applyAlignment="1">
      <alignment horizontal="center" wrapText="1"/>
    </xf>
    <xf numFmtId="0" fontId="14" fillId="14" borderId="32" xfId="3" applyFont="1" applyBorder="1" applyAlignment="1">
      <alignment horizontal="center"/>
    </xf>
    <xf numFmtId="0" fontId="19" fillId="4" borderId="38" xfId="0" applyFont="1" applyFill="1" applyBorder="1" applyAlignment="1">
      <alignment horizontal="center" vertical="center"/>
    </xf>
    <xf numFmtId="0" fontId="19" fillId="4" borderId="37" xfId="0" applyFont="1" applyFill="1" applyBorder="1" applyAlignment="1">
      <alignment horizontal="center" vertical="center"/>
    </xf>
    <xf numFmtId="0" fontId="19" fillId="4" borderId="49" xfId="0" applyFont="1" applyFill="1" applyBorder="1" applyAlignment="1">
      <alignment horizontal="center" vertical="center"/>
    </xf>
    <xf numFmtId="0" fontId="19" fillId="4" borderId="2" xfId="0" applyFont="1" applyFill="1" applyBorder="1" applyAlignment="1">
      <alignment horizontal="center" vertical="center"/>
    </xf>
    <xf numFmtId="0" fontId="0" fillId="4" borderId="2" xfId="0" applyFill="1" applyBorder="1" applyAlignment="1">
      <alignment horizontal="center" vertical="center"/>
    </xf>
    <xf numFmtId="0" fontId="33" fillId="4" borderId="35" xfId="0" applyFont="1" applyFill="1" applyBorder="1" applyAlignment="1">
      <alignment horizontal="center" wrapText="1"/>
    </xf>
    <xf numFmtId="0" fontId="0" fillId="4" borderId="32" xfId="0" applyFill="1" applyBorder="1" applyAlignment="1">
      <alignment horizontal="center"/>
    </xf>
    <xf numFmtId="0" fontId="18" fillId="0" borderId="25" xfId="0" applyFont="1" applyBorder="1" applyAlignment="1">
      <alignment horizontal="center"/>
    </xf>
    <xf numFmtId="0" fontId="51" fillId="0" borderId="58" xfId="0" applyFont="1" applyBorder="1" applyAlignment="1">
      <alignment horizontal="center" vertical="top" textRotation="90"/>
    </xf>
    <xf numFmtId="0" fontId="51" fillId="0" borderId="59" xfId="0" applyFont="1" applyBorder="1" applyAlignment="1">
      <alignment horizontal="center" vertical="top" textRotation="90"/>
    </xf>
    <xf numFmtId="0" fontId="51" fillId="0" borderId="48" xfId="0" applyFont="1" applyBorder="1" applyAlignment="1">
      <alignment horizontal="center" vertical="top" textRotation="90"/>
    </xf>
    <xf numFmtId="0" fontId="79" fillId="0" borderId="29" xfId="0" applyFont="1" applyBorder="1" applyAlignment="1">
      <alignment horizontal="center" textRotation="90"/>
    </xf>
    <xf numFmtId="0" fontId="79" fillId="0" borderId="31" xfId="0" applyFont="1" applyBorder="1" applyAlignment="1">
      <alignment horizontal="center" textRotation="90"/>
    </xf>
    <xf numFmtId="0" fontId="79" fillId="0" borderId="12" xfId="0" applyFont="1" applyBorder="1" applyAlignment="1">
      <alignment horizontal="center" textRotation="90"/>
    </xf>
    <xf numFmtId="0" fontId="79" fillId="0" borderId="14" xfId="0" applyFont="1" applyBorder="1" applyAlignment="1">
      <alignment horizontal="center" textRotation="90"/>
    </xf>
    <xf numFmtId="0" fontId="80" fillId="0" borderId="29" xfId="0" applyFont="1" applyBorder="1" applyAlignment="1">
      <alignment horizontal="center" vertical="center" textRotation="90"/>
    </xf>
    <xf numFmtId="0" fontId="80" fillId="0" borderId="31" xfId="0" applyFont="1" applyBorder="1" applyAlignment="1">
      <alignment horizontal="center" vertical="center" textRotation="90"/>
    </xf>
    <xf numFmtId="0" fontId="80" fillId="0" borderId="30" xfId="0" applyFont="1" applyBorder="1" applyAlignment="1">
      <alignment horizontal="center" vertical="center" textRotation="90"/>
    </xf>
    <xf numFmtId="0" fontId="0" fillId="16" borderId="12" xfId="0" applyFill="1" applyBorder="1" applyAlignment="1">
      <alignment horizontal="center"/>
    </xf>
    <xf numFmtId="0" fontId="0" fillId="16" borderId="0" xfId="0" applyFill="1" applyAlignment="1">
      <alignment horizontal="center"/>
    </xf>
    <xf numFmtId="0" fontId="52" fillId="0" borderId="15" xfId="0" applyFont="1" applyFill="1" applyBorder="1" applyAlignment="1">
      <alignment horizontal="center"/>
    </xf>
    <xf numFmtId="0" fontId="2" fillId="4" borderId="20" xfId="3" applyFont="1" applyFill="1" applyBorder="1" applyAlignment="1">
      <alignment horizontal="center" vertical="top" wrapText="1"/>
    </xf>
    <xf numFmtId="0" fontId="35" fillId="4" borderId="20" xfId="3" applyFill="1" applyBorder="1" applyAlignment="1">
      <alignment horizontal="center" vertical="top" wrapText="1"/>
    </xf>
    <xf numFmtId="0" fontId="11" fillId="14" borderId="35" xfId="3" applyFont="1" applyBorder="1" applyAlignment="1">
      <alignment horizontal="center" vertical="top" wrapText="1"/>
    </xf>
    <xf numFmtId="0" fontId="19" fillId="4" borderId="20" xfId="3" applyFont="1" applyFill="1" applyBorder="1" applyAlignment="1">
      <alignment horizontal="center" vertical="top" wrapText="1"/>
    </xf>
    <xf numFmtId="0" fontId="14" fillId="7" borderId="33" xfId="0" applyFont="1" applyFill="1" applyBorder="1" applyAlignment="1">
      <alignment horizontal="center" vertical="top" wrapText="1"/>
    </xf>
    <xf numFmtId="0" fontId="14" fillId="7" borderId="35" xfId="0" applyFont="1" applyFill="1" applyBorder="1" applyAlignment="1">
      <alignment horizontal="center" vertical="top" wrapText="1"/>
    </xf>
    <xf numFmtId="0" fontId="0" fillId="7" borderId="16" xfId="0" applyFill="1" applyBorder="1" applyAlignment="1">
      <alignment horizontal="center" vertical="top"/>
    </xf>
    <xf numFmtId="0" fontId="0" fillId="7" borderId="34" xfId="0" applyFill="1" applyBorder="1" applyAlignment="1">
      <alignment horizontal="center" vertical="top"/>
    </xf>
    <xf numFmtId="0" fontId="51" fillId="0" borderId="9" xfId="0" applyFont="1" applyBorder="1" applyAlignment="1">
      <alignment horizontal="center" vertical="center"/>
    </xf>
    <xf numFmtId="0" fontId="51" fillId="0" borderId="10" xfId="0" applyFont="1" applyBorder="1" applyAlignment="1">
      <alignment horizontal="center" vertical="center"/>
    </xf>
    <xf numFmtId="0" fontId="51" fillId="0" borderId="11" xfId="0" applyFont="1" applyBorder="1" applyAlignment="1">
      <alignment horizontal="center" vertical="center"/>
    </xf>
    <xf numFmtId="0" fontId="51" fillId="0" borderId="12" xfId="0" applyFont="1" applyBorder="1" applyAlignment="1">
      <alignment horizontal="center" vertical="center"/>
    </xf>
    <xf numFmtId="0" fontId="51" fillId="0" borderId="0" xfId="0" applyFont="1" applyAlignment="1">
      <alignment horizontal="center" vertical="center"/>
    </xf>
    <xf numFmtId="0" fontId="51" fillId="0" borderId="13" xfId="0" applyFont="1" applyBorder="1" applyAlignment="1">
      <alignment horizontal="center" vertical="center"/>
    </xf>
    <xf numFmtId="0" fontId="51" fillId="0" borderId="14" xfId="0" applyFont="1" applyBorder="1" applyAlignment="1">
      <alignment horizontal="center" vertical="center"/>
    </xf>
    <xf numFmtId="0" fontId="51" fillId="0" borderId="15" xfId="0" applyFont="1" applyBorder="1" applyAlignment="1">
      <alignment horizontal="center" vertical="center"/>
    </xf>
    <xf numFmtId="0" fontId="51" fillId="0" borderId="16" xfId="0" applyFont="1" applyBorder="1" applyAlignment="1">
      <alignment horizontal="center" vertical="center"/>
    </xf>
    <xf numFmtId="0" fontId="36" fillId="0" borderId="26" xfId="0" applyFont="1" applyBorder="1" applyAlignment="1">
      <alignment horizontal="left"/>
    </xf>
    <xf numFmtId="0" fontId="3" fillId="7" borderId="35" xfId="3" applyFont="1" applyFill="1" applyBorder="1" applyAlignment="1">
      <alignment horizontal="center" wrapText="1"/>
    </xf>
    <xf numFmtId="0" fontId="24" fillId="7" borderId="32" xfId="3" applyFont="1" applyFill="1" applyBorder="1" applyAlignment="1">
      <alignment horizontal="center" wrapText="1"/>
    </xf>
    <xf numFmtId="0" fontId="12" fillId="14" borderId="35" xfId="3" applyFont="1" applyBorder="1" applyAlignment="1">
      <alignment horizontal="center" wrapText="1"/>
    </xf>
    <xf numFmtId="0" fontId="24" fillId="14" borderId="32" xfId="3" applyFont="1" applyBorder="1" applyAlignment="1">
      <alignment horizontal="center" wrapText="1"/>
    </xf>
    <xf numFmtId="0" fontId="3" fillId="7" borderId="35" xfId="3" applyFont="1" applyFill="1" applyBorder="1" applyAlignment="1">
      <alignment horizontal="center" vertical="top" wrapText="1"/>
    </xf>
    <xf numFmtId="0" fontId="5" fillId="7" borderId="13" xfId="3" applyFont="1" applyFill="1" applyBorder="1" applyAlignment="1">
      <alignment horizontal="center" vertical="top"/>
    </xf>
    <xf numFmtId="0" fontId="5" fillId="7" borderId="16" xfId="3" applyFont="1" applyFill="1" applyBorder="1" applyAlignment="1">
      <alignment horizontal="center" vertical="top"/>
    </xf>
    <xf numFmtId="0" fontId="37" fillId="4" borderId="20" xfId="0" applyFont="1" applyFill="1" applyBorder="1" applyAlignment="1">
      <alignment horizontal="center" vertical="center"/>
    </xf>
    <xf numFmtId="0" fontId="37" fillId="4" borderId="28" xfId="0" applyFont="1" applyFill="1" applyBorder="1" applyAlignment="1">
      <alignment horizontal="center" vertical="center"/>
    </xf>
    <xf numFmtId="0" fontId="26" fillId="14" borderId="13" xfId="3" applyFont="1" applyBorder="1" applyAlignment="1">
      <alignment horizontal="center" wrapText="1"/>
    </xf>
    <xf numFmtId="0" fontId="26" fillId="14" borderId="32" xfId="3" applyFont="1" applyBorder="1" applyAlignment="1">
      <alignment horizontal="center" wrapText="1"/>
    </xf>
    <xf numFmtId="0" fontId="3" fillId="4" borderId="35" xfId="4" applyFont="1" applyFill="1" applyBorder="1" applyAlignment="1">
      <alignment horizontal="center" wrapText="1"/>
    </xf>
    <xf numFmtId="0" fontId="27" fillId="4" borderId="16" xfId="4" applyFont="1" applyFill="1" applyBorder="1" applyAlignment="1">
      <alignment horizontal="center" wrapText="1"/>
    </xf>
    <xf numFmtId="0" fontId="25" fillId="14" borderId="32" xfId="3" applyFont="1" applyBorder="1" applyAlignment="1">
      <alignment horizontal="center" vertical="top" wrapText="1"/>
    </xf>
    <xf numFmtId="0" fontId="21" fillId="14" borderId="13" xfId="3" applyFont="1" applyBorder="1" applyAlignment="1">
      <alignment horizontal="center" wrapText="1"/>
    </xf>
    <xf numFmtId="0" fontId="21" fillId="14" borderId="32" xfId="3" applyFont="1" applyBorder="1" applyAlignment="1">
      <alignment horizontal="center" wrapText="1"/>
    </xf>
    <xf numFmtId="0" fontId="11" fillId="14" borderId="35" xfId="3" applyFont="1" applyBorder="1" applyAlignment="1">
      <alignment horizontal="center" wrapText="1"/>
    </xf>
    <xf numFmtId="0" fontId="28" fillId="14" borderId="32" xfId="3" applyFont="1" applyBorder="1" applyAlignment="1">
      <alignment horizontal="center" wrapText="1"/>
    </xf>
    <xf numFmtId="0" fontId="23" fillId="14" borderId="13" xfId="3" applyFont="1" applyBorder="1" applyAlignment="1">
      <alignment horizontal="center" wrapText="1"/>
    </xf>
    <xf numFmtId="0" fontId="23" fillId="14" borderId="32" xfId="3" applyFont="1" applyBorder="1" applyAlignment="1">
      <alignment horizontal="center" wrapText="1"/>
    </xf>
    <xf numFmtId="0" fontId="3" fillId="14" borderId="20" xfId="3" applyFont="1" applyBorder="1" applyAlignment="1">
      <alignment horizontal="center" wrapText="1"/>
    </xf>
    <xf numFmtId="0" fontId="19" fillId="14" borderId="20" xfId="3" applyFont="1" applyBorder="1" applyAlignment="1">
      <alignment horizontal="center" wrapText="1"/>
    </xf>
    <xf numFmtId="0" fontId="14" fillId="14" borderId="20" xfId="3" applyFont="1" applyBorder="1" applyAlignment="1">
      <alignment horizontal="center" wrapText="1"/>
    </xf>
    <xf numFmtId="0" fontId="3" fillId="14" borderId="35" xfId="3" applyFont="1" applyBorder="1" applyAlignment="1">
      <alignment horizontal="center" wrapText="1"/>
    </xf>
    <xf numFmtId="0" fontId="25" fillId="14" borderId="32" xfId="3" applyFont="1" applyBorder="1" applyAlignment="1">
      <alignment horizontal="center" wrapText="1"/>
    </xf>
    <xf numFmtId="0" fontId="0" fillId="7" borderId="16" xfId="0" applyFill="1" applyBorder="1" applyAlignment="1">
      <alignment horizontal="center"/>
    </xf>
    <xf numFmtId="0" fontId="7" fillId="7" borderId="35" xfId="0" applyFont="1" applyFill="1" applyBorder="1" applyAlignment="1">
      <alignment horizontal="center" vertical="top" wrapText="1"/>
    </xf>
    <xf numFmtId="0" fontId="24" fillId="7" borderId="13" xfId="0" applyFont="1" applyFill="1" applyBorder="1" applyAlignment="1">
      <alignment horizontal="center" vertical="top" wrapText="1"/>
    </xf>
    <xf numFmtId="0" fontId="24" fillId="7" borderId="32" xfId="0" applyFont="1" applyFill="1" applyBorder="1" applyAlignment="1">
      <alignment horizontal="center" vertical="top" wrapText="1"/>
    </xf>
    <xf numFmtId="0" fontId="3" fillId="15" borderId="35" xfId="4" applyFont="1" applyBorder="1" applyAlignment="1">
      <alignment horizontal="center" vertical="center" wrapText="1"/>
    </xf>
    <xf numFmtId="0" fontId="25" fillId="15" borderId="13" xfId="4" applyFont="1" applyBorder="1" applyAlignment="1">
      <alignment horizontal="center" vertical="center" wrapText="1"/>
    </xf>
    <xf numFmtId="0" fontId="25" fillId="15" borderId="32" xfId="4" applyFont="1" applyBorder="1" applyAlignment="1">
      <alignment horizontal="center" vertical="center" wrapText="1"/>
    </xf>
    <xf numFmtId="0" fontId="30" fillId="14" borderId="32" xfId="3" applyFont="1" applyBorder="1" applyAlignment="1">
      <alignment horizontal="center" wrapText="1"/>
    </xf>
    <xf numFmtId="0" fontId="37" fillId="4" borderId="38" xfId="0" applyFont="1" applyFill="1" applyBorder="1" applyAlignment="1">
      <alignment horizontal="left" vertical="top" wrapText="1"/>
    </xf>
    <xf numFmtId="0" fontId="37" fillId="4" borderId="49" xfId="0" applyFont="1" applyFill="1" applyBorder="1" applyAlignment="1">
      <alignment horizontal="left" vertical="top"/>
    </xf>
    <xf numFmtId="0" fontId="37" fillId="4" borderId="37" xfId="0" applyFont="1" applyFill="1" applyBorder="1" applyAlignment="1">
      <alignment horizontal="left" vertical="top" wrapText="1"/>
    </xf>
    <xf numFmtId="0" fontId="37" fillId="4" borderId="36" xfId="0" applyFont="1" applyFill="1" applyBorder="1" applyAlignment="1">
      <alignment horizontal="left" vertical="top" wrapText="1"/>
    </xf>
    <xf numFmtId="0" fontId="37" fillId="4" borderId="49" xfId="0" applyFont="1" applyFill="1" applyBorder="1" applyAlignment="1">
      <alignment horizontal="left" vertical="top" wrapText="1"/>
    </xf>
    <xf numFmtId="0" fontId="10" fillId="33" borderId="38" xfId="0" applyFont="1" applyFill="1" applyBorder="1" applyAlignment="1">
      <alignment horizontal="center" wrapText="1"/>
    </xf>
    <xf numFmtId="0" fontId="0" fillId="33" borderId="49" xfId="0" applyFill="1" applyBorder="1" applyAlignment="1">
      <alignment horizontal="center"/>
    </xf>
    <xf numFmtId="0" fontId="37" fillId="7" borderId="38" xfId="0" applyFont="1" applyFill="1" applyBorder="1" applyAlignment="1">
      <alignment horizontal="center" wrapText="1"/>
    </xf>
    <xf numFmtId="0" fontId="37" fillId="7" borderId="36" xfId="0" applyFont="1" applyFill="1" applyBorder="1" applyAlignment="1">
      <alignment horizontal="center"/>
    </xf>
    <xf numFmtId="0" fontId="12" fillId="4" borderId="20" xfId="3" applyFont="1" applyFill="1" applyBorder="1" applyAlignment="1">
      <alignment horizontal="center" vertical="top" wrapText="1"/>
    </xf>
    <xf numFmtId="0" fontId="0" fillId="14" borderId="35" xfId="3" applyFont="1" applyBorder="1" applyAlignment="1">
      <alignment horizontal="center" vertical="top" wrapText="1"/>
    </xf>
    <xf numFmtId="0" fontId="3" fillId="14" borderId="13" xfId="3" applyFont="1" applyBorder="1" applyAlignment="1">
      <alignment horizontal="center" vertical="top" wrapText="1"/>
    </xf>
    <xf numFmtId="0" fontId="3" fillId="14" borderId="16" xfId="3" applyFont="1" applyBorder="1" applyAlignment="1">
      <alignment horizontal="center" vertical="top" wrapText="1"/>
    </xf>
    <xf numFmtId="0" fontId="3" fillId="14" borderId="38" xfId="3" applyFont="1" applyBorder="1" applyAlignment="1">
      <alignment horizontal="center" wrapText="1"/>
    </xf>
    <xf numFmtId="0" fontId="35" fillId="14" borderId="49" xfId="3" applyBorder="1" applyAlignment="1">
      <alignment horizontal="center"/>
    </xf>
    <xf numFmtId="0" fontId="30" fillId="14" borderId="35" xfId="3" applyFont="1" applyBorder="1" applyAlignment="1">
      <alignment horizontal="center" wrapText="1"/>
    </xf>
    <xf numFmtId="0" fontId="35" fillId="14" borderId="16" xfId="3" applyBorder="1" applyAlignment="1">
      <alignment horizontal="center"/>
    </xf>
    <xf numFmtId="0" fontId="30" fillId="14" borderId="35" xfId="3" applyFont="1" applyBorder="1" applyAlignment="1">
      <alignment horizontal="center" vertical="top" wrapText="1"/>
    </xf>
    <xf numFmtId="0" fontId="19" fillId="14" borderId="2" xfId="3" applyFont="1" applyBorder="1" applyAlignment="1">
      <alignment horizontal="center" wrapText="1"/>
    </xf>
    <xf numFmtId="0" fontId="35" fillId="14" borderId="2" xfId="3" applyBorder="1" applyAlignment="1">
      <alignment horizontal="center"/>
    </xf>
    <xf numFmtId="0" fontId="0" fillId="8" borderId="0" xfId="0" applyFill="1" applyAlignment="1">
      <alignment horizontal="center"/>
    </xf>
    <xf numFmtId="49" fontId="37" fillId="24" borderId="25" xfId="0" applyNumberFormat="1" applyFont="1" applyFill="1" applyBorder="1" applyAlignment="1">
      <alignment horizontal="center"/>
    </xf>
    <xf numFmtId="49" fontId="37" fillId="24" borderId="26" xfId="0" applyNumberFormat="1" applyFont="1" applyFill="1" applyBorder="1" applyAlignment="1">
      <alignment horizontal="center"/>
    </xf>
    <xf numFmtId="49" fontId="37" fillId="24" borderId="27" xfId="0" applyNumberFormat="1" applyFont="1" applyFill="1" applyBorder="1" applyAlignment="1">
      <alignment horizontal="center"/>
    </xf>
    <xf numFmtId="49" fontId="37" fillId="25" borderId="41" xfId="0" applyNumberFormat="1" applyFont="1" applyFill="1" applyBorder="1" applyAlignment="1">
      <alignment horizontal="center"/>
    </xf>
    <xf numFmtId="49" fontId="37" fillId="25" borderId="42" xfId="0" applyNumberFormat="1" applyFont="1" applyFill="1" applyBorder="1" applyAlignment="1">
      <alignment horizontal="center"/>
    </xf>
    <xf numFmtId="0" fontId="37" fillId="26" borderId="41" xfId="0" applyFont="1" applyFill="1" applyBorder="1" applyAlignment="1">
      <alignment horizontal="center"/>
    </xf>
    <xf numFmtId="0" fontId="37" fillId="26" borderId="43" xfId="0" applyFont="1" applyFill="1" applyBorder="1" applyAlignment="1">
      <alignment horizontal="center"/>
    </xf>
    <xf numFmtId="0" fontId="37" fillId="26" borderId="42" xfId="0" applyFont="1" applyFill="1" applyBorder="1" applyAlignment="1">
      <alignment horizontal="center"/>
    </xf>
    <xf numFmtId="0" fontId="37" fillId="27" borderId="41" xfId="0" applyFont="1" applyFill="1" applyBorder="1" applyAlignment="1">
      <alignment horizontal="center"/>
    </xf>
    <xf numFmtId="0" fontId="37" fillId="27" borderId="43" xfId="0" applyFont="1" applyFill="1" applyBorder="1" applyAlignment="1">
      <alignment horizontal="center"/>
    </xf>
    <xf numFmtId="0" fontId="37" fillId="27" borderId="42" xfId="0" applyFont="1" applyFill="1" applyBorder="1" applyAlignment="1">
      <alignment horizontal="center"/>
    </xf>
    <xf numFmtId="0" fontId="96" fillId="0" borderId="0" xfId="0" applyFont="1" applyFill="1" applyAlignment="1">
      <alignment horizontal="center" vertical="center"/>
    </xf>
    <xf numFmtId="0" fontId="99" fillId="0" borderId="0" xfId="0" applyFont="1" applyFill="1" applyAlignment="1">
      <alignment horizontal="center" vertical="center" wrapText="1"/>
    </xf>
  </cellXfs>
  <cellStyles count="9">
    <cellStyle name="20% — акцент1" xfId="3" builtinId="30"/>
    <cellStyle name="20% — акцент5" xfId="8" builtinId="46"/>
    <cellStyle name="20% — акцент6" xfId="4" builtinId="50"/>
    <cellStyle name="Акцент5" xfId="6" builtinId="45"/>
    <cellStyle name="Гиперссылка" xfId="1" builtinId="8"/>
    <cellStyle name="Нейтральный" xfId="7" builtinId="28"/>
    <cellStyle name="Обычный" xfId="0" builtinId="0"/>
    <cellStyle name="Процентный" xfId="2" builtinId="5"/>
    <cellStyle name="Хороший" xfId="5" builtinId="26"/>
  </cellStyles>
  <dxfs count="392">
    <dxf>
      <alignment horizontal="general" vertical="bottom" textRotation="0" wrapText="1" indent="0" justifyLastLine="0" shrinkToFit="0" readingOrder="0"/>
    </dxf>
    <dxf>
      <numFmt numFmtId="19" formatCode="dd/mm/yyyy"/>
    </dxf>
    <dxf>
      <numFmt numFmtId="30" formatCode="@"/>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rgb="FFC6EFCE"/>
        </patternFill>
      </fill>
    </dxf>
    <dxf>
      <fill>
        <patternFill>
          <bgColor rgb="FFC6EFCE"/>
        </patternFill>
      </fill>
    </dxf>
    <dxf>
      <fill>
        <patternFill>
          <bgColor rgb="FFC0EFCE"/>
        </patternFill>
      </fill>
    </dxf>
    <dxf>
      <fill>
        <patternFill>
          <bgColor rgb="FFC6EFCE"/>
        </patternFill>
      </fill>
    </dxf>
    <dxf>
      <font>
        <color auto="1"/>
      </font>
      <fill>
        <patternFill>
          <bgColor rgb="FFC6EFCE"/>
        </patternFill>
      </fill>
    </dxf>
    <dxf>
      <font>
        <b val="0"/>
        <i val="0"/>
        <color rgb="FFAA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2499465926084170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trike val="0"/>
      </font>
      <fill>
        <patternFill>
          <bgColor theme="0" tint="-0.24994659260841701"/>
        </patternFill>
      </fill>
    </dxf>
    <dxf>
      <font>
        <strike val="0"/>
      </font>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C0EFCE"/>
        </patternFill>
      </fill>
    </dxf>
    <dxf>
      <fill>
        <patternFill>
          <bgColor rgb="FFC6EFCE"/>
        </patternFill>
      </fill>
    </dxf>
    <dxf>
      <font>
        <color auto="1"/>
      </font>
      <fill>
        <patternFill>
          <bgColor rgb="FFC6EFCE"/>
        </patternFill>
      </fill>
    </dxf>
    <dxf>
      <font>
        <b val="0"/>
        <i val="0"/>
        <color rgb="FFAA0000"/>
      </font>
    </dxf>
    <dxf>
      <fill>
        <patternFill patternType="none">
          <bgColor auto="1"/>
        </patternFill>
      </fill>
    </dxf>
    <dxf>
      <fill>
        <patternFill patternType="none">
          <bgColor auto="1"/>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rgb="FFC6EFCE"/>
        </patternFill>
      </fill>
    </dxf>
    <dxf>
      <fill>
        <patternFill>
          <bgColor rgb="FFC6EFCE"/>
        </patternFill>
      </fill>
    </dxf>
    <dxf>
      <fill>
        <patternFill>
          <bgColor rgb="FFC0EFCE"/>
        </patternFill>
      </fill>
    </dxf>
    <dxf>
      <fill>
        <patternFill>
          <bgColor rgb="FFC6EFCE"/>
        </patternFill>
      </fill>
    </dxf>
    <dxf>
      <font>
        <color auto="1"/>
      </font>
      <fill>
        <patternFill>
          <bgColor rgb="FFC6EFCE"/>
        </patternFill>
      </fill>
    </dxf>
    <dxf>
      <font>
        <b val="0"/>
        <i val="0"/>
        <color rgb="FFAA0000"/>
      </font>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rgb="FFC6EFCE"/>
        </patternFill>
      </fill>
    </dxf>
    <dxf>
      <fill>
        <patternFill>
          <bgColor rgb="FFC6EFCE"/>
        </patternFill>
      </fill>
    </dxf>
    <dxf>
      <fill>
        <patternFill>
          <bgColor rgb="FFC0EFCE"/>
        </patternFill>
      </fill>
    </dxf>
    <dxf>
      <fill>
        <patternFill>
          <bgColor rgb="FFC6EFCE"/>
        </patternFill>
      </fill>
    </dxf>
    <dxf>
      <font>
        <color auto="1"/>
      </font>
      <fill>
        <patternFill>
          <bgColor rgb="FFC6EFCE"/>
        </patternFill>
      </fill>
    </dxf>
    <dxf>
      <font>
        <b val="0"/>
        <i val="0"/>
        <color rgb="FFAA0000"/>
      </font>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rgb="FFC6EFCE"/>
        </patternFill>
      </fill>
    </dxf>
    <dxf>
      <fill>
        <patternFill>
          <bgColor rgb="FFC6EFCE"/>
        </patternFill>
      </fill>
    </dxf>
    <dxf>
      <fill>
        <patternFill>
          <bgColor rgb="FFC0EFCE"/>
        </patternFill>
      </fill>
    </dxf>
    <dxf>
      <fill>
        <patternFill>
          <bgColor rgb="FFC6EFCE"/>
        </patternFill>
      </fill>
    </dxf>
    <dxf>
      <font>
        <color auto="1"/>
      </font>
      <fill>
        <patternFill>
          <bgColor rgb="FFC6EFCE"/>
        </patternFill>
      </fill>
    </dxf>
    <dxf>
      <font>
        <b val="0"/>
        <i val="0"/>
        <color rgb="FFAA0000"/>
      </font>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C0EFCE"/>
        </patternFill>
      </fill>
    </dxf>
    <dxf>
      <fill>
        <patternFill>
          <bgColor rgb="FFC6EFCE"/>
        </patternFill>
      </fill>
    </dxf>
    <dxf>
      <font>
        <color auto="1"/>
      </font>
      <fill>
        <patternFill>
          <bgColor rgb="FFC6EFCE"/>
        </patternFill>
      </fill>
    </dxf>
    <dxf>
      <font>
        <b val="0"/>
        <i val="0"/>
        <color rgb="FFAA0000"/>
      </font>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C0EFCE"/>
        </patternFill>
      </fill>
    </dxf>
    <dxf>
      <fill>
        <patternFill>
          <bgColor rgb="FFC6EFCE"/>
        </patternFill>
      </fill>
    </dxf>
    <dxf>
      <font>
        <color auto="1"/>
      </font>
      <fill>
        <patternFill>
          <bgColor rgb="FFC6EFCE"/>
        </patternFill>
      </fill>
    </dxf>
    <dxf>
      <font>
        <b val="0"/>
        <i val="0"/>
        <color rgb="FFAA0000"/>
      </font>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C0EFCE"/>
        </patternFill>
      </fill>
    </dxf>
    <dxf>
      <fill>
        <patternFill>
          <bgColor rgb="FFC6EFCE"/>
        </patternFill>
      </fill>
    </dxf>
    <dxf>
      <font>
        <color auto="1"/>
      </font>
      <fill>
        <patternFill>
          <bgColor rgb="FFC6EFCE"/>
        </patternFill>
      </fill>
    </dxf>
    <dxf>
      <font>
        <b val="0"/>
        <i val="0"/>
        <color rgb="FFAA0000"/>
      </font>
    </dxf>
  </dxfs>
  <tableStyles count="0" defaultTableStyle="TableStyleMedium2" defaultPivotStyle="PivotStyleLight16"/>
  <colors>
    <mruColors>
      <color rgb="FFC6EFCE"/>
      <color rgb="FFAA0000"/>
      <color rgb="FF610000"/>
      <color rgb="FF006100"/>
      <color rgb="FFEA64E4"/>
      <color rgb="FFBC8F00"/>
      <color rgb="FFC0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8:F52" totalsRowShown="0">
  <autoFilter ref="A18:F52" xr:uid="{00000000-0009-0000-0100-000001000000}"/>
  <sortState xmlns:xlrd2="http://schemas.microsoft.com/office/spreadsheetml/2017/richdata2" ref="A19:F52">
    <sortCondition ref="A18:A52"/>
  </sortState>
  <tableColumns count="6">
    <tableColumn id="1" xr3:uid="{00000000-0010-0000-0000-000001000000}" name="Function"/>
    <tableColumn id="2" xr3:uid="{00000000-0010-0000-0000-000002000000}" name="Cell 1"/>
    <tableColumn id="3" xr3:uid="{00000000-0010-0000-0000-000003000000}" name="Cell 2"/>
    <tableColumn id="4" xr3:uid="{00000000-0010-0000-0000-000004000000}" name="Cell 3"/>
    <tableColumn id="5" xr3:uid="{00000000-0010-0000-0000-000005000000}" name="Cell 4"/>
    <tableColumn id="6" xr3:uid="{00000000-0010-0000-0000-000006000000}" name="Cell 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D55" totalsRowShown="0">
  <autoFilter ref="A1:D55" xr:uid="{00000000-0009-0000-0100-000002000000}"/>
  <tableColumns count="4">
    <tableColumn id="1" xr3:uid="{00000000-0010-0000-0100-000001000000}" name="# of update"/>
    <tableColumn id="2" xr3:uid="{00000000-0010-0000-0100-000002000000}" name="Version" dataDxfId="2"/>
    <tableColumn id="3" xr3:uid="{00000000-0010-0000-0100-000003000000}" name="Date" dataDxfId="1"/>
    <tableColumn id="4" xr3:uid="{00000000-0010-0000-0100-000004000000}" name="Chang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youtube.com/watch?v=PTPavSBS_OE" TargetMode="External"/><Relationship Id="rId18" Type="http://schemas.openxmlformats.org/officeDocument/2006/relationships/hyperlink" Target="https://www.youtube.com/watch?v=ZO2xFagtTZw" TargetMode="External"/><Relationship Id="rId26" Type="http://schemas.openxmlformats.org/officeDocument/2006/relationships/hyperlink" Target="https://www.youtube.com/watch?v=pgSQfs--sDk" TargetMode="External"/><Relationship Id="rId3" Type="http://schemas.openxmlformats.org/officeDocument/2006/relationships/hyperlink" Target="https://www.mazda.com.au/imagination-drives-us/safety-traffic-sign-recognition/" TargetMode="External"/><Relationship Id="rId21" Type="http://schemas.openxmlformats.org/officeDocument/2006/relationships/hyperlink" Target="https://www.youtube.com/watch?v=Ys-UsVmd4mA" TargetMode="External"/><Relationship Id="rId34" Type="http://schemas.openxmlformats.org/officeDocument/2006/relationships/printerSettings" Target="../printerSettings/printerSettings1.bin"/><Relationship Id="rId7" Type="http://schemas.openxmlformats.org/officeDocument/2006/relationships/hyperlink" Target="https://www.mazda.com.au/imagination-drives-us/safety-adaptive-led-headlamps/" TargetMode="External"/><Relationship Id="rId12" Type="http://schemas.openxmlformats.org/officeDocument/2006/relationships/hyperlink" Target="https://www.youtube.com/watch?v=hmeRELCnQXA" TargetMode="External"/><Relationship Id="rId17" Type="http://schemas.openxmlformats.org/officeDocument/2006/relationships/hyperlink" Target="https://www.youtube.com/watch?v=wMl6QJhMtUY" TargetMode="External"/><Relationship Id="rId25" Type="http://schemas.openxmlformats.org/officeDocument/2006/relationships/hyperlink" Target="https://www.youtube.com/watch?v=zVCBr49Lvko" TargetMode="External"/><Relationship Id="rId33" Type="http://schemas.openxmlformats.org/officeDocument/2006/relationships/hyperlink" Target="https://www.youtube.com/watch?v=mLKTJYArEjQ" TargetMode="External"/><Relationship Id="rId2" Type="http://schemas.openxmlformats.org/officeDocument/2006/relationships/hyperlink" Target="https://www.youtube.com/watch?v=z0g5e1zARcI" TargetMode="External"/><Relationship Id="rId16" Type="http://schemas.openxmlformats.org/officeDocument/2006/relationships/hyperlink" Target="https://www.youtube.com/watch?v=wMl6QJhMtUY" TargetMode="External"/><Relationship Id="rId20" Type="http://schemas.openxmlformats.org/officeDocument/2006/relationships/hyperlink" Target="https://www.youtube.com/watch?v=fr6DY2TeihA" TargetMode="External"/><Relationship Id="rId29" Type="http://schemas.openxmlformats.org/officeDocument/2006/relationships/hyperlink" Target="https://www.youtube.com/watch?v=mTMb1JyyT1w" TargetMode="External"/><Relationship Id="rId1" Type="http://schemas.openxmlformats.org/officeDocument/2006/relationships/hyperlink" Target="https://www.mazda.com.au/imagination-drives-us/safety-blind-spot-monitoring/" TargetMode="External"/><Relationship Id="rId6" Type="http://schemas.openxmlformats.org/officeDocument/2006/relationships/hyperlink" Target="https://www.mazda.com.au/imagination-drives-us/safety-driver-attention-alert/" TargetMode="External"/><Relationship Id="rId11" Type="http://schemas.openxmlformats.org/officeDocument/2006/relationships/hyperlink" Target="https://www.youtube.com/watch?v=6WjfRxtIMzo" TargetMode="External"/><Relationship Id="rId24" Type="http://schemas.openxmlformats.org/officeDocument/2006/relationships/hyperlink" Target="https://www.youtube.com/watch?v=CU87-_iZBYo" TargetMode="External"/><Relationship Id="rId32" Type="http://schemas.openxmlformats.org/officeDocument/2006/relationships/hyperlink" Target="https://www.youtube.com/watch?v=dYmw6Wju8qU" TargetMode="External"/><Relationship Id="rId5" Type="http://schemas.openxmlformats.org/officeDocument/2006/relationships/hyperlink" Target="https://www.mazda.com.au/imagination-drives-us/safety-smart-city-brake-support-reverse/" TargetMode="External"/><Relationship Id="rId15" Type="http://schemas.openxmlformats.org/officeDocument/2006/relationships/hyperlink" Target="https://www.youtube.com/watch?v=ru4JIZ-x8yo" TargetMode="External"/><Relationship Id="rId23" Type="http://schemas.openxmlformats.org/officeDocument/2006/relationships/hyperlink" Target="https://www.youtube.com/watch?v=8a149gmhmEQ" TargetMode="External"/><Relationship Id="rId28" Type="http://schemas.openxmlformats.org/officeDocument/2006/relationships/hyperlink" Target="https://www.youtube.com/watch?v=_Etjl7d7V28" TargetMode="External"/><Relationship Id="rId36" Type="http://schemas.openxmlformats.org/officeDocument/2006/relationships/comments" Target="../comments1.xml"/><Relationship Id="rId10" Type="http://schemas.openxmlformats.org/officeDocument/2006/relationships/hyperlink" Target="https://www.youtube.com/watch?v=ZcrA51GPMCQ" TargetMode="External"/><Relationship Id="rId19" Type="http://schemas.openxmlformats.org/officeDocument/2006/relationships/hyperlink" Target="https://www.youtube.com/watch?v=WKlqeyN_7z0" TargetMode="External"/><Relationship Id="rId31" Type="http://schemas.openxmlformats.org/officeDocument/2006/relationships/hyperlink" Target="https://www.youtube.com/watch?v=WhfVlLg3360" TargetMode="External"/><Relationship Id="rId4" Type="http://schemas.openxmlformats.org/officeDocument/2006/relationships/hyperlink" Target="https://www.mazda.com.au/imagination-drives-us/safety-smart-city-brake-support/" TargetMode="External"/><Relationship Id="rId9" Type="http://schemas.openxmlformats.org/officeDocument/2006/relationships/hyperlink" Target="https://www.mazda.com.au/imagination-drives-us/safety-mazda-radar-cruise-control/" TargetMode="External"/><Relationship Id="rId14" Type="http://schemas.openxmlformats.org/officeDocument/2006/relationships/hyperlink" Target="https://www.youtube.com/watch?v=VvNP2d6MDQM" TargetMode="External"/><Relationship Id="rId22" Type="http://schemas.openxmlformats.org/officeDocument/2006/relationships/hyperlink" Target="https://www.youtube.com/watch?v=Lj1GA_z_LMs" TargetMode="External"/><Relationship Id="rId27" Type="http://schemas.openxmlformats.org/officeDocument/2006/relationships/hyperlink" Target="https://www.youtube.com/watch?v=1TmhXd0LrdI" TargetMode="External"/><Relationship Id="rId30" Type="http://schemas.openxmlformats.org/officeDocument/2006/relationships/hyperlink" Target="https://youtu.be/gGjq4dURlXg?t=104" TargetMode="External"/><Relationship Id="rId35" Type="http://schemas.openxmlformats.org/officeDocument/2006/relationships/vmlDrawing" Target="../drawings/vmlDrawing1.vml"/><Relationship Id="rId8" Type="http://schemas.openxmlformats.org/officeDocument/2006/relationships/hyperlink" Target="https://www.mazda.com.au/imagination-drives-us/safety-lane-keep-assist-system/"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youtu.be/Oa3dBAFlRe0" TargetMode="External"/><Relationship Id="rId7" Type="http://schemas.openxmlformats.org/officeDocument/2006/relationships/printerSettings" Target="../printerSettings/printerSettings2.bin"/><Relationship Id="rId2" Type="http://schemas.openxmlformats.org/officeDocument/2006/relationships/hyperlink" Target="https://youtu.be/ZWF34TXEvC4" TargetMode="External"/><Relationship Id="rId1" Type="http://schemas.openxmlformats.org/officeDocument/2006/relationships/hyperlink" Target="https://youtu.be/-XTt8_HxUJY" TargetMode="External"/><Relationship Id="rId6" Type="http://schemas.openxmlformats.org/officeDocument/2006/relationships/hyperlink" Target="mailto:sergslim@gmail.com" TargetMode="External"/><Relationship Id="rId5" Type="http://schemas.openxmlformats.org/officeDocument/2006/relationships/hyperlink" Target="https://youtu.be/hHsMJp-P_ss" TargetMode="External"/><Relationship Id="rId4" Type="http://schemas.openxmlformats.org/officeDocument/2006/relationships/hyperlink" Target="https://youtu.be/N9si40XZbcg"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mazda3revolution.com/threads/change-configuration-explore-different-functions-asbuilt.169393/"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www.mazda3revolution.com/threads/change-configuration-explore-different-functions-asbuilt.169393/" TargetMode="Externa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5.bin"/><Relationship Id="rId1" Type="http://schemas.openxmlformats.org/officeDocument/2006/relationships/hyperlink" Target="https://www.mazda3revolution.com/threads/change-configuration-explore-different-functions-asbuilt.169393/" TargetMode="Externa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6.bin"/><Relationship Id="rId1" Type="http://schemas.openxmlformats.org/officeDocument/2006/relationships/hyperlink" Target="https://www.mazda3revolution.com/threads/change-configuration-explore-different-functions-asbuilt.169393/" TargetMode="Externa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7.bin"/><Relationship Id="rId1" Type="http://schemas.openxmlformats.org/officeDocument/2006/relationships/hyperlink" Target="https://www.mazda3revolution.com/threads/change-configuration-explore-different-functions-asbuilt.169393/" TargetMode="External"/><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8.bin"/><Relationship Id="rId1" Type="http://schemas.openxmlformats.org/officeDocument/2006/relationships/hyperlink" Target="https://www.mazda3revolution.com/threads/change-configuration-explore-different-functions-asbuilt.169393/" TargetMode="Externa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9.bin"/><Relationship Id="rId1" Type="http://schemas.openxmlformats.org/officeDocument/2006/relationships/hyperlink" Target="https://www.mazda3revolution.com/threads/change-configuration-explore-different-functions-asbuilt.169393/" TargetMode="External"/><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10.bin"/><Relationship Id="rId1" Type="http://schemas.openxmlformats.org/officeDocument/2006/relationships/hyperlink" Target="https://www.mazda3revolution.com/threads/change-configuration-explore-different-functions-asbuilt.169393/" TargetMode="External"/><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8" Type="http://schemas.openxmlformats.org/officeDocument/2006/relationships/comments" Target="../comments9.xml"/><Relationship Id="rId3" Type="http://schemas.openxmlformats.org/officeDocument/2006/relationships/hyperlink" Target="https://www.motorcraftservice.com/AsBuilt/" TargetMode="External"/><Relationship Id="rId7" Type="http://schemas.openxmlformats.org/officeDocument/2006/relationships/vmlDrawing" Target="../drawings/vmlDrawing9.vml"/><Relationship Id="rId2" Type="http://schemas.openxmlformats.org/officeDocument/2006/relationships/hyperlink" Target="https://www.mazda3revolution.com/members/nikodim.292537/" TargetMode="External"/><Relationship Id="rId1" Type="http://schemas.openxmlformats.org/officeDocument/2006/relationships/hyperlink" Target="https://www6.b2b.mazda.co.jp/AsBuilt/AsBuiltSearchPage.aspx" TargetMode="External"/><Relationship Id="rId6" Type="http://schemas.openxmlformats.org/officeDocument/2006/relationships/printerSettings" Target="../printerSettings/printerSettings11.bin"/><Relationship Id="rId5" Type="http://schemas.openxmlformats.org/officeDocument/2006/relationships/hyperlink" Target="https://www.motorcraftservice.com/AsBuilt/" TargetMode="External"/><Relationship Id="rId4" Type="http://schemas.openxmlformats.org/officeDocument/2006/relationships/hyperlink" Target="https://www6.b2b.mazda.co.jp/AsBuilt/AsBuiltSearchPage.aspx" TargetMode="Externa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12.bin"/><Relationship Id="rId1" Type="http://schemas.openxmlformats.org/officeDocument/2006/relationships/hyperlink" Target="http://tiny.cc/MazdaAsBuiltEdito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6"/>
  <sheetViews>
    <sheetView workbookViewId="0">
      <pane xSplit="1" topLeftCell="B1" activePane="topRight" state="frozen"/>
      <selection pane="topRight" activeCell="I14" sqref="I14"/>
    </sheetView>
  </sheetViews>
  <sheetFormatPr defaultColWidth="0" defaultRowHeight="14.4" zeroHeight="1" x14ac:dyDescent="0.3"/>
  <cols>
    <col min="1" max="1" width="39.44140625" customWidth="1"/>
    <col min="2" max="2" width="17.88671875" style="61" customWidth="1"/>
    <col min="3" max="3" width="19.88671875" style="61" bestFit="1" customWidth="1"/>
    <col min="4" max="4" width="12.5546875" style="61" bestFit="1" customWidth="1"/>
    <col min="5" max="5" width="14.44140625" style="61" bestFit="1" customWidth="1"/>
    <col min="6" max="6" width="12.5546875" style="61" bestFit="1" customWidth="1"/>
    <col min="7" max="7" width="13.109375" style="61" bestFit="1" customWidth="1"/>
    <col min="8" max="8" width="12.88671875" style="61" bestFit="1" customWidth="1"/>
    <col min="9" max="9" width="15" style="61" customWidth="1"/>
    <col min="10" max="10" width="13.109375" style="61" bestFit="1" customWidth="1"/>
    <col min="11" max="11" width="14.5546875" style="61" customWidth="1"/>
    <col min="12" max="12" width="17.44140625" style="61" bestFit="1" customWidth="1"/>
    <col min="13" max="13" width="17.44140625" style="61" customWidth="1"/>
    <col min="14" max="16" width="17.33203125" style="61" customWidth="1"/>
    <col min="17" max="17" width="12" customWidth="1"/>
    <col min="18" max="18" width="12.109375" customWidth="1"/>
    <col min="19" max="19" width="9.109375" customWidth="1"/>
    <col min="20" max="20" width="0" hidden="1" customWidth="1"/>
    <col min="21" max="16384" width="9.109375" hidden="1"/>
  </cols>
  <sheetData>
    <row r="1" spans="1:18" x14ac:dyDescent="0.3">
      <c r="A1" s="375" t="s">
        <v>0</v>
      </c>
      <c r="B1" s="378" t="s">
        <v>1</v>
      </c>
      <c r="C1" s="379"/>
      <c r="D1" s="379"/>
      <c r="E1" s="379"/>
      <c r="F1" s="379"/>
      <c r="G1" s="379"/>
      <c r="H1" s="379"/>
      <c r="I1" s="379"/>
      <c r="J1" s="379"/>
      <c r="K1" s="379"/>
      <c r="L1" s="379"/>
      <c r="M1" s="379"/>
      <c r="N1" s="379"/>
      <c r="O1" s="379"/>
      <c r="P1" s="379"/>
      <c r="Q1" s="379"/>
      <c r="R1" s="380"/>
    </row>
    <row r="2" spans="1:18" ht="46.5" customHeight="1" thickBot="1" x14ac:dyDescent="0.35">
      <c r="A2" s="376"/>
      <c r="B2" s="61" t="s">
        <v>2</v>
      </c>
      <c r="C2" s="61" t="s">
        <v>3</v>
      </c>
      <c r="D2" s="61" t="s">
        <v>4</v>
      </c>
      <c r="E2" s="61" t="s">
        <v>5</v>
      </c>
      <c r="F2" s="61" t="s">
        <v>6</v>
      </c>
      <c r="G2" s="61" t="s">
        <v>7</v>
      </c>
      <c r="H2" s="61" t="s">
        <v>8</v>
      </c>
      <c r="I2" s="61" t="s">
        <v>10</v>
      </c>
      <c r="J2" s="61" t="s">
        <v>11</v>
      </c>
      <c r="K2" s="61" t="s">
        <v>12</v>
      </c>
      <c r="L2" s="61" t="s">
        <v>13</v>
      </c>
      <c r="M2" s="61" t="s">
        <v>328</v>
      </c>
      <c r="N2" s="61" t="s">
        <v>14</v>
      </c>
      <c r="O2" s="61" t="s">
        <v>15</v>
      </c>
      <c r="P2" s="61" t="s">
        <v>9</v>
      </c>
      <c r="Q2" s="61" t="s">
        <v>16</v>
      </c>
      <c r="R2" s="73" t="s">
        <v>17</v>
      </c>
    </row>
    <row r="3" spans="1:18" x14ac:dyDescent="0.3">
      <c r="A3" s="56" t="s">
        <v>440</v>
      </c>
      <c r="B3" s="74" t="s">
        <v>18</v>
      </c>
      <c r="C3" s="75" t="s">
        <v>18</v>
      </c>
      <c r="D3" s="75" t="s">
        <v>19</v>
      </c>
      <c r="E3" s="75" t="s">
        <v>19</v>
      </c>
      <c r="F3" s="75" t="s">
        <v>19</v>
      </c>
      <c r="G3" s="75" t="s">
        <v>19</v>
      </c>
      <c r="H3" s="75" t="s">
        <v>19</v>
      </c>
      <c r="I3" s="75" t="s">
        <v>19</v>
      </c>
      <c r="J3" s="75" t="s">
        <v>18</v>
      </c>
      <c r="K3" s="75" t="s">
        <v>18</v>
      </c>
      <c r="L3" s="75" t="s">
        <v>19</v>
      </c>
      <c r="M3" s="75" t="s">
        <v>19</v>
      </c>
      <c r="N3" s="75" t="s">
        <v>19</v>
      </c>
      <c r="O3" s="75" t="s">
        <v>19</v>
      </c>
      <c r="P3" s="75" t="s">
        <v>19</v>
      </c>
      <c r="Q3" s="75" t="s">
        <v>19</v>
      </c>
      <c r="R3" s="80" t="s">
        <v>19</v>
      </c>
    </row>
    <row r="4" spans="1:18" ht="15" customHeight="1" x14ac:dyDescent="0.3">
      <c r="A4" s="56" t="s">
        <v>1711</v>
      </c>
      <c r="B4" s="57" t="s">
        <v>18</v>
      </c>
      <c r="C4" s="57" t="s">
        <v>18</v>
      </c>
      <c r="D4" s="57" t="s">
        <v>19</v>
      </c>
      <c r="E4" s="57" t="s">
        <v>19</v>
      </c>
      <c r="F4" s="57" t="s">
        <v>19</v>
      </c>
      <c r="G4" s="57" t="s">
        <v>19</v>
      </c>
      <c r="H4" s="57" t="s">
        <v>19</v>
      </c>
      <c r="I4" s="57" t="s">
        <v>19</v>
      </c>
      <c r="J4" s="57" t="s">
        <v>18</v>
      </c>
      <c r="K4" s="57" t="s">
        <v>18</v>
      </c>
      <c r="L4" s="57" t="s">
        <v>19</v>
      </c>
      <c r="M4" s="57" t="s">
        <v>19</v>
      </c>
      <c r="N4" s="57" t="s">
        <v>19</v>
      </c>
      <c r="O4" s="57" t="s">
        <v>19</v>
      </c>
      <c r="P4" s="57" t="s">
        <v>19</v>
      </c>
      <c r="Q4" s="57" t="s">
        <v>19</v>
      </c>
      <c r="R4" s="81" t="s">
        <v>19</v>
      </c>
    </row>
    <row r="5" spans="1:18" x14ac:dyDescent="0.3">
      <c r="A5" s="56" t="s">
        <v>441</v>
      </c>
      <c r="B5" s="57" t="s">
        <v>18</v>
      </c>
      <c r="C5" s="57" t="s">
        <v>19</v>
      </c>
      <c r="D5" s="57" t="s">
        <v>19</v>
      </c>
      <c r="E5" s="57" t="s">
        <v>19</v>
      </c>
      <c r="F5" s="57" t="s">
        <v>19</v>
      </c>
      <c r="G5" s="57" t="s">
        <v>19</v>
      </c>
      <c r="H5" s="57" t="s">
        <v>19</v>
      </c>
      <c r="I5" s="57" t="s">
        <v>19</v>
      </c>
      <c r="J5" s="57" t="s">
        <v>19</v>
      </c>
      <c r="K5" s="57" t="s">
        <v>19</v>
      </c>
      <c r="L5" s="57" t="s">
        <v>19</v>
      </c>
      <c r="M5" s="57" t="s">
        <v>19</v>
      </c>
      <c r="N5" s="57" t="s">
        <v>19</v>
      </c>
      <c r="O5" s="57" t="s">
        <v>19</v>
      </c>
      <c r="P5" s="57" t="s">
        <v>19</v>
      </c>
      <c r="Q5" s="57" t="s">
        <v>19</v>
      </c>
      <c r="R5" s="81" t="s">
        <v>19</v>
      </c>
    </row>
    <row r="6" spans="1:18" x14ac:dyDescent="0.3">
      <c r="A6" s="367" t="s">
        <v>326</v>
      </c>
      <c r="B6" s="76" t="s">
        <v>19</v>
      </c>
      <c r="C6" s="57" t="s">
        <v>19</v>
      </c>
      <c r="D6" s="57" t="s">
        <v>18</v>
      </c>
      <c r="E6" s="57" t="s">
        <v>18</v>
      </c>
      <c r="F6" s="57" t="s">
        <v>18</v>
      </c>
      <c r="G6" s="57" t="s">
        <v>18</v>
      </c>
      <c r="H6" s="57" t="s">
        <v>19</v>
      </c>
      <c r="I6" s="57" t="s">
        <v>18</v>
      </c>
      <c r="J6" s="57" t="s">
        <v>19</v>
      </c>
      <c r="K6" s="57" t="s">
        <v>19</v>
      </c>
      <c r="L6" s="57" t="s">
        <v>19</v>
      </c>
      <c r="M6" s="57" t="s">
        <v>19</v>
      </c>
      <c r="N6" s="57" t="s">
        <v>19</v>
      </c>
      <c r="O6" s="57" t="s">
        <v>19</v>
      </c>
      <c r="P6" s="57" t="s">
        <v>19</v>
      </c>
      <c r="Q6" s="57" t="s">
        <v>19</v>
      </c>
      <c r="R6" s="81" t="s">
        <v>19</v>
      </c>
    </row>
    <row r="7" spans="1:18" ht="15" customHeight="1" x14ac:dyDescent="0.3">
      <c r="A7" s="367" t="s">
        <v>1786</v>
      </c>
      <c r="B7" s="76" t="s">
        <v>18</v>
      </c>
      <c r="C7" s="57" t="s">
        <v>18</v>
      </c>
      <c r="D7" s="57" t="s">
        <v>18</v>
      </c>
      <c r="E7" s="57" t="s">
        <v>18</v>
      </c>
      <c r="F7" s="57" t="s">
        <v>18</v>
      </c>
      <c r="G7" s="57" t="s">
        <v>18</v>
      </c>
      <c r="H7" s="57" t="s">
        <v>19</v>
      </c>
      <c r="I7" s="57" t="s">
        <v>18</v>
      </c>
      <c r="J7" s="57" t="s">
        <v>18</v>
      </c>
      <c r="K7" s="57" t="s">
        <v>18</v>
      </c>
      <c r="L7" s="57" t="s">
        <v>19</v>
      </c>
      <c r="M7" s="57" t="s">
        <v>19</v>
      </c>
      <c r="N7" s="57" t="s">
        <v>19</v>
      </c>
      <c r="O7" s="57" t="s">
        <v>19</v>
      </c>
      <c r="P7" s="57" t="s">
        <v>19</v>
      </c>
      <c r="Q7" s="57" t="s">
        <v>19</v>
      </c>
      <c r="R7" s="81" t="s">
        <v>19</v>
      </c>
    </row>
    <row r="8" spans="1:18" x14ac:dyDescent="0.3">
      <c r="A8" s="56" t="s">
        <v>327</v>
      </c>
      <c r="B8" s="76" t="s">
        <v>19</v>
      </c>
      <c r="C8" s="57" t="s">
        <v>19</v>
      </c>
      <c r="D8" s="57" t="s">
        <v>18</v>
      </c>
      <c r="E8" s="57" t="s">
        <v>18</v>
      </c>
      <c r="F8" s="57" t="s">
        <v>18</v>
      </c>
      <c r="G8" s="57" t="s">
        <v>18</v>
      </c>
      <c r="H8" s="57" t="s">
        <v>19</v>
      </c>
      <c r="I8" s="57" t="s">
        <v>18</v>
      </c>
      <c r="J8" s="105" t="s">
        <v>20</v>
      </c>
      <c r="K8" s="78" t="s">
        <v>20</v>
      </c>
      <c r="L8" s="57" t="s">
        <v>19</v>
      </c>
      <c r="M8" s="57" t="s">
        <v>18</v>
      </c>
      <c r="N8" s="57" t="s">
        <v>20</v>
      </c>
      <c r="O8" s="57" t="s">
        <v>19</v>
      </c>
      <c r="P8" s="57" t="s">
        <v>19</v>
      </c>
      <c r="Q8" s="57" t="s">
        <v>19</v>
      </c>
      <c r="R8" s="58" t="s">
        <v>18</v>
      </c>
    </row>
    <row r="9" spans="1:18" x14ac:dyDescent="0.3">
      <c r="A9" s="56" t="s">
        <v>1787</v>
      </c>
      <c r="B9" s="76" t="s">
        <v>19</v>
      </c>
      <c r="C9" s="57" t="s">
        <v>19</v>
      </c>
      <c r="D9" s="57" t="s">
        <v>18</v>
      </c>
      <c r="E9" s="57" t="s">
        <v>19</v>
      </c>
      <c r="F9" s="57" t="s">
        <v>19</v>
      </c>
      <c r="G9" s="57" t="s">
        <v>19</v>
      </c>
      <c r="H9" s="57" t="s">
        <v>19</v>
      </c>
      <c r="I9" s="57" t="s">
        <v>19</v>
      </c>
      <c r="J9" s="57" t="s">
        <v>19</v>
      </c>
      <c r="K9" s="57" t="s">
        <v>19</v>
      </c>
      <c r="L9" s="57" t="s">
        <v>19</v>
      </c>
      <c r="M9" s="57" t="s">
        <v>19</v>
      </c>
      <c r="N9" s="57" t="s">
        <v>19</v>
      </c>
      <c r="O9" s="57" t="s">
        <v>19</v>
      </c>
      <c r="P9" s="57" t="s">
        <v>19</v>
      </c>
      <c r="Q9" s="57" t="s">
        <v>19</v>
      </c>
      <c r="R9" s="81" t="s">
        <v>19</v>
      </c>
    </row>
    <row r="10" spans="1:18" x14ac:dyDescent="0.3">
      <c r="A10" s="56" t="s">
        <v>21</v>
      </c>
      <c r="B10" s="76" t="s">
        <v>19</v>
      </c>
      <c r="C10" s="57" t="s">
        <v>19</v>
      </c>
      <c r="D10" s="57" t="s">
        <v>19</v>
      </c>
      <c r="E10" s="57" t="s">
        <v>19</v>
      </c>
      <c r="F10" s="57" t="s">
        <v>18</v>
      </c>
      <c r="G10" s="57" t="s">
        <v>19</v>
      </c>
      <c r="H10" s="57" t="s">
        <v>19</v>
      </c>
      <c r="I10" s="57" t="s">
        <v>19</v>
      </c>
      <c r="J10" s="57" t="s">
        <v>19</v>
      </c>
      <c r="K10" s="57" t="s">
        <v>19</v>
      </c>
      <c r="L10" s="57" t="s">
        <v>19</v>
      </c>
      <c r="M10" s="57" t="s">
        <v>19</v>
      </c>
      <c r="N10" s="57" t="s">
        <v>19</v>
      </c>
      <c r="O10" s="57" t="s">
        <v>19</v>
      </c>
      <c r="P10" s="57" t="s">
        <v>19</v>
      </c>
      <c r="Q10" s="57" t="s">
        <v>19</v>
      </c>
      <c r="R10" s="81" t="s">
        <v>19</v>
      </c>
    </row>
    <row r="11" spans="1:18" ht="28.8" x14ac:dyDescent="0.3">
      <c r="A11" s="56" t="s">
        <v>438</v>
      </c>
      <c r="B11" s="76" t="s">
        <v>19</v>
      </c>
      <c r="C11" s="57" t="s">
        <v>19</v>
      </c>
      <c r="D11" s="57" t="s">
        <v>19</v>
      </c>
      <c r="E11" s="57" t="s">
        <v>19</v>
      </c>
      <c r="F11" s="57" t="s">
        <v>19</v>
      </c>
      <c r="G11" s="57" t="s">
        <v>19</v>
      </c>
      <c r="H11" s="57" t="s">
        <v>18</v>
      </c>
      <c r="I11" s="57" t="s">
        <v>19</v>
      </c>
      <c r="J11" s="57" t="s">
        <v>19</v>
      </c>
      <c r="K11" s="57" t="s">
        <v>19</v>
      </c>
      <c r="L11" s="57" t="s">
        <v>19</v>
      </c>
      <c r="M11" s="57" t="s">
        <v>19</v>
      </c>
      <c r="N11" s="57" t="s">
        <v>19</v>
      </c>
      <c r="O11" s="57" t="s">
        <v>19</v>
      </c>
      <c r="P11" s="57" t="s">
        <v>19</v>
      </c>
      <c r="Q11" s="57" t="s">
        <v>19</v>
      </c>
      <c r="R11" s="81" t="s">
        <v>19</v>
      </c>
    </row>
    <row r="12" spans="1:18" x14ac:dyDescent="0.3">
      <c r="A12" s="56" t="s">
        <v>439</v>
      </c>
      <c r="B12" s="76" t="s">
        <v>19</v>
      </c>
      <c r="C12" s="57" t="s">
        <v>19</v>
      </c>
      <c r="D12" s="57" t="s">
        <v>19</v>
      </c>
      <c r="E12" s="57" t="s">
        <v>19</v>
      </c>
      <c r="F12" s="57" t="s">
        <v>19</v>
      </c>
      <c r="G12" s="57" t="s">
        <v>19</v>
      </c>
      <c r="H12" s="57" t="s">
        <v>18</v>
      </c>
      <c r="I12" s="57" t="s">
        <v>19</v>
      </c>
      <c r="J12" s="57" t="s">
        <v>19</v>
      </c>
      <c r="K12" s="57" t="s">
        <v>19</v>
      </c>
      <c r="L12" s="57" t="s">
        <v>18</v>
      </c>
      <c r="M12" s="57" t="s">
        <v>18</v>
      </c>
      <c r="N12" s="57" t="s">
        <v>19</v>
      </c>
      <c r="O12" s="57" t="s">
        <v>19</v>
      </c>
      <c r="P12" s="57" t="s">
        <v>19</v>
      </c>
      <c r="Q12" s="57" t="s">
        <v>19</v>
      </c>
      <c r="R12" s="81" t="s">
        <v>19</v>
      </c>
    </row>
    <row r="13" spans="1:18" ht="28.8" x14ac:dyDescent="0.3">
      <c r="A13" s="56" t="s">
        <v>442</v>
      </c>
      <c r="B13" s="76" t="s">
        <v>19</v>
      </c>
      <c r="C13" s="57" t="s">
        <v>19</v>
      </c>
      <c r="D13" s="57" t="s">
        <v>19</v>
      </c>
      <c r="E13" s="57" t="s">
        <v>19</v>
      </c>
      <c r="F13" s="57" t="s">
        <v>19</v>
      </c>
      <c r="G13" s="57" t="s">
        <v>19</v>
      </c>
      <c r="H13" s="57" t="s">
        <v>19</v>
      </c>
      <c r="I13" s="57" t="s">
        <v>19</v>
      </c>
      <c r="J13" s="57" t="s">
        <v>19</v>
      </c>
      <c r="K13" s="57" t="s">
        <v>19</v>
      </c>
      <c r="L13" s="57" t="s">
        <v>19</v>
      </c>
      <c r="M13" s="57" t="s">
        <v>19</v>
      </c>
      <c r="N13" s="57" t="s">
        <v>19</v>
      </c>
      <c r="O13" s="57" t="s">
        <v>18</v>
      </c>
      <c r="P13" s="57" t="s">
        <v>18</v>
      </c>
      <c r="Q13" s="57" t="s">
        <v>18</v>
      </c>
      <c r="R13" s="81" t="s">
        <v>19</v>
      </c>
    </row>
    <row r="14" spans="1:18" x14ac:dyDescent="0.3">
      <c r="A14" s="56" t="s">
        <v>22</v>
      </c>
      <c r="B14" s="76" t="s">
        <v>19</v>
      </c>
      <c r="C14" s="57" t="s">
        <v>19</v>
      </c>
      <c r="D14" s="57" t="s">
        <v>19</v>
      </c>
      <c r="E14" s="57" t="s">
        <v>19</v>
      </c>
      <c r="F14" s="57" t="s">
        <v>19</v>
      </c>
      <c r="G14" s="57" t="s">
        <v>19</v>
      </c>
      <c r="H14" s="57" t="s">
        <v>19</v>
      </c>
      <c r="I14" s="57" t="s">
        <v>18</v>
      </c>
      <c r="J14" s="57" t="s">
        <v>19</v>
      </c>
      <c r="K14" s="57" t="s">
        <v>19</v>
      </c>
      <c r="L14" s="57" t="s">
        <v>19</v>
      </c>
      <c r="M14" s="57" t="s">
        <v>19</v>
      </c>
      <c r="N14" s="57" t="s">
        <v>18</v>
      </c>
      <c r="O14" s="57" t="s">
        <v>19</v>
      </c>
      <c r="P14" s="57" t="s">
        <v>19</v>
      </c>
      <c r="Q14" s="57" t="s">
        <v>19</v>
      </c>
      <c r="R14" s="81" t="s">
        <v>19</v>
      </c>
    </row>
    <row r="15" spans="1:18" ht="15" thickBot="1" x14ac:dyDescent="0.35">
      <c r="A15" s="59" t="s">
        <v>444</v>
      </c>
      <c r="B15" s="77" t="s">
        <v>19</v>
      </c>
      <c r="C15" s="60" t="s">
        <v>19</v>
      </c>
      <c r="D15" s="60" t="s">
        <v>19</v>
      </c>
      <c r="E15" s="60" t="s">
        <v>19</v>
      </c>
      <c r="F15" s="60" t="s">
        <v>19</v>
      </c>
      <c r="G15" s="60" t="s">
        <v>19</v>
      </c>
      <c r="H15" s="60" t="s">
        <v>19</v>
      </c>
      <c r="I15" s="60" t="s">
        <v>19</v>
      </c>
      <c r="J15" s="106" t="s">
        <v>20</v>
      </c>
      <c r="K15" s="79" t="s">
        <v>20</v>
      </c>
      <c r="L15" s="60" t="s">
        <v>18</v>
      </c>
      <c r="M15" s="60" t="s">
        <v>19</v>
      </c>
      <c r="N15" s="60" t="s">
        <v>20</v>
      </c>
      <c r="O15" s="60" t="s">
        <v>19</v>
      </c>
      <c r="P15" s="60" t="s">
        <v>19</v>
      </c>
      <c r="Q15" s="60" t="s">
        <v>19</v>
      </c>
      <c r="R15" s="82" t="s">
        <v>19</v>
      </c>
    </row>
    <row r="16" spans="1:18" x14ac:dyDescent="0.3">
      <c r="A16" s="69"/>
      <c r="B16" s="98" t="s">
        <v>23</v>
      </c>
      <c r="C16" s="362" t="s">
        <v>1771</v>
      </c>
      <c r="D16" s="377" t="s">
        <v>24</v>
      </c>
      <c r="E16" s="377"/>
      <c r="F16" s="98" t="s">
        <v>25</v>
      </c>
      <c r="G16" s="98" t="s">
        <v>25</v>
      </c>
      <c r="H16" s="98" t="s">
        <v>25</v>
      </c>
      <c r="I16" s="98" t="s">
        <v>25</v>
      </c>
      <c r="J16" s="98" t="s">
        <v>25</v>
      </c>
      <c r="K16" s="72" t="s">
        <v>25</v>
      </c>
      <c r="L16" s="98" t="s">
        <v>24</v>
      </c>
      <c r="M16" s="103" t="s">
        <v>25</v>
      </c>
      <c r="N16" s="98" t="s">
        <v>25</v>
      </c>
      <c r="O16" s="362" t="s">
        <v>1771</v>
      </c>
      <c r="P16" s="98" t="s">
        <v>24</v>
      </c>
      <c r="Q16" s="63" t="s">
        <v>25</v>
      </c>
      <c r="R16" s="64" t="s">
        <v>25</v>
      </c>
    </row>
    <row r="17" spans="1:18" ht="15" thickBot="1" x14ac:dyDescent="0.35">
      <c r="A17" s="70"/>
      <c r="B17" s="65" t="s">
        <v>26</v>
      </c>
      <c r="C17" s="10"/>
      <c r="D17" s="10"/>
      <c r="E17" s="66" t="s">
        <v>26</v>
      </c>
      <c r="F17" s="67"/>
      <c r="G17" s="67"/>
      <c r="H17" s="67"/>
      <c r="I17" s="67"/>
      <c r="J17" s="67"/>
      <c r="K17" s="67"/>
      <c r="L17" s="68" t="s">
        <v>26</v>
      </c>
      <c r="M17" s="104" t="s">
        <v>329</v>
      </c>
      <c r="N17" s="67"/>
      <c r="O17" s="363" t="s">
        <v>1772</v>
      </c>
      <c r="P17" s="68" t="s">
        <v>26</v>
      </c>
      <c r="Q17" s="10"/>
      <c r="R17" s="11"/>
    </row>
    <row r="18" spans="1:18" x14ac:dyDescent="0.3">
      <c r="A18" s="56" t="s">
        <v>353</v>
      </c>
      <c r="B18"/>
      <c r="C18"/>
      <c r="D18"/>
    </row>
    <row r="19" spans="1:18" x14ac:dyDescent="0.3">
      <c r="A19" s="61" t="s">
        <v>27</v>
      </c>
    </row>
    <row r="20" spans="1:18" x14ac:dyDescent="0.3">
      <c r="A20" s="61" t="s">
        <v>28</v>
      </c>
    </row>
    <row r="21" spans="1:18" x14ac:dyDescent="0.3"/>
    <row r="22" spans="1:18" x14ac:dyDescent="0.3">
      <c r="A22" t="s">
        <v>35</v>
      </c>
      <c r="B22" s="62" t="s">
        <v>25</v>
      </c>
      <c r="C22" s="102"/>
      <c r="G22" s="71"/>
    </row>
    <row r="23" spans="1:18" x14ac:dyDescent="0.3">
      <c r="A23" t="s">
        <v>30</v>
      </c>
      <c r="C23" s="102"/>
    </row>
    <row r="24" spans="1:18" x14ac:dyDescent="0.3">
      <c r="A24" t="s">
        <v>1577</v>
      </c>
      <c r="B24" s="62" t="s">
        <v>25</v>
      </c>
      <c r="C24" s="102"/>
    </row>
    <row r="25" spans="1:18" x14ac:dyDescent="0.3">
      <c r="A25" t="s">
        <v>376</v>
      </c>
      <c r="B25" s="62" t="s">
        <v>25</v>
      </c>
      <c r="C25" s="102"/>
    </row>
    <row r="26" spans="1:18" x14ac:dyDescent="0.3">
      <c r="A26" t="s">
        <v>375</v>
      </c>
      <c r="B26"/>
      <c r="C26"/>
    </row>
    <row r="27" spans="1:18" x14ac:dyDescent="0.3">
      <c r="A27" t="s">
        <v>36</v>
      </c>
      <c r="B27" s="62" t="s">
        <v>25</v>
      </c>
      <c r="C27" s="102"/>
    </row>
    <row r="28" spans="1:18" x14ac:dyDescent="0.3">
      <c r="A28" t="s">
        <v>34</v>
      </c>
      <c r="B28" s="62" t="s">
        <v>25</v>
      </c>
      <c r="C28" s="102"/>
    </row>
    <row r="29" spans="1:18" x14ac:dyDescent="0.3">
      <c r="A29" t="s">
        <v>33</v>
      </c>
      <c r="B29" s="62" t="s">
        <v>25</v>
      </c>
      <c r="C29" s="102"/>
    </row>
    <row r="30" spans="1:18" x14ac:dyDescent="0.3">
      <c r="A30" t="s">
        <v>32</v>
      </c>
      <c r="B30" s="62" t="s">
        <v>25</v>
      </c>
      <c r="C30" s="102"/>
    </row>
    <row r="31" spans="1:18" x14ac:dyDescent="0.3">
      <c r="A31" t="s">
        <v>29</v>
      </c>
      <c r="B31" s="361" t="s">
        <v>25</v>
      </c>
      <c r="C31"/>
    </row>
    <row r="32" spans="1:18" x14ac:dyDescent="0.3">
      <c r="A32" t="s">
        <v>31</v>
      </c>
      <c r="B32" s="62" t="s">
        <v>25</v>
      </c>
    </row>
    <row r="33" spans="1:2" x14ac:dyDescent="0.3">
      <c r="A33" t="s">
        <v>1765</v>
      </c>
    </row>
    <row r="34" spans="1:2" x14ac:dyDescent="0.3">
      <c r="A34" t="s">
        <v>38</v>
      </c>
      <c r="B34" s="62" t="s">
        <v>25</v>
      </c>
    </row>
    <row r="35" spans="1:2" x14ac:dyDescent="0.3">
      <c r="A35" t="s">
        <v>37</v>
      </c>
      <c r="B35" s="62" t="s">
        <v>25</v>
      </c>
    </row>
    <row r="36" spans="1:2" x14ac:dyDescent="0.3"/>
  </sheetData>
  <sortState xmlns:xlrd2="http://schemas.microsoft.com/office/spreadsheetml/2017/richdata2" ref="A22:B35">
    <sortCondition ref="A22:A35"/>
  </sortState>
  <mergeCells count="3">
    <mergeCell ref="A1:A2"/>
    <mergeCell ref="D16:E16"/>
    <mergeCell ref="B1:R1"/>
  </mergeCells>
  <hyperlinks>
    <hyperlink ref="P16" r:id="rId1" display="Video" xr:uid="{00000000-0004-0000-0000-000015000000}"/>
    <hyperlink ref="Q16" r:id="rId2" xr:uid="{00000000-0004-0000-0000-000016000000}"/>
    <hyperlink ref="R16" r:id="rId3" xr:uid="{00000000-0004-0000-0000-000017000000}"/>
    <hyperlink ref="L16" r:id="rId4" display="Video" xr:uid="{00000000-0004-0000-0000-000018000000}"/>
    <hyperlink ref="N16" r:id="rId5" xr:uid="{00000000-0004-0000-0000-000019000000}"/>
    <hyperlink ref="I16" r:id="rId6" xr:uid="{00000000-0004-0000-0000-00001A000000}"/>
    <hyperlink ref="F16" r:id="rId7" xr:uid="{00000000-0004-0000-0000-00001B000000}"/>
    <hyperlink ref="D16:E16" r:id="rId8" display="Video" xr:uid="{00000000-0004-0000-0000-00001C000000}"/>
    <hyperlink ref="B16" r:id="rId9" display="Video" xr:uid="{00000000-0004-0000-0000-00001D000000}"/>
    <hyperlink ref="B35" r:id="rId10" xr:uid="{00000000-0004-0000-0000-00001E000000}"/>
    <hyperlink ref="B34" r:id="rId11" xr:uid="{00000000-0004-0000-0000-00001F000000}"/>
    <hyperlink ref="B29" r:id="rId12" xr:uid="{00000000-0004-0000-0000-000020000000}"/>
    <hyperlink ref="B28" r:id="rId13" xr:uid="{00000000-0004-0000-0000-000021000000}"/>
    <hyperlink ref="B27" r:id="rId14" xr:uid="{00000000-0004-0000-0000-000022000000}"/>
    <hyperlink ref="B22" r:id="rId15" xr:uid="{00000000-0004-0000-0000-000023000000}"/>
    <hyperlink ref="J16" r:id="rId16" xr:uid="{00000000-0004-0000-0000-000024000000}"/>
    <hyperlink ref="K16" r:id="rId17" xr:uid="{00000000-0004-0000-0000-000025000000}"/>
    <hyperlink ref="H16" r:id="rId18" xr:uid="{00000000-0004-0000-0000-000026000000}"/>
    <hyperlink ref="G16" r:id="rId19" xr:uid="{00000000-0004-0000-0000-000027000000}"/>
    <hyperlink ref="L17" r:id="rId20" display="Video" xr:uid="{00000000-0004-0000-0000-000028000000}"/>
    <hyperlink ref="P17" r:id="rId21" display="Video 2" xr:uid="{00000000-0004-0000-0000-000029000000}"/>
    <hyperlink ref="E17" r:id="rId22" xr:uid="{00000000-0004-0000-0000-00002A000000}"/>
    <hyperlink ref="B17" r:id="rId23" xr:uid="{00000000-0004-0000-0000-00002B000000}"/>
    <hyperlink ref="B32" r:id="rId24" xr:uid="{00000000-0004-0000-0000-000031000000}"/>
    <hyperlink ref="M16" r:id="rId25" xr:uid="{00000000-0004-0000-0000-000032000000}"/>
    <hyperlink ref="M17" r:id="rId26" xr:uid="{00000000-0004-0000-0000-000033000000}"/>
    <hyperlink ref="B30" r:id="rId27" xr:uid="{67CB3A26-063C-4738-BC43-C9DF6921A1B8}"/>
    <hyperlink ref="B31" r:id="rId28" xr:uid="{B7FBAE98-69B8-4DFB-A245-B6B124A863F5}"/>
    <hyperlink ref="B25" r:id="rId29" xr:uid="{32D4CAED-E6A8-4120-AE73-4D1F29688259}"/>
    <hyperlink ref="B24" r:id="rId30" xr:uid="{9A9AB9F8-7695-4967-AEE3-9A2DC63F9A83}"/>
    <hyperlink ref="C16" r:id="rId31" xr:uid="{00C9BD9D-7902-47B1-9306-D373E24C77A7}"/>
    <hyperlink ref="O16" r:id="rId32" xr:uid="{F3E9A031-F7BA-4A23-B8B7-CAF1B0ED4B0B}"/>
    <hyperlink ref="O17" r:id="rId33" xr:uid="{4565E522-0CAE-4995-AB74-A96AFA18F78D}"/>
  </hyperlinks>
  <pageMargins left="0.7" right="0.7" top="0.75" bottom="0.75" header="0.3" footer="0.3"/>
  <pageSetup orientation="portrait" r:id="rId34"/>
  <legacyDrawing r:id="rId3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52"/>
  <sheetViews>
    <sheetView tabSelected="1" workbookViewId="0">
      <selection activeCell="A5" sqref="A5:I10"/>
    </sheetView>
  </sheetViews>
  <sheetFormatPr defaultColWidth="0" defaultRowHeight="14.4" x14ac:dyDescent="0.3"/>
  <cols>
    <col min="1" max="1" width="44.5546875" customWidth="1"/>
    <col min="2" max="2" width="26.88671875" customWidth="1"/>
    <col min="3" max="3" width="22.5546875" bestFit="1" customWidth="1"/>
    <col min="4" max="4" width="27.6640625" bestFit="1" customWidth="1"/>
    <col min="5" max="5" width="30.44140625" bestFit="1" customWidth="1"/>
    <col min="6" max="6" width="15.44140625" bestFit="1" customWidth="1"/>
    <col min="7" max="7" width="10.33203125" bestFit="1" customWidth="1"/>
    <col min="8" max="9" width="9.109375" customWidth="1"/>
    <col min="10" max="16384" width="9.109375" hidden="1"/>
  </cols>
  <sheetData>
    <row r="1" spans="1:9" x14ac:dyDescent="0.3">
      <c r="A1" s="381" t="s">
        <v>39</v>
      </c>
      <c r="B1" s="381"/>
      <c r="D1" s="381" t="s">
        <v>399</v>
      </c>
      <c r="E1" s="381"/>
      <c r="F1" s="381"/>
    </row>
    <row r="2" spans="1:9" x14ac:dyDescent="0.3">
      <c r="A2" s="372" t="s">
        <v>1677</v>
      </c>
      <c r="B2" s="373" t="s">
        <v>330</v>
      </c>
      <c r="D2" s="385" t="s">
        <v>368</v>
      </c>
      <c r="E2" s="385"/>
      <c r="F2" s="385"/>
    </row>
    <row r="3" spans="1:9" ht="15" customHeight="1" x14ac:dyDescent="0.3">
      <c r="A3" s="372" t="s">
        <v>1753</v>
      </c>
      <c r="B3" s="374" t="s">
        <v>1754</v>
      </c>
      <c r="D3" s="386" t="s">
        <v>369</v>
      </c>
      <c r="E3" s="386"/>
      <c r="F3" s="386"/>
    </row>
    <row r="4" spans="1:9" x14ac:dyDescent="0.3">
      <c r="B4" s="35"/>
      <c r="D4" s="387" t="s">
        <v>369</v>
      </c>
      <c r="E4" s="387"/>
      <c r="F4" s="387"/>
    </row>
    <row r="5" spans="1:9" x14ac:dyDescent="0.3">
      <c r="A5" s="596"/>
      <c r="B5" s="596"/>
      <c r="C5" s="596"/>
      <c r="D5" s="596"/>
      <c r="E5" s="596"/>
      <c r="F5" s="596"/>
      <c r="G5" s="596"/>
      <c r="H5" s="596"/>
      <c r="I5" s="596"/>
    </row>
    <row r="6" spans="1:9" x14ac:dyDescent="0.3">
      <c r="A6" s="596"/>
      <c r="B6" s="596"/>
      <c r="C6" s="596"/>
      <c r="D6" s="596"/>
      <c r="E6" s="596"/>
      <c r="F6" s="596"/>
      <c r="G6" s="596"/>
      <c r="H6" s="596"/>
      <c r="I6" s="596"/>
    </row>
    <row r="7" spans="1:9" ht="21" customHeight="1" x14ac:dyDescent="0.3">
      <c r="A7" s="596"/>
      <c r="B7" s="596"/>
      <c r="C7" s="596"/>
      <c r="D7" s="596"/>
      <c r="E7" s="596"/>
      <c r="F7" s="596"/>
      <c r="G7" s="596"/>
      <c r="H7" s="596"/>
      <c r="I7" s="596"/>
    </row>
    <row r="8" spans="1:9" ht="46.5" customHeight="1" x14ac:dyDescent="0.3">
      <c r="A8" s="597"/>
      <c r="B8" s="597"/>
      <c r="C8" s="597"/>
      <c r="D8" s="597"/>
      <c r="E8" s="597"/>
      <c r="F8" s="597"/>
      <c r="G8" s="597"/>
      <c r="H8" s="597"/>
      <c r="I8" s="597"/>
    </row>
    <row r="9" spans="1:9" x14ac:dyDescent="0.3">
      <c r="A9" s="597"/>
      <c r="B9" s="597"/>
      <c r="C9" s="597"/>
      <c r="D9" s="597"/>
      <c r="E9" s="597"/>
      <c r="F9" s="597"/>
      <c r="G9" s="597"/>
      <c r="H9" s="597"/>
      <c r="I9" s="597"/>
    </row>
    <row r="10" spans="1:9" x14ac:dyDescent="0.3">
      <c r="A10" s="597"/>
      <c r="B10" s="597"/>
      <c r="C10" s="597"/>
      <c r="D10" s="597"/>
      <c r="E10" s="597"/>
      <c r="F10" s="597"/>
      <c r="G10" s="597"/>
      <c r="H10" s="597"/>
      <c r="I10" s="597"/>
    </row>
    <row r="11" spans="1:9" x14ac:dyDescent="0.3">
      <c r="A11" s="383" t="s">
        <v>1839</v>
      </c>
      <c r="B11" s="383"/>
    </row>
    <row r="12" spans="1:9" x14ac:dyDescent="0.3">
      <c r="A12" s="383" t="s">
        <v>1840</v>
      </c>
      <c r="B12" s="383"/>
    </row>
    <row r="13" spans="1:9" x14ac:dyDescent="0.3">
      <c r="A13" s="384" t="s">
        <v>1841</v>
      </c>
      <c r="B13" s="384"/>
    </row>
    <row r="14" spans="1:9" x14ac:dyDescent="0.3">
      <c r="A14" s="388" t="s">
        <v>1837</v>
      </c>
      <c r="B14" s="388"/>
    </row>
    <row r="15" spans="1:9" x14ac:dyDescent="0.3">
      <c r="A15" s="389" t="s">
        <v>1838</v>
      </c>
      <c r="B15" s="389"/>
    </row>
    <row r="17" spans="1:6" x14ac:dyDescent="0.3">
      <c r="A17" s="382" t="s">
        <v>336</v>
      </c>
      <c r="B17" s="382"/>
      <c r="C17" s="382"/>
      <c r="D17" s="382"/>
      <c r="E17" s="382"/>
      <c r="F17" s="382"/>
    </row>
    <row r="18" spans="1:6" x14ac:dyDescent="0.3">
      <c r="A18" t="s">
        <v>337</v>
      </c>
      <c r="B18" t="s">
        <v>338</v>
      </c>
      <c r="C18" t="s">
        <v>339</v>
      </c>
      <c r="D18" t="s">
        <v>340</v>
      </c>
      <c r="E18" t="s">
        <v>341</v>
      </c>
      <c r="F18" t="s">
        <v>342</v>
      </c>
    </row>
    <row r="19" spans="1:6" x14ac:dyDescent="0.3">
      <c r="A19" t="s">
        <v>335</v>
      </c>
      <c r="B19" s="97" t="s">
        <v>347</v>
      </c>
    </row>
    <row r="20" spans="1:6" x14ac:dyDescent="0.3">
      <c r="A20" t="s">
        <v>1577</v>
      </c>
      <c r="B20" s="97" t="s">
        <v>343</v>
      </c>
    </row>
    <row r="21" spans="1:6" x14ac:dyDescent="0.3">
      <c r="A21" t="s">
        <v>360</v>
      </c>
    </row>
    <row r="22" spans="1:6" x14ac:dyDescent="0.3">
      <c r="A22" t="s">
        <v>1485</v>
      </c>
      <c r="B22" s="97" t="s">
        <v>363</v>
      </c>
    </row>
    <row r="23" spans="1:6" x14ac:dyDescent="0.3">
      <c r="A23" t="s">
        <v>1486</v>
      </c>
      <c r="B23" s="97" t="s">
        <v>372</v>
      </c>
      <c r="C23" s="97" t="s">
        <v>373</v>
      </c>
      <c r="D23" s="97" t="s">
        <v>374</v>
      </c>
    </row>
    <row r="24" spans="1:6" x14ac:dyDescent="0.3">
      <c r="A24" t="s">
        <v>1487</v>
      </c>
      <c r="B24" s="97" t="s">
        <v>363</v>
      </c>
      <c r="C24" s="110" t="s">
        <v>364</v>
      </c>
      <c r="D24" s="97" t="s">
        <v>365</v>
      </c>
      <c r="E24" s="97" t="s">
        <v>384</v>
      </c>
    </row>
    <row r="25" spans="1:6" x14ac:dyDescent="0.3">
      <c r="A25" s="61" t="s">
        <v>1573</v>
      </c>
      <c r="B25" s="97" t="s">
        <v>382</v>
      </c>
    </row>
    <row r="26" spans="1:6" x14ac:dyDescent="0.3">
      <c r="A26" t="s">
        <v>334</v>
      </c>
      <c r="B26" s="97" t="s">
        <v>345</v>
      </c>
      <c r="C26" s="97" t="s">
        <v>352</v>
      </c>
      <c r="D26" s="97" t="s">
        <v>346</v>
      </c>
    </row>
    <row r="27" spans="1:6" x14ac:dyDescent="0.3">
      <c r="A27" t="s">
        <v>1488</v>
      </c>
      <c r="B27" s="97" t="s">
        <v>393</v>
      </c>
    </row>
    <row r="28" spans="1:6" x14ac:dyDescent="0.3">
      <c r="A28" t="s">
        <v>333</v>
      </c>
      <c r="B28" s="97" t="s">
        <v>343</v>
      </c>
      <c r="C28" s="97" t="s">
        <v>344</v>
      </c>
    </row>
    <row r="29" spans="1:6" x14ac:dyDescent="0.3">
      <c r="A29" t="s">
        <v>1489</v>
      </c>
      <c r="B29" s="97" t="s">
        <v>367</v>
      </c>
    </row>
    <row r="30" spans="1:6" x14ac:dyDescent="0.3">
      <c r="A30" t="s">
        <v>1490</v>
      </c>
      <c r="B30" s="97" t="s">
        <v>370</v>
      </c>
    </row>
    <row r="31" spans="1:6" x14ac:dyDescent="0.3">
      <c r="A31" t="s">
        <v>1484</v>
      </c>
      <c r="B31" s="97" t="s">
        <v>371</v>
      </c>
    </row>
    <row r="32" spans="1:6" x14ac:dyDescent="0.3">
      <c r="A32" t="s">
        <v>1491</v>
      </c>
      <c r="B32" s="97" t="s">
        <v>370</v>
      </c>
    </row>
    <row r="33" spans="1:6" x14ac:dyDescent="0.3">
      <c r="A33" t="s">
        <v>1492</v>
      </c>
      <c r="B33" s="110" t="s">
        <v>445</v>
      </c>
      <c r="C33" s="97" t="s">
        <v>384</v>
      </c>
    </row>
    <row r="34" spans="1:6" x14ac:dyDescent="0.3">
      <c r="A34" t="s">
        <v>377</v>
      </c>
      <c r="B34" s="97" t="s">
        <v>378</v>
      </c>
    </row>
    <row r="35" spans="1:6" x14ac:dyDescent="0.3">
      <c r="A35" t="s">
        <v>401</v>
      </c>
      <c r="B35" s="97" t="s">
        <v>402</v>
      </c>
    </row>
    <row r="36" spans="1:6" x14ac:dyDescent="0.3">
      <c r="A36" t="s">
        <v>358</v>
      </c>
      <c r="B36" s="97" t="s">
        <v>379</v>
      </c>
    </row>
    <row r="37" spans="1:6" x14ac:dyDescent="0.3">
      <c r="A37" t="s">
        <v>357</v>
      </c>
      <c r="B37" s="97" t="s">
        <v>380</v>
      </c>
      <c r="C37" s="97" t="s">
        <v>381</v>
      </c>
      <c r="D37" s="97" t="s">
        <v>382</v>
      </c>
    </row>
    <row r="38" spans="1:6" x14ac:dyDescent="0.3">
      <c r="A38" t="s">
        <v>1493</v>
      </c>
      <c r="B38" s="97" t="s">
        <v>383</v>
      </c>
      <c r="C38" s="97" t="s">
        <v>384</v>
      </c>
      <c r="D38" s="97" t="s">
        <v>394</v>
      </c>
    </row>
    <row r="39" spans="1:6" x14ac:dyDescent="0.3">
      <c r="A39" t="s">
        <v>1494</v>
      </c>
      <c r="B39" s="97" t="s">
        <v>385</v>
      </c>
      <c r="C39" s="97" t="s">
        <v>386</v>
      </c>
      <c r="D39" s="97" t="s">
        <v>387</v>
      </c>
      <c r="E39" s="97" t="s">
        <v>388</v>
      </c>
      <c r="F39" s="97" t="s">
        <v>384</v>
      </c>
    </row>
    <row r="40" spans="1:6" x14ac:dyDescent="0.3">
      <c r="A40" t="s">
        <v>356</v>
      </c>
      <c r="B40" s="97" t="s">
        <v>389</v>
      </c>
    </row>
    <row r="41" spans="1:6" x14ac:dyDescent="0.3">
      <c r="A41" t="s">
        <v>1495</v>
      </c>
      <c r="B41" s="97" t="s">
        <v>366</v>
      </c>
      <c r="C41" s="97" t="s">
        <v>1279</v>
      </c>
      <c r="D41" s="97" t="s">
        <v>1279</v>
      </c>
      <c r="E41" s="97" t="s">
        <v>1280</v>
      </c>
    </row>
    <row r="42" spans="1:6" x14ac:dyDescent="0.3">
      <c r="A42" t="s">
        <v>361</v>
      </c>
      <c r="B42" s="97" t="s">
        <v>390</v>
      </c>
    </row>
    <row r="43" spans="1:6" x14ac:dyDescent="0.3">
      <c r="A43" t="s">
        <v>349</v>
      </c>
      <c r="B43" s="97" t="s">
        <v>350</v>
      </c>
      <c r="C43" s="97" t="s">
        <v>351</v>
      </c>
    </row>
    <row r="44" spans="1:6" x14ac:dyDescent="0.3">
      <c r="A44" t="s">
        <v>362</v>
      </c>
      <c r="B44" s="97" t="s">
        <v>391</v>
      </c>
    </row>
    <row r="45" spans="1:6" x14ac:dyDescent="0.3">
      <c r="A45" t="s">
        <v>1496</v>
      </c>
      <c r="B45" s="97" t="s">
        <v>386</v>
      </c>
      <c r="C45" s="97" t="s">
        <v>392</v>
      </c>
      <c r="D45" s="97" t="s">
        <v>393</v>
      </c>
    </row>
    <row r="46" spans="1:6" x14ac:dyDescent="0.3">
      <c r="A46" t="s">
        <v>1497</v>
      </c>
      <c r="B46" s="97" t="s">
        <v>386</v>
      </c>
      <c r="C46" s="97" t="s">
        <v>370</v>
      </c>
    </row>
    <row r="47" spans="1:6" x14ac:dyDescent="0.3">
      <c r="A47" t="s">
        <v>1498</v>
      </c>
      <c r="B47" s="97" t="s">
        <v>395</v>
      </c>
      <c r="C47" s="97" t="s">
        <v>396</v>
      </c>
      <c r="D47" s="97" t="s">
        <v>397</v>
      </c>
      <c r="E47" s="97" t="s">
        <v>400</v>
      </c>
    </row>
    <row r="48" spans="1:6" x14ac:dyDescent="0.3">
      <c r="A48" t="s">
        <v>1499</v>
      </c>
      <c r="B48" s="97" t="s">
        <v>390</v>
      </c>
    </row>
    <row r="49" spans="1:3" x14ac:dyDescent="0.3">
      <c r="A49" t="s">
        <v>1281</v>
      </c>
      <c r="B49" s="97" t="s">
        <v>1282</v>
      </c>
    </row>
    <row r="50" spans="1:3" x14ac:dyDescent="0.3">
      <c r="A50" t="s">
        <v>355</v>
      </c>
      <c r="B50" s="97" t="s">
        <v>351</v>
      </c>
      <c r="C50" s="97" t="s">
        <v>382</v>
      </c>
    </row>
    <row r="51" spans="1:3" x14ac:dyDescent="0.3">
      <c r="A51" t="s">
        <v>359</v>
      </c>
      <c r="B51" s="97" t="s">
        <v>382</v>
      </c>
    </row>
    <row r="52" spans="1:3" x14ac:dyDescent="0.3">
      <c r="A52" t="s">
        <v>1500</v>
      </c>
      <c r="B52" s="97" t="s">
        <v>398</v>
      </c>
    </row>
  </sheetData>
  <mergeCells count="13">
    <mergeCell ref="A1:B1"/>
    <mergeCell ref="A17:F17"/>
    <mergeCell ref="A11:B11"/>
    <mergeCell ref="A12:B12"/>
    <mergeCell ref="A13:B13"/>
    <mergeCell ref="D2:F2"/>
    <mergeCell ref="D3:F3"/>
    <mergeCell ref="D4:F4"/>
    <mergeCell ref="D1:F1"/>
    <mergeCell ref="A14:B14"/>
    <mergeCell ref="A15:B15"/>
    <mergeCell ref="A8:I10"/>
    <mergeCell ref="A5:I7"/>
  </mergeCells>
  <hyperlinks>
    <hyperlink ref="A11" r:id="rId1" display="Tutorial on activating i-DM (ENGLISH)" xr:uid="{00000000-0004-0000-0100-000000000000}"/>
    <hyperlink ref="A12" r:id="rId2" display="Tutorial on activating i-DM (Russian)" xr:uid="{00000000-0004-0000-0100-000001000000}"/>
    <hyperlink ref="A13" r:id="rId3" display="Tutorial on activating Cruise Control and Auto Door Lock (Russian)" xr:uid="{00000000-0004-0000-0100-000002000000}"/>
    <hyperlink ref="E39" location="'FSC Gen 2'!A1" display="FSC Gen 2 (various unconfirmed)" xr:uid="{00000000-0004-0000-0100-000003000000}"/>
    <hyperlink ref="C50" location="IC!AA8" display="IC - " xr:uid="{00000000-0004-0000-0100-000004000000}"/>
    <hyperlink ref="A14:B14" r:id="rId4" display="Tutorial on how to use Mazda SkyActiv OBD-II calc (FORScan) Excel file" xr:uid="{00000000-0004-0000-0100-000005000000}"/>
    <hyperlink ref="A15:B15" r:id="rId5" display="Руководство пользователя Excel-файла Mazda SkyActiv OBD-II calc (FORScan)" xr:uid="{00000000-0004-0000-0100-000006000000}"/>
    <hyperlink ref="B19" location="IC!S227" display="IC - 720-04-11 B0" xr:uid="{00000000-0004-0000-0100-000007000000}"/>
    <hyperlink ref="B22" location="IC!W260" display="IC - 720-04-14 B1" xr:uid="{00000000-0004-0000-0100-000008000000}"/>
    <hyperlink ref="B24" location="IC!W260" display="IC - 720-04-14 B1" xr:uid="{00000000-0004-0000-0100-000009000000}"/>
    <hyperlink ref="E24" location="IC!S314" display="IC - 720-04-19 B0" xr:uid="{00000000-0004-0000-0100-00000A000000}"/>
    <hyperlink ref="B28" location="IC!AI359" display="IC - 720-04-23 B4" xr:uid="{00000000-0004-0000-0100-00000B000000}"/>
    <hyperlink ref="C28" location="IC!S17" display="IC - 720-01-02 B0" xr:uid="{00000000-0004-0000-0100-00000C000000}"/>
    <hyperlink ref="B23" location="SSU!AA6" display="SSU - 731-01-01 B2 " xr:uid="{00000000-0004-0000-0100-00000D000000}"/>
    <hyperlink ref="C23" location="SSU!W35" display="SSU - 731-01-03 B1" xr:uid="{00000000-0004-0000-0100-00000E000000}"/>
    <hyperlink ref="D23" location="SSU!W44" display="SSU - 731-02-01 B1" xr:uid="{00000000-0004-0000-0100-00000F000000}"/>
    <hyperlink ref="C24" location="'FSC Gen 2'!AI10" display="FSC Gen 2 - 706-01-01 B4" xr:uid="{00000000-0004-0000-0100-000010000000}"/>
    <hyperlink ref="D24" location="'FSC Gen 2'!AI55" display="FSC Gen 2 - 706-02-01 B4" xr:uid="{00000000-0004-0000-0100-000011000000}"/>
    <hyperlink ref="B26" location="RBCM!AI19" display="RBCM - 7B7-01-02 B4" xr:uid="{00000000-0004-0000-0100-000012000000}"/>
    <hyperlink ref="C26" location="RBCM!W6" display="RBCM - 7B7-01-01 B1" xr:uid="{00000000-0004-0000-0100-000013000000}"/>
    <hyperlink ref="D26" location="RBCM!S39" display="RBCM - 7B7-02-01 B0" xr:uid="{00000000-0004-0000-0100-000014000000}"/>
    <hyperlink ref="B41" location="RBCM!AE11" display="RBCM - 7B7-01-01 B3 (MRCC)" xr:uid="{00000000-0004-0000-0100-000015000000}"/>
    <hyperlink ref="B29" location="IC!AI288" display="IC - 720-04-16 B4" xr:uid="{00000000-0004-0000-0100-000016000000}"/>
    <hyperlink ref="C46" location="IC!AA292" display="IC - 720-04-17 B2" xr:uid="{00000000-0004-0000-0100-000017000000}"/>
    <hyperlink ref="B30" location="IC!AA292" display="IC - 720-04-17 B2" xr:uid="{00000000-0004-0000-0100-000018000000}"/>
    <hyperlink ref="C41" location="IC!AA292" display="IC - 720-04-17 B2" xr:uid="{00000000-0004-0000-0100-000019000000}"/>
    <hyperlink ref="D41" location="IC!AA298" display="IC - 720-04-17 B2 (MRCC)" xr:uid="{00000000-0004-0000-0100-00001A000000}"/>
    <hyperlink ref="E41" location="IC!AI297" display="IC - 720-04-17 B4 (MRCC)" xr:uid="{00000000-0004-0000-0100-00001B000000}"/>
    <hyperlink ref="B31" location="FBCM!AE12" display="FBCM - 726-01-01 B3" xr:uid="{00000000-0004-0000-0100-00001C000000}"/>
    <hyperlink ref="B32" location="IC!AA292" display="IC - 720-04-17 B2" xr:uid="{00000000-0004-0000-0100-00001D000000}"/>
    <hyperlink ref="B33" location="'FSC Gen 1'!S6" display="FSC Gen 1 - 706-01-01 B0" xr:uid="{00000000-0004-0000-0100-00001E000000}"/>
    <hyperlink ref="C33" location="IC!S314" display="IC - 720-04-19 B0" xr:uid="{00000000-0004-0000-0100-00001F000000}"/>
    <hyperlink ref="B34" location="IC!AE265" display="IC - 720-04-14 B3" xr:uid="{00000000-0004-0000-0100-000020000000}"/>
    <hyperlink ref="B35" location="IC!W406" display="IC - 720-04-27 B1" xr:uid="{00000000-0004-0000-0100-000021000000}"/>
    <hyperlink ref="B36" location="IC!AA382" display="IC - 720-04-25 B2" xr:uid="{00000000-0004-0000-0100-000022000000}"/>
    <hyperlink ref="B37" location="SSU!W9" display="SSU - 731-01-01 B1" xr:uid="{00000000-0004-0000-0100-000023000000}"/>
    <hyperlink ref="C37" location="SSU!S20" display="SSU - 731-01-02 B0" xr:uid="{00000000-0004-0000-0100-000024000000}"/>
    <hyperlink ref="D37" location="IC!AA9" display="IC - 720-01-01 B2" xr:uid="{00000000-0004-0000-0100-000025000000}"/>
    <hyperlink ref="B38" location="'FSC Gen 2'!S17" display="FSC Gen 2 - 706-01-02 B0" xr:uid="{00000000-0004-0000-0100-000026000000}"/>
    <hyperlink ref="C38" location="IC!S314" display="IC - 720-04-19 B0" xr:uid="{00000000-0004-0000-0100-000027000000}"/>
    <hyperlink ref="D38" location="IC!S285" display="IC - 720-04-16 B0" xr:uid="{00000000-0004-0000-0100-000028000000}"/>
    <hyperlink ref="B39" location="IC!S109" display="IC - 720-02-01 B0" xr:uid="{00000000-0004-0000-0100-000029000000}"/>
    <hyperlink ref="C39" location="IC!W109" display="IC - 720-02-01 B1" xr:uid="{00000000-0004-0000-0100-00002A000000}"/>
    <hyperlink ref="D39" location="'FSC Gen 1'!AE8" display="FSC Gen 1 - 706-01-01 B3 " xr:uid="{00000000-0004-0000-0100-00002B000000}"/>
    <hyperlink ref="F39" location="IC!S314" display="IC - 720-04-19 B0" xr:uid="{00000000-0004-0000-0100-00002C000000}"/>
    <hyperlink ref="B40" location="IC!W8" display="IC - 720-01-01 B1" xr:uid="{00000000-0004-0000-0100-00002D000000}"/>
    <hyperlink ref="B42" location="IC!AA285" display="IC - 720-04-16 B2" xr:uid="{00000000-0004-0000-0100-00002E000000}"/>
    <hyperlink ref="B49" location="IC!S393" display="IC - 720-04-26 B0" xr:uid="{00000000-0004-0000-0100-00002F000000}"/>
    <hyperlink ref="B27" location="IC!W337" display="IC - 720-04-21 B1" xr:uid="{00000000-0004-0000-0100-000030000000}"/>
    <hyperlink ref="B43" location="RBCM!S11" display="RBCM - 7B7-01-01 B0" xr:uid="{00000000-0004-0000-0100-000031000000}"/>
    <hyperlink ref="C43" location="IC!S10" display="IC - 720-01-01 B0" xr:uid="{00000000-0004-0000-0100-000032000000}"/>
    <hyperlink ref="B44" location="IC!W348" display="IC - 720-04-22 B1" xr:uid="{00000000-0004-0000-0100-000033000000}"/>
    <hyperlink ref="B45" location="IC!W107" display="IC - 720-02-01 B1" xr:uid="{00000000-0004-0000-0100-000034000000}"/>
    <hyperlink ref="C45" location="IC!AE316" display="IC - 720-04-19 B3" xr:uid="{00000000-0004-0000-0100-000035000000}"/>
    <hyperlink ref="D45" location="IC!W337" display="IC - 720-04-21 B1" xr:uid="{00000000-0004-0000-0100-000036000000}"/>
    <hyperlink ref="B46" location="IC!W105" display="IC - 720-02-01 B1" xr:uid="{00000000-0004-0000-0100-000037000000}"/>
    <hyperlink ref="B47" location="RBCM!AE11" display="RBCM - 7B7-01-01 B3" xr:uid="{00000000-0004-0000-0100-000038000000}"/>
    <hyperlink ref="C47" location="'FSC Gen 2'!AA6" display="FSC Gen 2 - 706-01-01 B2" xr:uid="{00000000-0004-0000-0100-000039000000}"/>
    <hyperlink ref="D47" location="'FSC Gen 2'!AA50" display="FSC Gen 2 - 706-02-01 B2" xr:uid="{00000000-0004-0000-0100-00003A000000}"/>
    <hyperlink ref="E47" location="IC!AA370" display="IC - 720-04-24 B2" xr:uid="{00000000-0004-0000-0100-00003B000000}"/>
    <hyperlink ref="B48" location="IC!AA282" display="IC - 720-04-16 B2" xr:uid="{00000000-0004-0000-0100-00003D000000}"/>
    <hyperlink ref="B50" location="IC!S6" display="IC - 720-01-01 B0" xr:uid="{00000000-0004-0000-0100-00003E000000}"/>
    <hyperlink ref="B25" location="IC!AA13" display="IC - 720-01-01 B2" xr:uid="{00000000-0004-0000-0100-00003F000000}"/>
    <hyperlink ref="B51" location="IC!AA10" display="IC - 720-01-01 B2" xr:uid="{00000000-0004-0000-0100-000040000000}"/>
    <hyperlink ref="B52" location="'FSC Gen 2'!AI20" display="FSC Gen 2 - 706-01-02 B4" xr:uid="{00000000-0004-0000-0100-000041000000}"/>
    <hyperlink ref="B20" location="IC!AI359" display="IC - 720-04-23 B4" xr:uid="{00000000-0004-0000-0100-000042000000}"/>
    <hyperlink ref="B3" r:id="rId6" xr:uid="{B6242E4B-E636-469C-99DE-A1DA2CF2699C}"/>
  </hyperlinks>
  <pageMargins left="0.7" right="0.7" top="0.75" bottom="0.75" header="0.3" footer="0.3"/>
  <pageSetup orientation="portrait" r:id="rId7"/>
  <ignoredErrors>
    <ignoredError sqref="B2" numberStoredAsText="1"/>
  </ignoredErrors>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35"/>
  <sheetViews>
    <sheetView zoomScaleNormal="100" workbookViewId="0">
      <selection activeCell="A3" sqref="A3"/>
    </sheetView>
  </sheetViews>
  <sheetFormatPr defaultRowHeight="14.4" x14ac:dyDescent="0.3"/>
  <cols>
    <col min="1" max="2" width="21.109375" bestFit="1" customWidth="1"/>
    <col min="3" max="3" width="4.5546875" bestFit="1" customWidth="1"/>
    <col min="4" max="5" width="9" bestFit="1" customWidth="1"/>
    <col min="14" max="14" width="5.44140625" bestFit="1" customWidth="1"/>
    <col min="15" max="15" width="1.6640625" customWidth="1"/>
    <col min="16" max="16" width="5.44140625" bestFit="1" customWidth="1"/>
    <col min="17" max="17" width="5.33203125" bestFit="1" customWidth="1"/>
    <col min="18" max="18" width="3.44140625" bestFit="1" customWidth="1"/>
    <col min="19" max="19" width="19.44140625" customWidth="1"/>
    <col min="20" max="20" width="5.44140625" bestFit="1" customWidth="1"/>
    <col min="21" max="21" width="5.33203125" bestFit="1" customWidth="1"/>
    <col min="22" max="22" width="3.44140625" customWidth="1"/>
    <col min="23" max="23" width="20" customWidth="1"/>
    <col min="24" max="24" width="5.44140625" bestFit="1" customWidth="1"/>
    <col min="25" max="25" width="5.33203125" bestFit="1" customWidth="1"/>
    <col min="26" max="26" width="3.44140625" customWidth="1"/>
    <col min="27" max="27" width="19.33203125" bestFit="1" customWidth="1"/>
    <col min="28" max="28" width="5.44140625" bestFit="1" customWidth="1"/>
    <col min="29" max="29" width="5.33203125" bestFit="1" customWidth="1"/>
    <col min="30" max="30" width="3.44140625" customWidth="1"/>
    <col min="31" max="31" width="19.33203125" bestFit="1" customWidth="1"/>
    <col min="32" max="32" width="5.44140625" bestFit="1" customWidth="1"/>
    <col min="33" max="33" width="5.33203125" bestFit="1" customWidth="1"/>
    <col min="34" max="34" width="3.44140625" customWidth="1"/>
    <col min="35" max="35" width="19.44140625" customWidth="1"/>
  </cols>
  <sheetData>
    <row r="1" spans="1:37" x14ac:dyDescent="0.3">
      <c r="A1" s="398" t="s">
        <v>1240</v>
      </c>
      <c r="B1" s="399"/>
      <c r="C1" s="383" t="s">
        <v>354</v>
      </c>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c r="AF1" s="390"/>
      <c r="AG1" s="390"/>
      <c r="AH1" s="390"/>
      <c r="AI1" s="390"/>
      <c r="AJ1" s="390"/>
      <c r="AK1" s="390"/>
    </row>
    <row r="2" spans="1:37" ht="15" thickBot="1" x14ac:dyDescent="0.35">
      <c r="A2" s="268" t="s">
        <v>1241</v>
      </c>
      <c r="B2" s="269" t="s">
        <v>1242</v>
      </c>
      <c r="C2" s="391" t="s">
        <v>40</v>
      </c>
      <c r="D2" s="391"/>
      <c r="E2" s="391"/>
      <c r="S2" s="1"/>
    </row>
    <row r="3" spans="1:37" ht="15" thickBot="1" x14ac:dyDescent="0.35">
      <c r="A3" s="270" t="s">
        <v>1243</v>
      </c>
      <c r="B3" s="87" t="s">
        <v>1243</v>
      </c>
      <c r="C3" s="4"/>
      <c r="D3" s="5"/>
      <c r="E3" s="5"/>
      <c r="F3" s="5"/>
      <c r="G3" s="5"/>
      <c r="H3" s="5"/>
      <c r="I3" s="5"/>
      <c r="J3" s="5"/>
      <c r="K3" s="5"/>
      <c r="L3" s="5"/>
      <c r="M3" s="5" t="s">
        <v>41</v>
      </c>
      <c r="N3" s="6"/>
      <c r="P3" s="392" t="s">
        <v>42</v>
      </c>
      <c r="Q3" s="392"/>
      <c r="R3" s="392"/>
      <c r="S3" s="392"/>
      <c r="T3" s="392"/>
      <c r="U3" s="392"/>
      <c r="V3" s="392"/>
      <c r="W3" s="392"/>
      <c r="X3" s="392"/>
      <c r="Y3" s="392"/>
      <c r="Z3" s="392"/>
      <c r="AA3" s="392"/>
      <c r="AB3" s="392"/>
      <c r="AC3" s="392"/>
      <c r="AD3" s="392"/>
      <c r="AE3" s="392"/>
      <c r="AF3" s="392"/>
      <c r="AG3" s="392"/>
      <c r="AH3" s="392"/>
      <c r="AI3" s="392"/>
      <c r="AJ3" s="392"/>
      <c r="AK3" s="392"/>
    </row>
    <row r="4" spans="1:37" ht="15" thickBot="1" x14ac:dyDescent="0.35">
      <c r="A4" s="270" t="s">
        <v>1862</v>
      </c>
      <c r="B4" s="87" t="str">
        <f>RIGHT(D13,1)&amp;E13&amp;F13&amp;G13&amp;H10&amp;I10&amp;J10&amp;K10&amp;L10&amp;M10</f>
        <v>737G1G1000000000040</v>
      </c>
      <c r="C4" s="7"/>
      <c r="D4" s="393" t="s">
        <v>43</v>
      </c>
      <c r="E4" s="393"/>
      <c r="F4" s="393"/>
      <c r="G4" s="393"/>
      <c r="H4" s="99" t="s">
        <v>44</v>
      </c>
      <c r="I4" s="99" t="s">
        <v>45</v>
      </c>
      <c r="J4" s="99" t="s">
        <v>46</v>
      </c>
      <c r="K4" s="99" t="s">
        <v>47</v>
      </c>
      <c r="L4" s="99" t="s">
        <v>48</v>
      </c>
      <c r="M4" s="99" t="s">
        <v>49</v>
      </c>
      <c r="N4" s="8"/>
      <c r="P4" s="394" t="s">
        <v>50</v>
      </c>
      <c r="Q4" s="395"/>
      <c r="R4" s="395"/>
      <c r="S4" s="396"/>
      <c r="T4" s="394" t="s">
        <v>51</v>
      </c>
      <c r="U4" s="395"/>
      <c r="V4" s="395"/>
      <c r="W4" s="396"/>
      <c r="X4" s="394" t="s">
        <v>52</v>
      </c>
      <c r="Y4" s="395"/>
      <c r="Z4" s="395"/>
      <c r="AA4" s="396"/>
      <c r="AB4" s="394" t="s">
        <v>53</v>
      </c>
      <c r="AC4" s="395"/>
      <c r="AD4" s="395"/>
      <c r="AE4" s="396"/>
      <c r="AF4" s="397" t="s">
        <v>54</v>
      </c>
      <c r="AG4" s="395"/>
      <c r="AH4" s="395"/>
      <c r="AI4" s="396"/>
      <c r="AJ4" s="394" t="s">
        <v>55</v>
      </c>
      <c r="AK4" s="396"/>
    </row>
    <row r="5" spans="1:37" ht="15" thickBot="1" x14ac:dyDescent="0.35">
      <c r="A5" s="270" t="s">
        <v>1863</v>
      </c>
      <c r="B5" s="87" t="str">
        <f>RIGHT(D24,1)&amp;E24&amp;F24&amp;G24&amp;H21&amp;I21&amp;J21&amp;K21</f>
        <v>737G1G200000041</v>
      </c>
      <c r="C5" s="7" t="s">
        <v>56</v>
      </c>
      <c r="D5" s="12" t="s">
        <v>57</v>
      </c>
      <c r="E5" s="13" t="s">
        <v>58</v>
      </c>
      <c r="F5" s="13" t="s">
        <v>59</v>
      </c>
      <c r="G5" s="14" t="s">
        <v>59</v>
      </c>
      <c r="H5" s="316" t="str">
        <f>MID($A$4,8,2)</f>
        <v>00</v>
      </c>
      <c r="I5" s="317" t="str">
        <f>MID($A$4,10,2)</f>
        <v>00</v>
      </c>
      <c r="J5" s="317" t="str">
        <f>MID($A$4,12,2)</f>
        <v>00</v>
      </c>
      <c r="K5" s="317" t="str">
        <f>MID($A$4,14,2)</f>
        <v>00</v>
      </c>
      <c r="L5" s="318" t="str">
        <f>MID($A$4,16,2)</f>
        <v>00</v>
      </c>
      <c r="M5" s="319" t="str">
        <f>MID($A$4,18,2)</f>
        <v>40</v>
      </c>
      <c r="N5" s="8" t="s">
        <v>60</v>
      </c>
      <c r="P5" s="19" t="s">
        <v>60</v>
      </c>
      <c r="Q5" s="20" t="s">
        <v>61</v>
      </c>
      <c r="R5" t="s">
        <v>62</v>
      </c>
      <c r="S5" s="8"/>
      <c r="T5" s="19" t="s">
        <v>60</v>
      </c>
      <c r="U5" s="20" t="s">
        <v>61</v>
      </c>
      <c r="V5" t="s">
        <v>62</v>
      </c>
      <c r="W5" s="8"/>
      <c r="X5" s="19" t="s">
        <v>60</v>
      </c>
      <c r="Y5" s="20" t="s">
        <v>61</v>
      </c>
      <c r="Z5" t="s">
        <v>62</v>
      </c>
      <c r="AA5" s="8"/>
      <c r="AB5" s="19" t="s">
        <v>60</v>
      </c>
      <c r="AC5" s="20" t="s">
        <v>61</v>
      </c>
      <c r="AD5" t="s">
        <v>62</v>
      </c>
      <c r="AE5" s="8"/>
      <c r="AF5" s="19" t="s">
        <v>60</v>
      </c>
      <c r="AG5" s="20" t="s">
        <v>61</v>
      </c>
      <c r="AH5" t="s">
        <v>62</v>
      </c>
      <c r="AJ5" s="394" t="s">
        <v>63</v>
      </c>
      <c r="AK5" s="396"/>
    </row>
    <row r="6" spans="1:37" x14ac:dyDescent="0.3">
      <c r="A6" s="270" t="s">
        <v>1244</v>
      </c>
      <c r="B6" s="87" t="s">
        <v>1244</v>
      </c>
      <c r="C6" s="7" t="s">
        <v>64</v>
      </c>
      <c r="D6" s="99" t="str">
        <f t="shared" ref="D6:E6" si="0">HEX2BIN(D5,8)</f>
        <v>00000111</v>
      </c>
      <c r="E6" s="99" t="str">
        <f t="shared" si="0"/>
        <v>00110111</v>
      </c>
      <c r="F6" s="99" t="str">
        <f>HEX2BIN(F5,8)</f>
        <v>00000001</v>
      </c>
      <c r="G6" s="99" t="str">
        <f t="shared" ref="G6:L6" si="1">HEX2BIN(G5,8)</f>
        <v>00000001</v>
      </c>
      <c r="H6" s="99" t="str">
        <f t="shared" si="1"/>
        <v>00000000</v>
      </c>
      <c r="I6" s="99" t="str">
        <f t="shared" si="1"/>
        <v>00000000</v>
      </c>
      <c r="J6" s="99" t="str">
        <f t="shared" si="1"/>
        <v>00000000</v>
      </c>
      <c r="K6" s="99" t="str">
        <f t="shared" si="1"/>
        <v>00000000</v>
      </c>
      <c r="L6" s="99" t="str">
        <f t="shared" si="1"/>
        <v>00000000</v>
      </c>
      <c r="M6" s="99"/>
      <c r="N6" s="8"/>
      <c r="P6" s="21" t="str">
        <f>MID(H6,1,1)</f>
        <v>0</v>
      </c>
      <c r="Q6" s="26" t="str">
        <f>P6</f>
        <v>0</v>
      </c>
      <c r="R6" s="7" t="s">
        <v>65</v>
      </c>
      <c r="S6" s="8" t="s">
        <v>66</v>
      </c>
      <c r="T6" s="21" t="str">
        <f>MID(I6,1,1)</f>
        <v>0</v>
      </c>
      <c r="U6" s="26" t="str">
        <f t="shared" ref="U6:U13" si="2">T6</f>
        <v>0</v>
      </c>
      <c r="V6" s="7" t="s">
        <v>65</v>
      </c>
      <c r="W6" s="8" t="s">
        <v>66</v>
      </c>
      <c r="X6" s="21" t="str">
        <f>MID(J6,1,1)</f>
        <v>0</v>
      </c>
      <c r="Y6" s="26" t="str">
        <f>X6</f>
        <v>0</v>
      </c>
      <c r="Z6" s="7" t="s">
        <v>65</v>
      </c>
      <c r="AA6" s="8" t="s">
        <v>66</v>
      </c>
      <c r="AB6" s="21" t="str">
        <f>MID(K6,1,1)</f>
        <v>0</v>
      </c>
      <c r="AC6" s="26" t="str">
        <f>AB6</f>
        <v>0</v>
      </c>
      <c r="AD6" s="7" t="s">
        <v>65</v>
      </c>
      <c r="AE6" s="8" t="s">
        <v>66</v>
      </c>
      <c r="AF6" s="21" t="str">
        <f>MID(L6,1,1)</f>
        <v>0</v>
      </c>
      <c r="AG6" s="26" t="str">
        <f>AF6</f>
        <v>0</v>
      </c>
      <c r="AH6" s="7" t="s">
        <v>65</v>
      </c>
      <c r="AI6" s="8" t="s">
        <v>66</v>
      </c>
      <c r="AJ6" s="400"/>
      <c r="AK6" s="401"/>
    </row>
    <row r="7" spans="1:37" x14ac:dyDescent="0.3">
      <c r="A7" s="270" t="s">
        <v>1864</v>
      </c>
      <c r="B7" s="87" t="str">
        <f>RIGHT(D35,1)&amp;E35&amp;F35&amp;G35&amp;H32&amp;I32&amp;J32&amp;K32</f>
        <v>737G2G100000041</v>
      </c>
      <c r="C7" s="7" t="s">
        <v>67</v>
      </c>
      <c r="D7" s="99">
        <f>HEX2DEC(D5)</f>
        <v>7</v>
      </c>
      <c r="E7" s="99">
        <f t="shared" ref="E7:L7" si="3">HEX2DEC(E5)</f>
        <v>55</v>
      </c>
      <c r="F7" s="99">
        <f t="shared" si="3"/>
        <v>1</v>
      </c>
      <c r="G7" s="99">
        <f t="shared" si="3"/>
        <v>1</v>
      </c>
      <c r="H7" s="99">
        <f t="shared" si="3"/>
        <v>0</v>
      </c>
      <c r="I7" s="99">
        <f t="shared" si="3"/>
        <v>0</v>
      </c>
      <c r="J7" s="99">
        <f t="shared" si="3"/>
        <v>0</v>
      </c>
      <c r="K7" s="99">
        <f t="shared" si="3"/>
        <v>0</v>
      </c>
      <c r="L7" s="99">
        <f t="shared" si="3"/>
        <v>0</v>
      </c>
      <c r="M7" s="99">
        <f>SUM(D7:L7)</f>
        <v>64</v>
      </c>
      <c r="N7" s="8"/>
      <c r="P7" s="21" t="str">
        <f>MID(H6,2,1)</f>
        <v>0</v>
      </c>
      <c r="Q7" s="26" t="str">
        <f t="shared" ref="Q7:Q13" si="4">P7</f>
        <v>0</v>
      </c>
      <c r="R7" s="7" t="s">
        <v>68</v>
      </c>
      <c r="S7" s="8" t="s">
        <v>66</v>
      </c>
      <c r="T7" s="21" t="str">
        <f>MID(I6,2,1)</f>
        <v>0</v>
      </c>
      <c r="U7" s="26" t="str">
        <f t="shared" si="2"/>
        <v>0</v>
      </c>
      <c r="V7" s="7" t="s">
        <v>68</v>
      </c>
      <c r="W7" s="8" t="s">
        <v>66</v>
      </c>
      <c r="X7" s="21" t="str">
        <f>MID(J6,2,1)</f>
        <v>0</v>
      </c>
      <c r="Y7" s="26" t="str">
        <f t="shared" ref="Y7:Y13" si="5">X7</f>
        <v>0</v>
      </c>
      <c r="Z7" s="7" t="s">
        <v>68</v>
      </c>
      <c r="AA7" s="8" t="s">
        <v>66</v>
      </c>
      <c r="AB7" s="21" t="str">
        <f>MID(K6,2,1)</f>
        <v>0</v>
      </c>
      <c r="AC7" s="26" t="str">
        <f t="shared" ref="AC7:AC13" si="6">AB7</f>
        <v>0</v>
      </c>
      <c r="AD7" s="7" t="s">
        <v>68</v>
      </c>
      <c r="AE7" s="8" t="s">
        <v>66</v>
      </c>
      <c r="AF7" s="21" t="str">
        <f>MID(L6,2,1)</f>
        <v>0</v>
      </c>
      <c r="AG7" s="26" t="str">
        <f t="shared" ref="AG7:AG13" si="7">AF7</f>
        <v>0</v>
      </c>
      <c r="AH7" s="7" t="s">
        <v>68</v>
      </c>
      <c r="AI7" s="8" t="s">
        <v>66</v>
      </c>
      <c r="AJ7" s="400"/>
      <c r="AK7" s="401"/>
    </row>
    <row r="8" spans="1:37" x14ac:dyDescent="0.3">
      <c r="A8" s="271" t="s">
        <v>1245</v>
      </c>
      <c r="B8" s="87" t="s">
        <v>1245</v>
      </c>
      <c r="C8" s="7" t="s">
        <v>1678</v>
      </c>
      <c r="D8" s="333" t="str">
        <f>D5</f>
        <v>07</v>
      </c>
      <c r="E8" s="333" t="str">
        <f>E5</f>
        <v>37</v>
      </c>
      <c r="F8" s="99" t="str">
        <f>MID($A$4,4,2)</f>
        <v>G1</v>
      </c>
      <c r="G8" s="99" t="str">
        <f>MID($A$4,6,2)</f>
        <v>G1</v>
      </c>
      <c r="N8" s="8"/>
      <c r="P8" s="21" t="str">
        <f>MID(H6,3,1)</f>
        <v>0</v>
      </c>
      <c r="Q8" s="26" t="str">
        <f t="shared" si="4"/>
        <v>0</v>
      </c>
      <c r="R8" s="7" t="s">
        <v>69</v>
      </c>
      <c r="S8" s="8" t="s">
        <v>66</v>
      </c>
      <c r="T8" s="21" t="str">
        <f>MID(I6,3,1)</f>
        <v>0</v>
      </c>
      <c r="U8" s="26" t="str">
        <f t="shared" si="2"/>
        <v>0</v>
      </c>
      <c r="V8" s="7" t="s">
        <v>69</v>
      </c>
      <c r="W8" s="8" t="s">
        <v>66</v>
      </c>
      <c r="X8" s="21" t="str">
        <f>MID(J6,3,1)</f>
        <v>0</v>
      </c>
      <c r="Y8" s="26" t="str">
        <f t="shared" si="5"/>
        <v>0</v>
      </c>
      <c r="Z8" s="7" t="s">
        <v>69</v>
      </c>
      <c r="AA8" s="8" t="s">
        <v>66</v>
      </c>
      <c r="AB8" s="21" t="str">
        <f>MID(K6,3,1)</f>
        <v>0</v>
      </c>
      <c r="AC8" s="26" t="str">
        <f t="shared" si="6"/>
        <v>0</v>
      </c>
      <c r="AD8" s="7" t="s">
        <v>69</v>
      </c>
      <c r="AE8" s="8" t="s">
        <v>66</v>
      </c>
      <c r="AF8" s="21" t="str">
        <f>MID(L6,3,1)</f>
        <v>0</v>
      </c>
      <c r="AG8" s="26" t="str">
        <f t="shared" si="7"/>
        <v>0</v>
      </c>
      <c r="AH8" s="7" t="s">
        <v>69</v>
      </c>
      <c r="AI8" s="8" t="s">
        <v>66</v>
      </c>
      <c r="AJ8" s="400"/>
      <c r="AK8" s="401"/>
    </row>
    <row r="9" spans="1:37" ht="15" thickBot="1" x14ac:dyDescent="0.35">
      <c r="A9" s="271" t="s">
        <v>1247</v>
      </c>
      <c r="B9" s="87" t="str">
        <f>A9</f>
        <v>737G3G1FFFFFFFFFF3D</v>
      </c>
      <c r="C9" s="7"/>
      <c r="N9" s="8"/>
      <c r="P9" s="21" t="str">
        <f>MID(H6,4,1)</f>
        <v>0</v>
      </c>
      <c r="Q9" s="26" t="str">
        <f t="shared" si="4"/>
        <v>0</v>
      </c>
      <c r="R9" s="7" t="s">
        <v>70</v>
      </c>
      <c r="S9" s="8" t="s">
        <v>66</v>
      </c>
      <c r="T9" s="21" t="str">
        <f>MID(I6,4,1)</f>
        <v>0</v>
      </c>
      <c r="U9" s="26" t="str">
        <f t="shared" si="2"/>
        <v>0</v>
      </c>
      <c r="V9" s="7" t="s">
        <v>70</v>
      </c>
      <c r="W9" s="8" t="s">
        <v>66</v>
      </c>
      <c r="X9" s="21" t="str">
        <f>MID(J6,4,1)</f>
        <v>0</v>
      </c>
      <c r="Y9" s="26" t="str">
        <f t="shared" si="5"/>
        <v>0</v>
      </c>
      <c r="Z9" s="7" t="s">
        <v>70</v>
      </c>
      <c r="AA9" s="8" t="s">
        <v>66</v>
      </c>
      <c r="AB9" s="21" t="str">
        <f>MID(K6,4,1)</f>
        <v>0</v>
      </c>
      <c r="AC9" s="26" t="str">
        <f t="shared" si="6"/>
        <v>0</v>
      </c>
      <c r="AD9" s="7" t="s">
        <v>70</v>
      </c>
      <c r="AE9" s="8" t="s">
        <v>66</v>
      </c>
      <c r="AF9" s="21" t="str">
        <f>MID(L6,4,1)</f>
        <v>0</v>
      </c>
      <c r="AG9" s="26" t="str">
        <f t="shared" si="7"/>
        <v>0</v>
      </c>
      <c r="AH9" s="7" t="s">
        <v>70</v>
      </c>
      <c r="AI9" s="8" t="s">
        <v>66</v>
      </c>
      <c r="AJ9" s="400"/>
      <c r="AK9" s="401"/>
    </row>
    <row r="10" spans="1:37" ht="15" thickBot="1" x14ac:dyDescent="0.35">
      <c r="A10" s="273" t="s">
        <v>1248</v>
      </c>
      <c r="B10" s="87" t="str">
        <f t="shared" ref="B10:B13" si="8">A10</f>
        <v>737G3G2FFFFFFFFFF3E</v>
      </c>
      <c r="C10" s="7" t="s">
        <v>56</v>
      </c>
      <c r="D10" s="15" t="str">
        <f>D5</f>
        <v>07</v>
      </c>
      <c r="E10" s="16" t="str">
        <f>E5</f>
        <v>37</v>
      </c>
      <c r="F10" s="16" t="str">
        <f>F5</f>
        <v>01</v>
      </c>
      <c r="G10" s="17" t="str">
        <f>G5</f>
        <v>01</v>
      </c>
      <c r="H10" s="23" t="str">
        <f>BIN2HEX(H11,2)</f>
        <v>00</v>
      </c>
      <c r="I10" s="25" t="str">
        <f t="shared" ref="I10:L10" si="9">BIN2HEX(I11,2)</f>
        <v>00</v>
      </c>
      <c r="J10" s="24" t="str">
        <f t="shared" si="9"/>
        <v>00</v>
      </c>
      <c r="K10" s="2" t="str">
        <f t="shared" si="9"/>
        <v>00</v>
      </c>
      <c r="L10" s="18" t="str">
        <f t="shared" si="9"/>
        <v>00</v>
      </c>
      <c r="M10" s="3" t="str">
        <f>IF(LEN(M11)&gt;2,MID(M11,2,2),M11)</f>
        <v>40</v>
      </c>
      <c r="N10" s="8" t="s">
        <v>61</v>
      </c>
      <c r="P10" s="21" t="str">
        <f>MID(H6,5,1)</f>
        <v>0</v>
      </c>
      <c r="Q10" s="26" t="str">
        <f t="shared" si="4"/>
        <v>0</v>
      </c>
      <c r="R10" s="7" t="s">
        <v>71</v>
      </c>
      <c r="S10" s="8" t="s">
        <v>66</v>
      </c>
      <c r="T10" s="21" t="str">
        <f>MID(I6,5,1)</f>
        <v>0</v>
      </c>
      <c r="U10" s="26" t="str">
        <f t="shared" si="2"/>
        <v>0</v>
      </c>
      <c r="V10" s="7" t="s">
        <v>71</v>
      </c>
      <c r="W10" s="8" t="s">
        <v>66</v>
      </c>
      <c r="X10" s="21" t="str">
        <f>MID(J6,5,1)</f>
        <v>0</v>
      </c>
      <c r="Y10" s="26" t="str">
        <f t="shared" si="5"/>
        <v>0</v>
      </c>
      <c r="Z10" s="7" t="s">
        <v>71</v>
      </c>
      <c r="AA10" s="8" t="s">
        <v>66</v>
      </c>
      <c r="AB10" s="21" t="str">
        <f>MID(K6,5,1)</f>
        <v>0</v>
      </c>
      <c r="AC10" s="26" t="str">
        <f t="shared" si="6"/>
        <v>0</v>
      </c>
      <c r="AD10" s="7" t="s">
        <v>71</v>
      </c>
      <c r="AE10" s="8" t="s">
        <v>66</v>
      </c>
      <c r="AF10" s="21" t="str">
        <f>MID(L6,5,1)</f>
        <v>0</v>
      </c>
      <c r="AG10" s="26" t="str">
        <f t="shared" si="7"/>
        <v>0</v>
      </c>
      <c r="AH10" s="7" t="s">
        <v>71</v>
      </c>
      <c r="AI10" s="8" t="s">
        <v>66</v>
      </c>
      <c r="AJ10" s="400"/>
      <c r="AK10" s="401"/>
    </row>
    <row r="11" spans="1:37" x14ac:dyDescent="0.3">
      <c r="A11" s="273" t="s">
        <v>1249</v>
      </c>
      <c r="B11" s="87" t="str">
        <f t="shared" si="8"/>
        <v>737G3G3FFFFFFFFFF3F</v>
      </c>
      <c r="C11" s="7" t="s">
        <v>64</v>
      </c>
      <c r="D11" s="99" t="str">
        <f>HEX2BIN(D10,8)</f>
        <v>00000111</v>
      </c>
      <c r="E11" s="99" t="str">
        <f t="shared" ref="E11:G11" si="10">HEX2BIN(E10,8)</f>
        <v>00110111</v>
      </c>
      <c r="F11" s="99" t="str">
        <f t="shared" si="10"/>
        <v>00000001</v>
      </c>
      <c r="G11" s="99" t="str">
        <f t="shared" si="10"/>
        <v>00000001</v>
      </c>
      <c r="H11" s="29" t="str">
        <f>Q6&amp;Q7&amp;Q8&amp;Q9&amp;Q10&amp;Q11&amp;Q12&amp;Q13</f>
        <v>00000000</v>
      </c>
      <c r="I11" s="99" t="str">
        <f>U6&amp;U7&amp;U8&amp;U9&amp;U10&amp;U11&amp;U12&amp;U13</f>
        <v>00000000</v>
      </c>
      <c r="J11" s="29" t="str">
        <f>Y6&amp;Y7&amp;Y8&amp;Y9&amp;Y10&amp;Y11&amp;Y12&amp;Y13</f>
        <v>00000000</v>
      </c>
      <c r="K11" s="29" t="str">
        <f>AC6&amp;AC7&amp;AC8&amp;AC9&amp;AC10&amp;AC11&amp;AC12&amp;AC13</f>
        <v>00000000</v>
      </c>
      <c r="L11" s="99" t="str">
        <f>AG6&amp;AG7&amp;AG8&amp;AG9&amp;AG10&amp;AG11&amp;AG12&amp;AG13</f>
        <v>00000000</v>
      </c>
      <c r="M11" s="99" t="str">
        <f>DEC2HEX(M12)</f>
        <v>40</v>
      </c>
      <c r="N11" s="8"/>
      <c r="P11" s="21" t="str">
        <f>MID(H6,6,1)</f>
        <v>0</v>
      </c>
      <c r="Q11" s="26" t="str">
        <f t="shared" si="4"/>
        <v>0</v>
      </c>
      <c r="R11" s="7" t="s">
        <v>72</v>
      </c>
      <c r="S11" s="8" t="s">
        <v>66</v>
      </c>
      <c r="T11" s="21" t="str">
        <f>MID(I6,6,1)</f>
        <v>0</v>
      </c>
      <c r="U11" s="26" t="str">
        <f t="shared" si="2"/>
        <v>0</v>
      </c>
      <c r="V11" s="7" t="s">
        <v>72</v>
      </c>
      <c r="W11" s="8" t="s">
        <v>66</v>
      </c>
      <c r="X11" s="21" t="str">
        <f>MID(J6,6,1)</f>
        <v>0</v>
      </c>
      <c r="Y11" s="26" t="str">
        <f t="shared" si="5"/>
        <v>0</v>
      </c>
      <c r="Z11" s="7" t="s">
        <v>72</v>
      </c>
      <c r="AA11" s="8" t="s">
        <v>66</v>
      </c>
      <c r="AB11" s="21" t="str">
        <f>MID(K6,6,1)</f>
        <v>0</v>
      </c>
      <c r="AC11" s="26" t="str">
        <f t="shared" si="6"/>
        <v>0</v>
      </c>
      <c r="AD11" s="7" t="s">
        <v>72</v>
      </c>
      <c r="AE11" s="8" t="s">
        <v>66</v>
      </c>
      <c r="AF11" s="21" t="str">
        <f>MID(L6,6,1)</f>
        <v>0</v>
      </c>
      <c r="AG11" s="26" t="str">
        <f t="shared" si="7"/>
        <v>0</v>
      </c>
      <c r="AH11" s="7" t="s">
        <v>72</v>
      </c>
      <c r="AI11" s="8" t="s">
        <v>66</v>
      </c>
      <c r="AJ11" s="400"/>
      <c r="AK11" s="401"/>
    </row>
    <row r="12" spans="1:37" x14ac:dyDescent="0.3">
      <c r="A12" s="273" t="s">
        <v>1250</v>
      </c>
      <c r="B12" s="87" t="str">
        <f t="shared" si="8"/>
        <v>737G3G4FFFFFFFFFF40</v>
      </c>
      <c r="C12" s="7" t="s">
        <v>67</v>
      </c>
      <c r="D12" s="99">
        <f>HEX2DEC(D10)</f>
        <v>7</v>
      </c>
      <c r="E12" s="99">
        <f t="shared" ref="E12:L12" si="11">HEX2DEC(E10)</f>
        <v>55</v>
      </c>
      <c r="F12" s="99">
        <f t="shared" si="11"/>
        <v>1</v>
      </c>
      <c r="G12" s="99">
        <f t="shared" si="11"/>
        <v>1</v>
      </c>
      <c r="H12" s="99">
        <f t="shared" si="11"/>
        <v>0</v>
      </c>
      <c r="I12" s="99">
        <f>HEX2DEC(I10)</f>
        <v>0</v>
      </c>
      <c r="J12" s="99">
        <f t="shared" si="11"/>
        <v>0</v>
      </c>
      <c r="K12" s="99">
        <f t="shared" si="11"/>
        <v>0</v>
      </c>
      <c r="L12" s="99">
        <f t="shared" si="11"/>
        <v>0</v>
      </c>
      <c r="M12" s="99">
        <f>SUM(D12:L12)</f>
        <v>64</v>
      </c>
      <c r="N12" s="8"/>
      <c r="P12" s="21" t="str">
        <f>MID(H6,7,1)</f>
        <v>0</v>
      </c>
      <c r="Q12" s="26" t="str">
        <f t="shared" si="4"/>
        <v>0</v>
      </c>
      <c r="R12" s="7" t="s">
        <v>73</v>
      </c>
      <c r="S12" s="8" t="s">
        <v>66</v>
      </c>
      <c r="T12" s="21" t="str">
        <f>MID(I6,7,1)</f>
        <v>0</v>
      </c>
      <c r="U12" s="26" t="str">
        <f t="shared" si="2"/>
        <v>0</v>
      </c>
      <c r="V12" s="7" t="s">
        <v>73</v>
      </c>
      <c r="W12" s="8" t="s">
        <v>66</v>
      </c>
      <c r="X12" s="21" t="str">
        <f>MID(J6,7,1)</f>
        <v>0</v>
      </c>
      <c r="Y12" s="26" t="str">
        <f t="shared" si="5"/>
        <v>0</v>
      </c>
      <c r="Z12" s="7" t="s">
        <v>73</v>
      </c>
      <c r="AA12" s="8" t="s">
        <v>66</v>
      </c>
      <c r="AB12" s="21" t="str">
        <f>MID(K6,7,1)</f>
        <v>0</v>
      </c>
      <c r="AC12" s="26" t="str">
        <f t="shared" si="6"/>
        <v>0</v>
      </c>
      <c r="AD12" s="7" t="s">
        <v>73</v>
      </c>
      <c r="AE12" s="8" t="s">
        <v>66</v>
      </c>
      <c r="AF12" s="21" t="str">
        <f>MID(L6,7,1)</f>
        <v>0</v>
      </c>
      <c r="AG12" s="26" t="str">
        <f t="shared" si="7"/>
        <v>0</v>
      </c>
      <c r="AH12" s="7" t="s">
        <v>73</v>
      </c>
      <c r="AI12" s="8" t="s">
        <v>66</v>
      </c>
      <c r="AJ12" s="400"/>
      <c r="AK12" s="401"/>
    </row>
    <row r="13" spans="1:37" ht="15" thickBot="1" x14ac:dyDescent="0.35">
      <c r="A13" s="274" t="s">
        <v>1251</v>
      </c>
      <c r="B13" s="87" t="str">
        <f t="shared" si="8"/>
        <v>737G3G5FFFFFFFF42</v>
      </c>
      <c r="C13" s="9" t="s">
        <v>1678</v>
      </c>
      <c r="D13" s="335" t="str">
        <f>D8</f>
        <v>07</v>
      </c>
      <c r="E13" s="335" t="str">
        <f t="shared" ref="E13:G13" si="12">E8</f>
        <v>37</v>
      </c>
      <c r="F13" s="335" t="str">
        <f t="shared" si="12"/>
        <v>G1</v>
      </c>
      <c r="G13" s="335" t="str">
        <f t="shared" si="12"/>
        <v>G1</v>
      </c>
      <c r="H13" s="10"/>
      <c r="I13" s="10"/>
      <c r="J13" s="10"/>
      <c r="K13" s="10"/>
      <c r="L13" s="10"/>
      <c r="M13" s="10"/>
      <c r="N13" s="11"/>
      <c r="P13" s="22" t="str">
        <f>MID(H6,8,1)</f>
        <v>0</v>
      </c>
      <c r="Q13" s="26" t="str">
        <f t="shared" si="4"/>
        <v>0</v>
      </c>
      <c r="R13" s="9" t="s">
        <v>74</v>
      </c>
      <c r="S13" s="11" t="s">
        <v>66</v>
      </c>
      <c r="T13" s="22" t="str">
        <f>MID(I6,8,1)</f>
        <v>0</v>
      </c>
      <c r="U13" s="26" t="str">
        <f t="shared" si="2"/>
        <v>0</v>
      </c>
      <c r="V13" s="9" t="s">
        <v>74</v>
      </c>
      <c r="W13" s="11" t="s">
        <v>66</v>
      </c>
      <c r="X13" s="22" t="str">
        <f>MID(J6,8,1)</f>
        <v>0</v>
      </c>
      <c r="Y13" s="26" t="str">
        <f t="shared" si="5"/>
        <v>0</v>
      </c>
      <c r="Z13" s="9" t="s">
        <v>74</v>
      </c>
      <c r="AA13" s="11" t="s">
        <v>66</v>
      </c>
      <c r="AB13" s="22" t="str">
        <f>MID(K6,8,1)</f>
        <v>0</v>
      </c>
      <c r="AC13" s="26" t="str">
        <f t="shared" si="6"/>
        <v>0</v>
      </c>
      <c r="AD13" s="9" t="s">
        <v>74</v>
      </c>
      <c r="AE13" s="11" t="s">
        <v>66</v>
      </c>
      <c r="AF13" s="22" t="str">
        <f>MID(L6,8,1)</f>
        <v>0</v>
      </c>
      <c r="AG13" s="26" t="str">
        <f t="shared" si="7"/>
        <v>0</v>
      </c>
      <c r="AH13" s="9" t="s">
        <v>74</v>
      </c>
      <c r="AI13" s="11" t="s">
        <v>66</v>
      </c>
      <c r="AJ13" s="402"/>
      <c r="AK13" s="404"/>
    </row>
    <row r="14" spans="1:37" ht="15" thickBot="1" x14ac:dyDescent="0.35">
      <c r="C14" s="4"/>
      <c r="D14" s="5"/>
      <c r="E14" s="5"/>
      <c r="F14" s="5"/>
      <c r="G14" s="5"/>
      <c r="H14" s="5"/>
      <c r="I14" s="5"/>
      <c r="J14" s="5"/>
      <c r="K14" s="5" t="s">
        <v>41</v>
      </c>
      <c r="L14" s="5"/>
      <c r="N14" s="6"/>
      <c r="P14" s="392" t="s">
        <v>75</v>
      </c>
      <c r="Q14" s="392"/>
      <c r="R14" s="392"/>
      <c r="S14" s="392"/>
      <c r="T14" s="392"/>
      <c r="U14" s="392"/>
      <c r="V14" s="392"/>
      <c r="W14" s="392"/>
      <c r="X14" s="392"/>
      <c r="Y14" s="392"/>
      <c r="Z14" s="392"/>
      <c r="AA14" s="392"/>
      <c r="AB14" s="392"/>
      <c r="AC14" s="392"/>
      <c r="AD14" s="392"/>
      <c r="AE14" s="392"/>
      <c r="AF14" s="405"/>
      <c r="AG14" s="405"/>
      <c r="AH14" s="405"/>
      <c r="AI14" s="405"/>
      <c r="AJ14" s="405"/>
      <c r="AK14" s="405"/>
    </row>
    <row r="15" spans="1:37" ht="15" thickBot="1" x14ac:dyDescent="0.35">
      <c r="C15" s="7"/>
      <c r="D15" s="393" t="s">
        <v>1528</v>
      </c>
      <c r="E15" s="393"/>
      <c r="F15" s="393"/>
      <c r="G15" s="393"/>
      <c r="H15" s="99" t="s">
        <v>44</v>
      </c>
      <c r="I15" s="99" t="s">
        <v>45</v>
      </c>
      <c r="J15" s="99" t="s">
        <v>46</v>
      </c>
      <c r="K15" s="99" t="s">
        <v>47</v>
      </c>
      <c r="N15" s="8"/>
      <c r="P15" s="394" t="s">
        <v>50</v>
      </c>
      <c r="Q15" s="395"/>
      <c r="R15" s="395"/>
      <c r="S15" s="396"/>
      <c r="T15" s="394" t="s">
        <v>51</v>
      </c>
      <c r="U15" s="395"/>
      <c r="V15" s="395"/>
      <c r="W15" s="396"/>
      <c r="X15" s="394" t="s">
        <v>52</v>
      </c>
      <c r="Y15" s="395"/>
      <c r="Z15" s="395"/>
      <c r="AA15" s="396"/>
      <c r="AB15" s="397" t="s">
        <v>76</v>
      </c>
      <c r="AC15" s="395"/>
      <c r="AD15" s="395"/>
      <c r="AE15" s="395"/>
      <c r="AF15" s="7"/>
    </row>
    <row r="16" spans="1:37" ht="15" thickBot="1" x14ac:dyDescent="0.35">
      <c r="C16" s="7" t="s">
        <v>56</v>
      </c>
      <c r="D16" s="12" t="s">
        <v>57</v>
      </c>
      <c r="E16" s="13" t="s">
        <v>58</v>
      </c>
      <c r="F16" s="13" t="s">
        <v>59</v>
      </c>
      <c r="G16" s="14" t="s">
        <v>77</v>
      </c>
      <c r="H16" s="316" t="str">
        <f>MID($A$5,8,2)</f>
        <v>00</v>
      </c>
      <c r="I16" s="317" t="str">
        <f>MID($A$5,10,2)</f>
        <v>00</v>
      </c>
      <c r="J16" s="320" t="str">
        <f>MID($A$5,12,2)</f>
        <v>00</v>
      </c>
      <c r="K16" s="319" t="str">
        <f>MID($A$5,14,2)</f>
        <v>41</v>
      </c>
      <c r="N16" s="8" t="s">
        <v>60</v>
      </c>
      <c r="P16" s="19" t="s">
        <v>60</v>
      </c>
      <c r="Q16" s="20" t="s">
        <v>61</v>
      </c>
      <c r="R16" t="s">
        <v>62</v>
      </c>
      <c r="S16" s="8"/>
      <c r="T16" s="19" t="s">
        <v>60</v>
      </c>
      <c r="U16" s="20" t="s">
        <v>61</v>
      </c>
      <c r="V16" t="s">
        <v>62</v>
      </c>
      <c r="W16" s="8"/>
      <c r="X16" s="19" t="s">
        <v>60</v>
      </c>
      <c r="Y16" s="20" t="s">
        <v>61</v>
      </c>
      <c r="Z16" t="s">
        <v>62</v>
      </c>
      <c r="AA16" s="8"/>
      <c r="AB16" s="394" t="s">
        <v>63</v>
      </c>
      <c r="AC16" s="395"/>
      <c r="AD16" s="395"/>
      <c r="AE16" s="396"/>
      <c r="AF16" s="7"/>
    </row>
    <row r="17" spans="3:37" x14ac:dyDescent="0.3">
      <c r="C17" s="7" t="s">
        <v>64</v>
      </c>
      <c r="D17" s="99" t="str">
        <f>HEX2BIN(D16,8)</f>
        <v>00000111</v>
      </c>
      <c r="E17" s="99" t="str">
        <f t="shared" ref="E17:J17" si="13">HEX2BIN(E16,8)</f>
        <v>00110111</v>
      </c>
      <c r="F17" s="99" t="str">
        <f t="shared" si="13"/>
        <v>00000001</v>
      </c>
      <c r="G17" s="99" t="str">
        <f t="shared" si="13"/>
        <v>00000010</v>
      </c>
      <c r="H17" s="99" t="str">
        <f t="shared" si="13"/>
        <v>00000000</v>
      </c>
      <c r="I17" s="99" t="str">
        <f t="shared" si="13"/>
        <v>00000000</v>
      </c>
      <c r="J17" s="99" t="str">
        <f t="shared" si="13"/>
        <v>00000000</v>
      </c>
      <c r="N17" s="8"/>
      <c r="P17" s="21" t="str">
        <f>MID(H17,1,1)</f>
        <v>0</v>
      </c>
      <c r="Q17" s="26" t="str">
        <f>P17</f>
        <v>0</v>
      </c>
      <c r="R17" s="7" t="s">
        <v>65</v>
      </c>
      <c r="S17" s="8" t="s">
        <v>66</v>
      </c>
      <c r="T17" s="21" t="str">
        <f>MID(I17,1,1)</f>
        <v>0</v>
      </c>
      <c r="U17" s="26" t="str">
        <f>T17</f>
        <v>0</v>
      </c>
      <c r="V17" s="7" t="s">
        <v>65</v>
      </c>
      <c r="W17" s="8" t="s">
        <v>66</v>
      </c>
      <c r="X17" s="21" t="str">
        <f>MID(J17,1,1)</f>
        <v>0</v>
      </c>
      <c r="Y17" s="26" t="str">
        <f>X17</f>
        <v>0</v>
      </c>
      <c r="Z17" s="7" t="s">
        <v>65</v>
      </c>
      <c r="AA17" s="8" t="s">
        <v>66</v>
      </c>
      <c r="AB17" s="400"/>
      <c r="AC17" s="381"/>
      <c r="AD17" s="381"/>
      <c r="AE17" s="401"/>
      <c r="AF17" s="7"/>
    </row>
    <row r="18" spans="3:37" x14ac:dyDescent="0.3">
      <c r="C18" s="7" t="s">
        <v>67</v>
      </c>
      <c r="D18" s="99">
        <f>HEX2DEC(D16)</f>
        <v>7</v>
      </c>
      <c r="E18" s="99">
        <f t="shared" ref="E18:J18" si="14">HEX2DEC(E16)</f>
        <v>55</v>
      </c>
      <c r="F18" s="99">
        <f t="shared" si="14"/>
        <v>1</v>
      </c>
      <c r="G18" s="99">
        <f t="shared" si="14"/>
        <v>2</v>
      </c>
      <c r="H18" s="99">
        <f t="shared" si="14"/>
        <v>0</v>
      </c>
      <c r="I18" s="99">
        <f t="shared" si="14"/>
        <v>0</v>
      </c>
      <c r="J18" s="99">
        <f t="shared" si="14"/>
        <v>0</v>
      </c>
      <c r="K18" s="99">
        <f>SUM(D18:J18)</f>
        <v>65</v>
      </c>
      <c r="N18" s="8"/>
      <c r="P18" s="21" t="str">
        <f>MID(H17,2,1)</f>
        <v>0</v>
      </c>
      <c r="Q18" s="26" t="str">
        <f t="shared" ref="Q18:Q24" si="15">P18</f>
        <v>0</v>
      </c>
      <c r="R18" s="7" t="s">
        <v>68</v>
      </c>
      <c r="S18" s="8" t="s">
        <v>66</v>
      </c>
      <c r="T18" s="21" t="str">
        <f>MID(I17,2,1)</f>
        <v>0</v>
      </c>
      <c r="U18" s="26" t="str">
        <f t="shared" ref="U18:U24" si="16">T18</f>
        <v>0</v>
      </c>
      <c r="V18" s="7" t="s">
        <v>68</v>
      </c>
      <c r="W18" s="8" t="s">
        <v>66</v>
      </c>
      <c r="X18" s="21" t="str">
        <f>MID(J17,2,1)</f>
        <v>0</v>
      </c>
      <c r="Y18" s="26" t="str">
        <f t="shared" ref="Y18:Y24" si="17">X18</f>
        <v>0</v>
      </c>
      <c r="Z18" s="7" t="s">
        <v>68</v>
      </c>
      <c r="AA18" s="8" t="s">
        <v>66</v>
      </c>
      <c r="AB18" s="400"/>
      <c r="AC18" s="381"/>
      <c r="AD18" s="381"/>
      <c r="AE18" s="401"/>
      <c r="AF18" s="7"/>
    </row>
    <row r="19" spans="3:37" x14ac:dyDescent="0.3">
      <c r="C19" s="7" t="s">
        <v>1678</v>
      </c>
      <c r="D19" s="99" t="str">
        <f>D16</f>
        <v>07</v>
      </c>
      <c r="E19" s="99" t="str">
        <f t="shared" ref="E19" si="18">E16</f>
        <v>37</v>
      </c>
      <c r="F19" s="99" t="str">
        <f>MID($A$5,4,2)</f>
        <v>G1</v>
      </c>
      <c r="G19" s="99" t="str">
        <f>MID($A$5,6,2)</f>
        <v>G2</v>
      </c>
      <c r="N19" s="8"/>
      <c r="P19" s="21" t="str">
        <f>MID(H17,3,1)</f>
        <v>0</v>
      </c>
      <c r="Q19" s="26" t="str">
        <f t="shared" si="15"/>
        <v>0</v>
      </c>
      <c r="R19" s="7" t="s">
        <v>69</v>
      </c>
      <c r="S19" s="8" t="s">
        <v>66</v>
      </c>
      <c r="T19" s="21" t="str">
        <f>MID(I17,3,1)</f>
        <v>0</v>
      </c>
      <c r="U19" s="26" t="str">
        <f t="shared" si="16"/>
        <v>0</v>
      </c>
      <c r="V19" s="7" t="s">
        <v>69</v>
      </c>
      <c r="W19" s="8" t="s">
        <v>66</v>
      </c>
      <c r="X19" s="21" t="str">
        <f>MID(J17,3,1)</f>
        <v>0</v>
      </c>
      <c r="Y19" s="26" t="str">
        <f t="shared" si="17"/>
        <v>0</v>
      </c>
      <c r="Z19" s="7" t="s">
        <v>69</v>
      </c>
      <c r="AA19" s="8" t="s">
        <v>66</v>
      </c>
      <c r="AB19" s="400"/>
      <c r="AC19" s="381"/>
      <c r="AD19" s="381"/>
      <c r="AE19" s="401"/>
      <c r="AF19" s="7"/>
    </row>
    <row r="20" spans="3:37" ht="15" thickBot="1" x14ac:dyDescent="0.35">
      <c r="C20" s="7"/>
      <c r="N20" s="8"/>
      <c r="P20" s="21" t="str">
        <f>MID(H17,4,1)</f>
        <v>0</v>
      </c>
      <c r="Q20" s="26" t="str">
        <f t="shared" si="15"/>
        <v>0</v>
      </c>
      <c r="R20" s="7" t="s">
        <v>70</v>
      </c>
      <c r="S20" s="8" t="s">
        <v>66</v>
      </c>
      <c r="T20" s="21" t="str">
        <f>MID(I17,4,1)</f>
        <v>0</v>
      </c>
      <c r="U20" s="26" t="str">
        <f t="shared" si="16"/>
        <v>0</v>
      </c>
      <c r="V20" s="7" t="s">
        <v>70</v>
      </c>
      <c r="W20" s="8" t="s">
        <v>66</v>
      </c>
      <c r="X20" s="21" t="str">
        <f>MID(J17,4,1)</f>
        <v>0</v>
      </c>
      <c r="Y20" s="26" t="str">
        <f t="shared" si="17"/>
        <v>0</v>
      </c>
      <c r="Z20" s="7" t="s">
        <v>70</v>
      </c>
      <c r="AA20" s="8" t="s">
        <v>66</v>
      </c>
      <c r="AB20" s="400"/>
      <c r="AC20" s="381"/>
      <c r="AD20" s="381"/>
      <c r="AE20" s="401"/>
      <c r="AF20" s="7"/>
    </row>
    <row r="21" spans="3:37" ht="15" thickBot="1" x14ac:dyDescent="0.35">
      <c r="C21" s="7" t="s">
        <v>56</v>
      </c>
      <c r="D21" s="15" t="str">
        <f t="shared" ref="D21:G21" si="19">D16</f>
        <v>07</v>
      </c>
      <c r="E21" s="16" t="str">
        <f t="shared" si="19"/>
        <v>37</v>
      </c>
      <c r="F21" s="16" t="str">
        <f t="shared" si="19"/>
        <v>01</v>
      </c>
      <c r="G21" s="17" t="str">
        <f t="shared" si="19"/>
        <v>02</v>
      </c>
      <c r="H21" s="23" t="str">
        <f>BIN2HEX(H22,2)</f>
        <v>00</v>
      </c>
      <c r="I21" s="25" t="str">
        <f t="shared" ref="I21:J21" si="20">BIN2HEX(I22,2)</f>
        <v>00</v>
      </c>
      <c r="J21" s="24" t="str">
        <f t="shared" si="20"/>
        <v>00</v>
      </c>
      <c r="K21" s="314" t="str">
        <f>IF(LEN(K22)&gt;2,MID(K22,2,2),K22)</f>
        <v>41</v>
      </c>
      <c r="N21" s="8" t="s">
        <v>61</v>
      </c>
      <c r="P21" s="21" t="str">
        <f>MID(H17,5,1)</f>
        <v>0</v>
      </c>
      <c r="Q21" s="26" t="str">
        <f t="shared" si="15"/>
        <v>0</v>
      </c>
      <c r="R21" s="7" t="s">
        <v>71</v>
      </c>
      <c r="S21" s="8" t="s">
        <v>66</v>
      </c>
      <c r="T21" s="21" t="str">
        <f>MID(I17,5,1)</f>
        <v>0</v>
      </c>
      <c r="U21" s="26" t="str">
        <f t="shared" si="16"/>
        <v>0</v>
      </c>
      <c r="V21" s="7" t="s">
        <v>71</v>
      </c>
      <c r="W21" s="8" t="s">
        <v>66</v>
      </c>
      <c r="X21" s="21" t="str">
        <f>MID(J17,5,1)</f>
        <v>0</v>
      </c>
      <c r="Y21" s="26" t="str">
        <f t="shared" si="17"/>
        <v>0</v>
      </c>
      <c r="Z21" s="7" t="s">
        <v>71</v>
      </c>
      <c r="AA21" s="8" t="s">
        <v>66</v>
      </c>
      <c r="AB21" s="400"/>
      <c r="AC21" s="381"/>
      <c r="AD21" s="381"/>
      <c r="AE21" s="401"/>
      <c r="AF21" s="7"/>
    </row>
    <row r="22" spans="3:37" x14ac:dyDescent="0.3">
      <c r="C22" s="7" t="s">
        <v>64</v>
      </c>
      <c r="D22" s="99" t="str">
        <f>HEX2BIN(D21,8)</f>
        <v>00000111</v>
      </c>
      <c r="E22" s="99" t="str">
        <f t="shared" ref="E22:G22" si="21">HEX2BIN(E21,8)</f>
        <v>00110111</v>
      </c>
      <c r="F22" s="99" t="str">
        <f t="shared" si="21"/>
        <v>00000001</v>
      </c>
      <c r="G22" s="99" t="str">
        <f t="shared" si="21"/>
        <v>00000010</v>
      </c>
      <c r="H22" s="29" t="str">
        <f>Q17&amp;Q18&amp;Q19&amp;Q20&amp;Q21&amp;Q22&amp;Q23&amp;Q24</f>
        <v>00000000</v>
      </c>
      <c r="I22" s="99" t="str">
        <f>U17&amp;U18&amp;U19&amp;U20&amp;U21&amp;U22&amp;U23&amp;U24</f>
        <v>00000000</v>
      </c>
      <c r="J22" s="29" t="str">
        <f>Y17&amp;Y18&amp;Y19&amp;Y20&amp;Y21&amp;Y22&amp;Y23&amp;Y24</f>
        <v>00000000</v>
      </c>
      <c r="K22" s="99" t="str">
        <f>DEC2HEX(K23)</f>
        <v>41</v>
      </c>
      <c r="N22" s="8"/>
      <c r="P22" s="21" t="str">
        <f>MID(H17,6,1)</f>
        <v>0</v>
      </c>
      <c r="Q22" s="26" t="str">
        <f t="shared" si="15"/>
        <v>0</v>
      </c>
      <c r="R22" s="7" t="s">
        <v>72</v>
      </c>
      <c r="S22" s="8" t="s">
        <v>66</v>
      </c>
      <c r="T22" s="21" t="str">
        <f>MID(I17,6,1)</f>
        <v>0</v>
      </c>
      <c r="U22" s="26" t="str">
        <f t="shared" si="16"/>
        <v>0</v>
      </c>
      <c r="V22" s="7" t="s">
        <v>72</v>
      </c>
      <c r="W22" s="8" t="s">
        <v>66</v>
      </c>
      <c r="X22" s="21" t="str">
        <f>MID(J17,6,1)</f>
        <v>0</v>
      </c>
      <c r="Y22" s="26" t="str">
        <f t="shared" si="17"/>
        <v>0</v>
      </c>
      <c r="Z22" s="7" t="s">
        <v>72</v>
      </c>
      <c r="AA22" s="8" t="s">
        <v>66</v>
      </c>
      <c r="AB22" s="400"/>
      <c r="AC22" s="381"/>
      <c r="AD22" s="381"/>
      <c r="AE22" s="401"/>
      <c r="AF22" s="7"/>
    </row>
    <row r="23" spans="3:37" x14ac:dyDescent="0.3">
      <c r="C23" s="7" t="s">
        <v>67</v>
      </c>
      <c r="D23" s="99">
        <f>HEX2DEC(D21)</f>
        <v>7</v>
      </c>
      <c r="E23" s="99">
        <f t="shared" ref="E23:J23" si="22">HEX2DEC(E21)</f>
        <v>55</v>
      </c>
      <c r="F23" s="99">
        <f t="shared" si="22"/>
        <v>1</v>
      </c>
      <c r="G23" s="99">
        <f t="shared" si="22"/>
        <v>2</v>
      </c>
      <c r="H23" s="99">
        <f t="shared" si="22"/>
        <v>0</v>
      </c>
      <c r="I23" s="99">
        <f t="shared" si="22"/>
        <v>0</v>
      </c>
      <c r="J23" s="99">
        <f t="shared" si="22"/>
        <v>0</v>
      </c>
      <c r="K23" s="99">
        <f>SUM(D23:J23)</f>
        <v>65</v>
      </c>
      <c r="N23" s="8"/>
      <c r="P23" s="21" t="str">
        <f>MID(H17,7,1)</f>
        <v>0</v>
      </c>
      <c r="Q23" s="26" t="str">
        <f t="shared" si="15"/>
        <v>0</v>
      </c>
      <c r="R23" s="7" t="s">
        <v>73</v>
      </c>
      <c r="S23" s="8" t="s">
        <v>66</v>
      </c>
      <c r="T23" s="21" t="str">
        <f>MID(I17,7,1)</f>
        <v>0</v>
      </c>
      <c r="U23" s="26" t="str">
        <f t="shared" si="16"/>
        <v>0</v>
      </c>
      <c r="V23" s="7" t="s">
        <v>73</v>
      </c>
      <c r="W23" s="8" t="s">
        <v>66</v>
      </c>
      <c r="X23" s="21" t="str">
        <f>MID(J17,7,1)</f>
        <v>0</v>
      </c>
      <c r="Y23" s="26" t="str">
        <f t="shared" si="17"/>
        <v>0</v>
      </c>
      <c r="Z23" s="7" t="s">
        <v>73</v>
      </c>
      <c r="AA23" s="8" t="s">
        <v>66</v>
      </c>
      <c r="AB23" s="400"/>
      <c r="AC23" s="381"/>
      <c r="AD23" s="381"/>
      <c r="AE23" s="401"/>
      <c r="AF23" s="7"/>
    </row>
    <row r="24" spans="3:37" ht="15" thickBot="1" x14ac:dyDescent="0.35">
      <c r="C24" s="9" t="s">
        <v>1678</v>
      </c>
      <c r="D24" s="336" t="str">
        <f>D19</f>
        <v>07</v>
      </c>
      <c r="E24" s="336" t="str">
        <f t="shared" ref="E24:G24" si="23">E19</f>
        <v>37</v>
      </c>
      <c r="F24" s="336" t="str">
        <f t="shared" si="23"/>
        <v>G1</v>
      </c>
      <c r="G24" s="336" t="str">
        <f t="shared" si="23"/>
        <v>G2</v>
      </c>
      <c r="H24" s="10"/>
      <c r="I24" s="10"/>
      <c r="J24" s="10"/>
      <c r="K24" s="10"/>
      <c r="L24" s="10"/>
      <c r="M24" s="10"/>
      <c r="N24" s="11"/>
      <c r="P24" s="22" t="str">
        <f>MID(H17,8,1)</f>
        <v>0</v>
      </c>
      <c r="Q24" s="26" t="str">
        <f t="shared" si="15"/>
        <v>0</v>
      </c>
      <c r="R24" s="9" t="s">
        <v>74</v>
      </c>
      <c r="S24" s="11" t="s">
        <v>66</v>
      </c>
      <c r="T24" s="22" t="str">
        <f>MID(I17,8,1)</f>
        <v>0</v>
      </c>
      <c r="U24" s="26" t="str">
        <f t="shared" si="16"/>
        <v>0</v>
      </c>
      <c r="V24" s="9" t="s">
        <v>74</v>
      </c>
      <c r="W24" s="11" t="s">
        <v>66</v>
      </c>
      <c r="X24" s="22" t="str">
        <f>MID(J17,8,1)</f>
        <v>0</v>
      </c>
      <c r="Y24" s="26" t="str">
        <f t="shared" si="17"/>
        <v>0</v>
      </c>
      <c r="Z24" s="9" t="s">
        <v>74</v>
      </c>
      <c r="AA24" s="11" t="s">
        <v>66</v>
      </c>
      <c r="AB24" s="402"/>
      <c r="AC24" s="403"/>
      <c r="AD24" s="403"/>
      <c r="AE24" s="404"/>
      <c r="AF24" s="7"/>
    </row>
    <row r="25" spans="3:37" ht="15" thickBot="1" x14ac:dyDescent="0.35">
      <c r="C25" s="4"/>
      <c r="D25" s="5"/>
      <c r="E25" s="5"/>
      <c r="F25" s="5"/>
      <c r="G25" s="5"/>
      <c r="H25" s="5"/>
      <c r="I25" s="5"/>
      <c r="J25" s="5"/>
      <c r="K25" s="5" t="s">
        <v>41</v>
      </c>
      <c r="L25" s="5"/>
      <c r="N25" s="6"/>
      <c r="P25" s="392" t="s">
        <v>78</v>
      </c>
      <c r="Q25" s="392"/>
      <c r="R25" s="392"/>
      <c r="S25" s="392"/>
      <c r="T25" s="392"/>
      <c r="U25" s="392"/>
      <c r="V25" s="392"/>
      <c r="W25" s="392"/>
      <c r="X25" s="392"/>
      <c r="Y25" s="392"/>
      <c r="Z25" s="392"/>
      <c r="AA25" s="392"/>
      <c r="AB25" s="392"/>
      <c r="AC25" s="392"/>
      <c r="AD25" s="392"/>
      <c r="AE25" s="392"/>
      <c r="AF25" s="405"/>
      <c r="AG25" s="405"/>
      <c r="AH25" s="405"/>
      <c r="AI25" s="405"/>
      <c r="AJ25" s="405"/>
      <c r="AK25" s="405"/>
    </row>
    <row r="26" spans="3:37" ht="15" thickBot="1" x14ac:dyDescent="0.35">
      <c r="C26" s="7"/>
      <c r="D26" s="393" t="s">
        <v>1529</v>
      </c>
      <c r="E26" s="393"/>
      <c r="F26" s="393"/>
      <c r="G26" s="393"/>
      <c r="H26" s="99" t="s">
        <v>44</v>
      </c>
      <c r="I26" s="99" t="s">
        <v>45</v>
      </c>
      <c r="J26" s="99" t="s">
        <v>46</v>
      </c>
      <c r="K26" s="99" t="s">
        <v>47</v>
      </c>
      <c r="N26" s="8"/>
      <c r="P26" s="394" t="s">
        <v>50</v>
      </c>
      <c r="Q26" s="395"/>
      <c r="R26" s="395"/>
      <c r="S26" s="396"/>
      <c r="T26" s="394" t="s">
        <v>51</v>
      </c>
      <c r="U26" s="395"/>
      <c r="V26" s="395"/>
      <c r="W26" s="396"/>
      <c r="X26" s="394" t="s">
        <v>52</v>
      </c>
      <c r="Y26" s="395"/>
      <c r="Z26" s="395"/>
      <c r="AA26" s="396"/>
      <c r="AB26" s="397" t="s">
        <v>76</v>
      </c>
      <c r="AC26" s="395"/>
      <c r="AD26" s="395"/>
      <c r="AE26" s="395"/>
      <c r="AF26" s="7"/>
    </row>
    <row r="27" spans="3:37" ht="15" thickBot="1" x14ac:dyDescent="0.35">
      <c r="C27" s="7" t="s">
        <v>56</v>
      </c>
      <c r="D27" s="12" t="s">
        <v>57</v>
      </c>
      <c r="E27" s="13" t="s">
        <v>58</v>
      </c>
      <c r="F27" s="13" t="s">
        <v>77</v>
      </c>
      <c r="G27" s="14" t="s">
        <v>59</v>
      </c>
      <c r="H27" s="316" t="str">
        <f>MID($A$7,8,2)</f>
        <v>00</v>
      </c>
      <c r="I27" s="317" t="str">
        <f>MID($A$7,10,2)</f>
        <v>00</v>
      </c>
      <c r="J27" s="320" t="str">
        <f>MID($A$7,12,2)</f>
        <v>00</v>
      </c>
      <c r="K27" s="319" t="str">
        <f>MID($A$7,14,2)</f>
        <v>41</v>
      </c>
      <c r="N27" s="8" t="s">
        <v>60</v>
      </c>
      <c r="P27" s="19" t="s">
        <v>60</v>
      </c>
      <c r="Q27" s="20" t="s">
        <v>61</v>
      </c>
      <c r="R27" t="s">
        <v>62</v>
      </c>
      <c r="S27" s="8"/>
      <c r="T27" s="19" t="s">
        <v>60</v>
      </c>
      <c r="U27" s="20" t="s">
        <v>61</v>
      </c>
      <c r="V27" t="s">
        <v>62</v>
      </c>
      <c r="W27" s="8"/>
      <c r="X27" s="19" t="s">
        <v>60</v>
      </c>
      <c r="Y27" s="20" t="s">
        <v>61</v>
      </c>
      <c r="Z27" t="s">
        <v>62</v>
      </c>
      <c r="AA27" s="8"/>
      <c r="AB27" s="394" t="s">
        <v>63</v>
      </c>
      <c r="AC27" s="395"/>
      <c r="AD27" s="395"/>
      <c r="AE27" s="396"/>
      <c r="AF27" s="7"/>
    </row>
    <row r="28" spans="3:37" ht="15" customHeight="1" x14ac:dyDescent="0.3">
      <c r="C28" s="7" t="s">
        <v>64</v>
      </c>
      <c r="D28" s="99" t="str">
        <f>HEX2BIN(D27,8)</f>
        <v>00000111</v>
      </c>
      <c r="E28" s="99" t="str">
        <f t="shared" ref="E28:J28" si="24">HEX2BIN(E27,8)</f>
        <v>00110111</v>
      </c>
      <c r="F28" s="99" t="str">
        <f t="shared" si="24"/>
        <v>00000010</v>
      </c>
      <c r="G28" s="99" t="str">
        <f t="shared" si="24"/>
        <v>00000001</v>
      </c>
      <c r="H28" s="99" t="str">
        <f t="shared" si="24"/>
        <v>00000000</v>
      </c>
      <c r="I28" s="99" t="str">
        <f t="shared" si="24"/>
        <v>00000000</v>
      </c>
      <c r="J28" s="99" t="str">
        <f t="shared" si="24"/>
        <v>00000000</v>
      </c>
      <c r="N28" s="8"/>
      <c r="P28" s="21" t="str">
        <f>MID(H28,1,1)</f>
        <v>0</v>
      </c>
      <c r="Q28" s="26" t="str">
        <f>P28</f>
        <v>0</v>
      </c>
      <c r="R28" s="7" t="s">
        <v>65</v>
      </c>
      <c r="S28" s="8" t="s">
        <v>66</v>
      </c>
      <c r="T28" s="21" t="str">
        <f>MID(I28,1,1)</f>
        <v>0</v>
      </c>
      <c r="U28" s="26" t="str">
        <f>T28</f>
        <v>0</v>
      </c>
      <c r="V28" s="7" t="s">
        <v>65</v>
      </c>
      <c r="W28" s="8" t="s">
        <v>66</v>
      </c>
      <c r="X28" s="21" t="str">
        <f>MID(J28,1,1)</f>
        <v>0</v>
      </c>
      <c r="Y28" s="26" t="str">
        <f>X28</f>
        <v>0</v>
      </c>
      <c r="Z28" s="7" t="s">
        <v>65</v>
      </c>
      <c r="AA28" s="8" t="s">
        <v>66</v>
      </c>
      <c r="AB28" s="400"/>
      <c r="AC28" s="381"/>
      <c r="AD28" s="381"/>
      <c r="AE28" s="401"/>
      <c r="AF28" s="7"/>
    </row>
    <row r="29" spans="3:37" x14ac:dyDescent="0.3">
      <c r="C29" s="7" t="s">
        <v>67</v>
      </c>
      <c r="D29" s="99">
        <f>HEX2DEC(D27)</f>
        <v>7</v>
      </c>
      <c r="E29" s="99">
        <f t="shared" ref="E29:J29" si="25">HEX2DEC(E27)</f>
        <v>55</v>
      </c>
      <c r="F29" s="99">
        <f t="shared" si="25"/>
        <v>2</v>
      </c>
      <c r="G29" s="99">
        <f t="shared" si="25"/>
        <v>1</v>
      </c>
      <c r="H29" s="99">
        <f t="shared" si="25"/>
        <v>0</v>
      </c>
      <c r="I29" s="99">
        <f t="shared" si="25"/>
        <v>0</v>
      </c>
      <c r="J29" s="99">
        <f t="shared" si="25"/>
        <v>0</v>
      </c>
      <c r="K29" s="99">
        <f>SUM(D29:J29)</f>
        <v>65</v>
      </c>
      <c r="N29" s="8"/>
      <c r="P29" s="21" t="str">
        <f>MID(H28,2,1)</f>
        <v>0</v>
      </c>
      <c r="Q29" s="26" t="str">
        <f t="shared" ref="Q29:Q35" si="26">P29</f>
        <v>0</v>
      </c>
      <c r="R29" s="7" t="s">
        <v>68</v>
      </c>
      <c r="S29" s="8" t="s">
        <v>66</v>
      </c>
      <c r="T29" s="21" t="str">
        <f>MID(I28,2,1)</f>
        <v>0</v>
      </c>
      <c r="U29" s="26" t="str">
        <f t="shared" ref="U29:U35" si="27">T29</f>
        <v>0</v>
      </c>
      <c r="V29" s="7" t="s">
        <v>68</v>
      </c>
      <c r="W29" s="8" t="s">
        <v>66</v>
      </c>
      <c r="X29" s="21" t="str">
        <f>MID(J28,2,1)</f>
        <v>0</v>
      </c>
      <c r="Y29" s="26" t="str">
        <f t="shared" ref="Y29:Y35" si="28">X29</f>
        <v>0</v>
      </c>
      <c r="Z29" s="7" t="s">
        <v>68</v>
      </c>
      <c r="AA29" s="8" t="s">
        <v>66</v>
      </c>
      <c r="AB29" s="400"/>
      <c r="AC29" s="381"/>
      <c r="AD29" s="381"/>
      <c r="AE29" s="401"/>
      <c r="AF29" s="7"/>
    </row>
    <row r="30" spans="3:37" x14ac:dyDescent="0.3">
      <c r="C30" s="7" t="s">
        <v>1678</v>
      </c>
      <c r="D30" s="333" t="str">
        <f>D27</f>
        <v>07</v>
      </c>
      <c r="E30" s="333" t="str">
        <f>E27</f>
        <v>37</v>
      </c>
      <c r="F30" s="99" t="str">
        <f>MID($A$7,4,2)</f>
        <v>G2</v>
      </c>
      <c r="G30" s="99" t="str">
        <f>MID($A$7,6,2)</f>
        <v>G1</v>
      </c>
      <c r="N30" s="8"/>
      <c r="P30" s="21" t="str">
        <f>MID(H28,3,1)</f>
        <v>0</v>
      </c>
      <c r="Q30" s="26" t="str">
        <f t="shared" si="26"/>
        <v>0</v>
      </c>
      <c r="R30" s="7" t="s">
        <v>69</v>
      </c>
      <c r="S30" s="8" t="s">
        <v>66</v>
      </c>
      <c r="T30" s="21" t="str">
        <f>MID(I28,3,1)</f>
        <v>0</v>
      </c>
      <c r="U30" s="26" t="str">
        <f t="shared" si="27"/>
        <v>0</v>
      </c>
      <c r="V30" s="7" t="s">
        <v>69</v>
      </c>
      <c r="W30" s="8" t="s">
        <v>66</v>
      </c>
      <c r="X30" s="21" t="str">
        <f>MID(J28,3,1)</f>
        <v>0</v>
      </c>
      <c r="Y30" s="26" t="str">
        <f t="shared" si="28"/>
        <v>0</v>
      </c>
      <c r="Z30" s="7" t="s">
        <v>69</v>
      </c>
      <c r="AA30" s="8" t="s">
        <v>66</v>
      </c>
      <c r="AB30" s="400"/>
      <c r="AC30" s="381"/>
      <c r="AD30" s="381"/>
      <c r="AE30" s="401"/>
      <c r="AF30" s="7"/>
    </row>
    <row r="31" spans="3:37" ht="15.75" customHeight="1" thickBot="1" x14ac:dyDescent="0.35">
      <c r="C31" s="7"/>
      <c r="N31" s="8"/>
      <c r="P31" s="21" t="str">
        <f>MID(H28,4,1)</f>
        <v>0</v>
      </c>
      <c r="Q31" s="26" t="str">
        <f t="shared" si="26"/>
        <v>0</v>
      </c>
      <c r="R31" s="7" t="s">
        <v>70</v>
      </c>
      <c r="S31" s="8" t="s">
        <v>66</v>
      </c>
      <c r="T31" s="21" t="str">
        <f>MID(I28,4,1)</f>
        <v>0</v>
      </c>
      <c r="U31" s="26" t="str">
        <f t="shared" si="27"/>
        <v>0</v>
      </c>
      <c r="V31" s="7" t="s">
        <v>70</v>
      </c>
      <c r="W31" s="8" t="s">
        <v>66</v>
      </c>
      <c r="X31" s="21" t="str">
        <f>MID(J28,4,1)</f>
        <v>0</v>
      </c>
      <c r="Y31" s="26" t="str">
        <f t="shared" si="28"/>
        <v>0</v>
      </c>
      <c r="Z31" s="7" t="s">
        <v>70</v>
      </c>
      <c r="AA31" s="8" t="s">
        <v>66</v>
      </c>
      <c r="AB31" s="400"/>
      <c r="AC31" s="381"/>
      <c r="AD31" s="381"/>
      <c r="AE31" s="401"/>
      <c r="AF31" s="7"/>
    </row>
    <row r="32" spans="3:37" ht="15" thickBot="1" x14ac:dyDescent="0.35">
      <c r="C32" s="7" t="s">
        <v>56</v>
      </c>
      <c r="D32" s="15" t="str">
        <f t="shared" ref="D32:G32" si="29">D27</f>
        <v>07</v>
      </c>
      <c r="E32" s="16" t="str">
        <f t="shared" si="29"/>
        <v>37</v>
      </c>
      <c r="F32" s="16" t="str">
        <f t="shared" si="29"/>
        <v>02</v>
      </c>
      <c r="G32" s="17" t="str">
        <f t="shared" si="29"/>
        <v>01</v>
      </c>
      <c r="H32" s="23" t="str">
        <f>BIN2HEX(H33,2)</f>
        <v>00</v>
      </c>
      <c r="I32" s="25" t="str">
        <f t="shared" ref="I32:J32" si="30">BIN2HEX(I33,2)</f>
        <v>00</v>
      </c>
      <c r="J32" s="24" t="str">
        <f t="shared" si="30"/>
        <v>00</v>
      </c>
      <c r="K32" s="314" t="str">
        <f>IF(LEN(K33)&gt;2,MID(K33,2,2),K33)</f>
        <v>41</v>
      </c>
      <c r="N32" s="8" t="s">
        <v>61</v>
      </c>
      <c r="P32" s="21" t="str">
        <f>MID(H28,5,1)</f>
        <v>0</v>
      </c>
      <c r="Q32" s="26" t="str">
        <f t="shared" si="26"/>
        <v>0</v>
      </c>
      <c r="R32" s="7" t="s">
        <v>71</v>
      </c>
      <c r="S32" s="8" t="s">
        <v>66</v>
      </c>
      <c r="T32" s="21" t="str">
        <f>MID(I28,5,1)</f>
        <v>0</v>
      </c>
      <c r="U32" s="26" t="str">
        <f t="shared" si="27"/>
        <v>0</v>
      </c>
      <c r="V32" s="7" t="s">
        <v>71</v>
      </c>
      <c r="W32" s="8" t="s">
        <v>66</v>
      </c>
      <c r="X32" s="21" t="str">
        <f>MID(J28,5,1)</f>
        <v>0</v>
      </c>
      <c r="Y32" s="26" t="str">
        <f t="shared" si="28"/>
        <v>0</v>
      </c>
      <c r="Z32" s="7" t="s">
        <v>71</v>
      </c>
      <c r="AA32" s="8" t="s">
        <v>66</v>
      </c>
      <c r="AB32" s="400"/>
      <c r="AC32" s="381"/>
      <c r="AD32" s="381"/>
      <c r="AE32" s="401"/>
      <c r="AF32" s="7"/>
    </row>
    <row r="33" spans="3:32" x14ac:dyDescent="0.3">
      <c r="C33" s="7" t="s">
        <v>64</v>
      </c>
      <c r="D33" s="99" t="str">
        <f>HEX2BIN(D32,8)</f>
        <v>00000111</v>
      </c>
      <c r="E33" s="99" t="str">
        <f t="shared" ref="E33:G33" si="31">HEX2BIN(E32,8)</f>
        <v>00110111</v>
      </c>
      <c r="F33" s="99" t="str">
        <f t="shared" si="31"/>
        <v>00000010</v>
      </c>
      <c r="G33" s="99" t="str">
        <f t="shared" si="31"/>
        <v>00000001</v>
      </c>
      <c r="H33" s="29" t="str">
        <f>Q28&amp;Q29&amp;Q30&amp;Q31&amp;Q32&amp;Q33&amp;Q34&amp;Q35</f>
        <v>00000000</v>
      </c>
      <c r="I33" s="99" t="str">
        <f>U28&amp;U29&amp;U30&amp;U31&amp;U32&amp;U33&amp;U34&amp;U35</f>
        <v>00000000</v>
      </c>
      <c r="J33" s="29" t="str">
        <f>Y28&amp;Y29&amp;Y30&amp;Y31&amp;Y32&amp;Y33&amp;Y34&amp;Y35</f>
        <v>00000000</v>
      </c>
      <c r="K33" s="99" t="str">
        <f>DEC2HEX(K34)</f>
        <v>41</v>
      </c>
      <c r="N33" s="8"/>
      <c r="P33" s="21" t="str">
        <f>MID(H28,6,1)</f>
        <v>0</v>
      </c>
      <c r="Q33" s="26" t="str">
        <f t="shared" si="26"/>
        <v>0</v>
      </c>
      <c r="R33" s="7" t="s">
        <v>72</v>
      </c>
      <c r="S33" s="8" t="s">
        <v>66</v>
      </c>
      <c r="T33" s="21" t="str">
        <f>MID(I28,6,1)</f>
        <v>0</v>
      </c>
      <c r="U33" s="26" t="str">
        <f t="shared" si="27"/>
        <v>0</v>
      </c>
      <c r="V33" s="7" t="s">
        <v>72</v>
      </c>
      <c r="W33" s="8" t="s">
        <v>66</v>
      </c>
      <c r="X33" s="21" t="str">
        <f>MID(J28,6,1)</f>
        <v>0</v>
      </c>
      <c r="Y33" s="26" t="str">
        <f t="shared" si="28"/>
        <v>0</v>
      </c>
      <c r="Z33" s="7" t="s">
        <v>72</v>
      </c>
      <c r="AA33" s="8" t="s">
        <v>66</v>
      </c>
      <c r="AB33" s="400"/>
      <c r="AC33" s="381"/>
      <c r="AD33" s="381"/>
      <c r="AE33" s="401"/>
      <c r="AF33" s="7"/>
    </row>
    <row r="34" spans="3:32" x14ac:dyDescent="0.3">
      <c r="C34" s="7" t="s">
        <v>67</v>
      </c>
      <c r="D34" s="99">
        <f>HEX2DEC(D32)</f>
        <v>7</v>
      </c>
      <c r="E34" s="99">
        <f t="shared" ref="E34:J34" si="32">HEX2DEC(E32)</f>
        <v>55</v>
      </c>
      <c r="F34" s="99">
        <f t="shared" si="32"/>
        <v>2</v>
      </c>
      <c r="G34" s="99">
        <f t="shared" si="32"/>
        <v>1</v>
      </c>
      <c r="H34" s="99">
        <f t="shared" si="32"/>
        <v>0</v>
      </c>
      <c r="I34" s="99">
        <f t="shared" si="32"/>
        <v>0</v>
      </c>
      <c r="J34" s="99">
        <f t="shared" si="32"/>
        <v>0</v>
      </c>
      <c r="K34" s="99">
        <f>SUM(D34:J34)</f>
        <v>65</v>
      </c>
      <c r="N34" s="8"/>
      <c r="P34" s="21" t="str">
        <f>MID(H28,7,1)</f>
        <v>0</v>
      </c>
      <c r="Q34" s="26" t="str">
        <f t="shared" si="26"/>
        <v>0</v>
      </c>
      <c r="R34" s="7" t="s">
        <v>73</v>
      </c>
      <c r="S34" s="8" t="s">
        <v>66</v>
      </c>
      <c r="T34" s="21" t="str">
        <f>MID(I28,7,1)</f>
        <v>0</v>
      </c>
      <c r="U34" s="26" t="str">
        <f t="shared" si="27"/>
        <v>0</v>
      </c>
      <c r="V34" s="7" t="s">
        <v>73</v>
      </c>
      <c r="W34" s="8" t="s">
        <v>66</v>
      </c>
      <c r="X34" s="21" t="str">
        <f>MID(J28,7,1)</f>
        <v>0</v>
      </c>
      <c r="Y34" s="26" t="str">
        <f t="shared" si="28"/>
        <v>0</v>
      </c>
      <c r="Z34" s="7" t="s">
        <v>73</v>
      </c>
      <c r="AA34" s="8" t="s">
        <v>66</v>
      </c>
      <c r="AB34" s="400"/>
      <c r="AC34" s="381"/>
      <c r="AD34" s="381"/>
      <c r="AE34" s="401"/>
      <c r="AF34" s="7"/>
    </row>
    <row r="35" spans="3:32" ht="15" thickBot="1" x14ac:dyDescent="0.35">
      <c r="C35" s="9" t="s">
        <v>1678</v>
      </c>
      <c r="D35" s="335" t="str">
        <f>D30</f>
        <v>07</v>
      </c>
      <c r="E35" s="335" t="str">
        <f t="shared" ref="E35:G35" si="33">E30</f>
        <v>37</v>
      </c>
      <c r="F35" s="335" t="str">
        <f t="shared" si="33"/>
        <v>G2</v>
      </c>
      <c r="G35" s="335" t="str">
        <f t="shared" si="33"/>
        <v>G1</v>
      </c>
      <c r="H35" s="10"/>
      <c r="I35" s="10"/>
      <c r="J35" s="10"/>
      <c r="K35" s="10"/>
      <c r="L35" s="10"/>
      <c r="M35" s="10"/>
      <c r="N35" s="11"/>
      <c r="P35" s="22" t="str">
        <f>MID(H28,8,1)</f>
        <v>0</v>
      </c>
      <c r="Q35" s="26" t="str">
        <f t="shared" si="26"/>
        <v>0</v>
      </c>
      <c r="R35" s="9" t="s">
        <v>74</v>
      </c>
      <c r="S35" s="11" t="s">
        <v>66</v>
      </c>
      <c r="T35" s="22" t="str">
        <f>MID(I28,8,1)</f>
        <v>0</v>
      </c>
      <c r="U35" s="26" t="str">
        <f t="shared" si="27"/>
        <v>0</v>
      </c>
      <c r="V35" s="9" t="s">
        <v>74</v>
      </c>
      <c r="W35" s="11" t="s">
        <v>66</v>
      </c>
      <c r="X35" s="22" t="str">
        <f>MID(J28,8,1)</f>
        <v>0</v>
      </c>
      <c r="Y35" s="26" t="str">
        <f t="shared" si="28"/>
        <v>0</v>
      </c>
      <c r="Z35" s="9" t="s">
        <v>74</v>
      </c>
      <c r="AA35" s="11" t="s">
        <v>66</v>
      </c>
      <c r="AB35" s="402"/>
      <c r="AC35" s="403"/>
      <c r="AD35" s="403"/>
      <c r="AE35" s="404"/>
      <c r="AF35" s="7"/>
    </row>
  </sheetData>
  <mergeCells count="26">
    <mergeCell ref="A1:B1"/>
    <mergeCell ref="AB27:AE35"/>
    <mergeCell ref="P25:AK25"/>
    <mergeCell ref="D26:G26"/>
    <mergeCell ref="P26:S26"/>
    <mergeCell ref="T26:W26"/>
    <mergeCell ref="X26:AA26"/>
    <mergeCell ref="AB26:AE26"/>
    <mergeCell ref="AB16:AE24"/>
    <mergeCell ref="AJ5:AK13"/>
    <mergeCell ref="P14:AK14"/>
    <mergeCell ref="D15:G15"/>
    <mergeCell ref="P15:S15"/>
    <mergeCell ref="T15:W15"/>
    <mergeCell ref="X15:AA15"/>
    <mergeCell ref="AB15:AE15"/>
    <mergeCell ref="C1:AK1"/>
    <mergeCell ref="C2:E2"/>
    <mergeCell ref="P3:AK3"/>
    <mergeCell ref="D4:G4"/>
    <mergeCell ref="P4:S4"/>
    <mergeCell ref="T4:W4"/>
    <mergeCell ref="X4:AA4"/>
    <mergeCell ref="AB4:AE4"/>
    <mergeCell ref="AF4:AI4"/>
    <mergeCell ref="AJ4:AK4"/>
  </mergeCells>
  <conditionalFormatting sqref="B3:B13">
    <cfRule type="expression" dxfId="391" priority="1">
      <formula>IF(A3&lt;&gt;B3,1,0)</formula>
    </cfRule>
    <cfRule type="containsText" dxfId="390" priority="2" operator="containsText" text=";Block">
      <formula>NOT(ISERROR(SEARCH(";Block",B3)))</formula>
    </cfRule>
    <cfRule type="beginsWith" dxfId="389" priority="3" operator="beginsWith" text="73701">
      <formula>LEFT(B3,LEN("73701"))="73701"</formula>
    </cfRule>
    <cfRule type="beginsWith" dxfId="388" priority="4" operator="beginsWith" text="737G1">
      <formula>LEFT(B3,LEN("737G1"))="737G1"</formula>
    </cfRule>
    <cfRule type="beginsWith" dxfId="387" priority="5" operator="beginsWith" text="73702">
      <formula>LEFT(B3,LEN("73702"))="73702"</formula>
    </cfRule>
    <cfRule type="beginsWith" dxfId="386" priority="6" operator="beginsWith" text="737G2">
      <formula>LEFT(B3,LEN("737G2"))="737G2"</formula>
    </cfRule>
    <cfRule type="beginsWith" dxfId="385" priority="7" operator="beginsWith" text="73703">
      <formula>LEFT(B3,LEN("73703"))="73703"</formula>
    </cfRule>
    <cfRule type="beginsWith" dxfId="384" priority="8" operator="beginsWith" text="737G3">
      <formula>LEFT(B3,LEN("737G3"))="737G3"</formula>
    </cfRule>
  </conditionalFormatting>
  <conditionalFormatting sqref="Q29:Q35 U29:U35 Y29:Y35">
    <cfRule type="expression" dxfId="383" priority="16">
      <formula>Q29:Q47&lt;&gt;P29:P47</formula>
    </cfRule>
  </conditionalFormatting>
  <conditionalFormatting sqref="U6:U13">
    <cfRule type="expression" dxfId="382" priority="13">
      <formula>U6:U13&lt;&gt;T6:T13</formula>
    </cfRule>
  </conditionalFormatting>
  <conditionalFormatting sqref="Y6:Y13">
    <cfRule type="expression" dxfId="381" priority="12">
      <formula>Y6:Y13&lt;&gt;X6:X13</formula>
    </cfRule>
  </conditionalFormatting>
  <conditionalFormatting sqref="AC6:AC7 Q6:Q13 Q17 U17 Y17 Q28 U28 Y28">
    <cfRule type="expression" dxfId="380" priority="14">
      <formula>Q6:Q13&lt;&gt;P6:P13</formula>
    </cfRule>
  </conditionalFormatting>
  <conditionalFormatting sqref="AC8:AC13 Q18:Q24 U18:U24 Y18:Y24">
    <cfRule type="expression" dxfId="379" priority="15">
      <formula>Q8:Q14&lt;&gt;P8:P14</formula>
    </cfRule>
  </conditionalFormatting>
  <conditionalFormatting sqref="AG6:AG13">
    <cfRule type="expression" dxfId="378" priority="11">
      <formula>AG6:AG13&lt;&gt;AF6:AF13</formula>
    </cfRule>
  </conditionalFormatting>
  <dataValidations count="1">
    <dataValidation type="whole" allowBlank="1" showInputMessage="1" showErrorMessage="1" errorTitle="Wrong Value" error="This is a Binary value, which can be either 0 or 1." sqref="AG6:AG13 Y6:Y13 Y17:Y24 U28:U35 U6:U13 Q28:Q35 Q6:Q13 U17:U24 Y28:Y35 AC6:AC13 Q17:Q24" xr:uid="{00000000-0002-0000-0200-000000000000}">
      <formula1>0</formula1>
      <formula2>1</formula2>
    </dataValidation>
  </dataValidations>
  <hyperlinks>
    <hyperlink ref="C1" r:id="rId1" xr:uid="{00000000-0004-0000-0200-000000000000}"/>
  </hyperlinks>
  <pageMargins left="0.7" right="0.7" top="0.75" bottom="0.75" header="0.3" footer="0.3"/>
  <pageSetup paperSize="9" orientation="portrait" horizontalDpi="360" verticalDpi="36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46"/>
  <sheetViews>
    <sheetView zoomScaleNormal="100" workbookViewId="0">
      <selection activeCell="A3" sqref="A3"/>
    </sheetView>
  </sheetViews>
  <sheetFormatPr defaultRowHeight="14.4" x14ac:dyDescent="0.3"/>
  <cols>
    <col min="1" max="1" width="21" bestFit="1" customWidth="1"/>
    <col min="2" max="2" width="20.5546875" bestFit="1" customWidth="1"/>
    <col min="3" max="3" width="4.5546875" bestFit="1" customWidth="1"/>
    <col min="4" max="5" width="9" bestFit="1" customWidth="1"/>
    <col min="14" max="14" width="5.44140625" bestFit="1" customWidth="1"/>
    <col min="15" max="15" width="1.6640625" customWidth="1"/>
    <col min="16" max="16" width="5.44140625" bestFit="1" customWidth="1"/>
    <col min="17" max="17" width="5.33203125" bestFit="1" customWidth="1"/>
    <col min="18" max="18" width="3.44140625" bestFit="1" customWidth="1"/>
    <col min="19" max="19" width="19.44140625" customWidth="1"/>
    <col min="20" max="20" width="5.44140625" bestFit="1" customWidth="1"/>
    <col min="21" max="21" width="5.33203125" bestFit="1" customWidth="1"/>
    <col min="22" max="22" width="3.44140625" customWidth="1"/>
    <col min="23" max="23" width="20" customWidth="1"/>
    <col min="24" max="24" width="5.44140625" bestFit="1" customWidth="1"/>
    <col min="25" max="25" width="5.33203125" bestFit="1" customWidth="1"/>
    <col min="26" max="26" width="3.44140625" customWidth="1"/>
    <col min="27" max="27" width="19.33203125" bestFit="1" customWidth="1"/>
    <col min="28" max="28" width="5.44140625" bestFit="1" customWidth="1"/>
    <col min="29" max="29" width="5.33203125" bestFit="1" customWidth="1"/>
    <col min="30" max="30" width="3.44140625" customWidth="1"/>
    <col min="31" max="31" width="19.33203125" bestFit="1" customWidth="1"/>
    <col min="32" max="32" width="5.44140625" bestFit="1" customWidth="1"/>
    <col min="33" max="33" width="5.33203125" bestFit="1" customWidth="1"/>
    <col min="34" max="34" width="3.44140625" customWidth="1"/>
    <col min="35" max="35" width="19.44140625" customWidth="1"/>
  </cols>
  <sheetData>
    <row r="1" spans="1:37" x14ac:dyDescent="0.3">
      <c r="A1" s="398" t="s">
        <v>1240</v>
      </c>
      <c r="B1" s="399"/>
      <c r="C1" s="383" t="s">
        <v>354</v>
      </c>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c r="AF1" s="390"/>
      <c r="AG1" s="390"/>
      <c r="AH1" s="390"/>
      <c r="AI1" s="390"/>
      <c r="AJ1" s="390"/>
      <c r="AK1" s="390"/>
    </row>
    <row r="2" spans="1:37" ht="15" thickBot="1" x14ac:dyDescent="0.35">
      <c r="A2" s="268" t="s">
        <v>1241</v>
      </c>
      <c r="B2" s="269" t="s">
        <v>1242</v>
      </c>
      <c r="C2" s="391" t="s">
        <v>40</v>
      </c>
      <c r="D2" s="391"/>
      <c r="E2" s="391"/>
      <c r="S2" s="1"/>
    </row>
    <row r="3" spans="1:37" ht="15" thickBot="1" x14ac:dyDescent="0.35">
      <c r="A3" s="270" t="s">
        <v>1243</v>
      </c>
      <c r="B3" s="87" t="s">
        <v>1243</v>
      </c>
      <c r="C3" s="4"/>
      <c r="D3" s="5"/>
      <c r="E3" s="5"/>
      <c r="F3" s="5"/>
      <c r="G3" s="5"/>
      <c r="H3" s="5"/>
      <c r="I3" s="5"/>
      <c r="J3" s="5"/>
      <c r="K3" s="5"/>
      <c r="L3" s="5"/>
      <c r="M3" s="5" t="s">
        <v>41</v>
      </c>
      <c r="N3" s="6"/>
      <c r="P3" s="392" t="s">
        <v>79</v>
      </c>
      <c r="Q3" s="392"/>
      <c r="R3" s="392"/>
      <c r="S3" s="392"/>
      <c r="T3" s="392"/>
      <c r="U3" s="392"/>
      <c r="V3" s="392"/>
      <c r="W3" s="392"/>
      <c r="X3" s="392"/>
      <c r="Y3" s="392"/>
      <c r="Z3" s="392"/>
      <c r="AA3" s="392"/>
      <c r="AB3" s="392"/>
      <c r="AC3" s="392"/>
      <c r="AD3" s="392"/>
      <c r="AE3" s="392"/>
      <c r="AF3" s="392"/>
      <c r="AG3" s="392"/>
      <c r="AH3" s="392"/>
      <c r="AI3" s="392"/>
      <c r="AJ3" s="392"/>
      <c r="AK3" s="392"/>
    </row>
    <row r="4" spans="1:37" ht="15" thickBot="1" x14ac:dyDescent="0.35">
      <c r="A4" s="270" t="s">
        <v>1858</v>
      </c>
      <c r="B4" s="87" t="str">
        <f>RIGHT(D13,1)&amp;E13&amp;F13&amp;G13&amp;H10&amp;I10&amp;J10&amp;K10&amp;L10&amp;M10</f>
        <v>7B7G1G10000000000C0</v>
      </c>
      <c r="C4" s="7"/>
      <c r="D4" s="393" t="s">
        <v>80</v>
      </c>
      <c r="E4" s="393"/>
      <c r="F4" s="393"/>
      <c r="G4" s="393"/>
      <c r="H4" s="99" t="s">
        <v>44</v>
      </c>
      <c r="I4" s="99" t="s">
        <v>45</v>
      </c>
      <c r="J4" s="99" t="s">
        <v>46</v>
      </c>
      <c r="K4" s="99" t="s">
        <v>47</v>
      </c>
      <c r="L4" s="99" t="s">
        <v>48</v>
      </c>
      <c r="M4" s="99" t="s">
        <v>49</v>
      </c>
      <c r="N4" s="8"/>
      <c r="P4" s="394" t="s">
        <v>50</v>
      </c>
      <c r="Q4" s="395"/>
      <c r="R4" s="395"/>
      <c r="S4" s="396"/>
      <c r="T4" s="394" t="s">
        <v>51</v>
      </c>
      <c r="U4" s="395"/>
      <c r="V4" s="395"/>
      <c r="W4" s="396"/>
      <c r="X4" s="394" t="s">
        <v>52</v>
      </c>
      <c r="Y4" s="395"/>
      <c r="Z4" s="395"/>
      <c r="AA4" s="396"/>
      <c r="AB4" s="394" t="s">
        <v>53</v>
      </c>
      <c r="AC4" s="395"/>
      <c r="AD4" s="395"/>
      <c r="AE4" s="396"/>
      <c r="AF4" s="397" t="s">
        <v>54</v>
      </c>
      <c r="AG4" s="395"/>
      <c r="AH4" s="395"/>
      <c r="AI4" s="396"/>
      <c r="AJ4" s="394" t="s">
        <v>55</v>
      </c>
      <c r="AK4" s="396"/>
    </row>
    <row r="5" spans="1:37" ht="15" thickBot="1" x14ac:dyDescent="0.35">
      <c r="A5" s="270" t="s">
        <v>1859</v>
      </c>
      <c r="B5" s="87" t="str">
        <f>RIGHT(D24,1)&amp;E24&amp;F24&amp;G24&amp;H21&amp;I21&amp;J21&amp;K21&amp;L21&amp;M21</f>
        <v>7B7G1G20000000000C1</v>
      </c>
      <c r="C5" s="7" t="s">
        <v>56</v>
      </c>
      <c r="D5" s="12" t="s">
        <v>57</v>
      </c>
      <c r="E5" s="13" t="s">
        <v>81</v>
      </c>
      <c r="F5" s="13" t="s">
        <v>59</v>
      </c>
      <c r="G5" s="14" t="s">
        <v>59</v>
      </c>
      <c r="H5" s="316" t="str">
        <f>MID($A$4,8,2)</f>
        <v>00</v>
      </c>
      <c r="I5" s="317" t="str">
        <f>MID($A$4,10,2)</f>
        <v>00</v>
      </c>
      <c r="J5" s="317" t="str">
        <f>MID($A$4,12,2)</f>
        <v>00</v>
      </c>
      <c r="K5" s="317" t="str">
        <f>MID($A$4,14,2)</f>
        <v>00</v>
      </c>
      <c r="L5" s="318" t="str">
        <f>MID($A$4,16,2)</f>
        <v>00</v>
      </c>
      <c r="M5" s="319" t="str">
        <f>MID($A$4,18,2)</f>
        <v>C0</v>
      </c>
      <c r="N5" s="8" t="s">
        <v>60</v>
      </c>
      <c r="P5" s="19" t="s">
        <v>60</v>
      </c>
      <c r="Q5" s="20" t="s">
        <v>61</v>
      </c>
      <c r="R5" t="s">
        <v>62</v>
      </c>
      <c r="S5" s="8"/>
      <c r="T5" s="19" t="s">
        <v>60</v>
      </c>
      <c r="U5" s="20" t="s">
        <v>61</v>
      </c>
      <c r="V5" t="s">
        <v>62</v>
      </c>
      <c r="W5" s="8"/>
      <c r="X5" s="19" t="s">
        <v>60</v>
      </c>
      <c r="Y5" s="20" t="s">
        <v>61</v>
      </c>
      <c r="Z5" t="s">
        <v>62</v>
      </c>
      <c r="AA5" s="8"/>
      <c r="AB5" s="19" t="s">
        <v>60</v>
      </c>
      <c r="AC5" s="20" t="s">
        <v>61</v>
      </c>
      <c r="AD5" t="s">
        <v>62</v>
      </c>
      <c r="AE5" s="8"/>
      <c r="AF5" s="19" t="s">
        <v>60</v>
      </c>
      <c r="AG5" s="20" t="s">
        <v>61</v>
      </c>
      <c r="AH5" t="s">
        <v>62</v>
      </c>
      <c r="AJ5" s="394" t="s">
        <v>63</v>
      </c>
      <c r="AK5" s="396"/>
    </row>
    <row r="6" spans="1:37" x14ac:dyDescent="0.3">
      <c r="A6" s="270" t="s">
        <v>1860</v>
      </c>
      <c r="B6" s="87" t="str">
        <f>RIGHT(D35,1)&amp;E35&amp;F35&amp;G35&amp;H32&amp;I32&amp;J32&amp;K32&amp;L32</f>
        <v>7B7G1G300000000C2</v>
      </c>
      <c r="C6" s="7" t="s">
        <v>64</v>
      </c>
      <c r="D6" s="99" t="str">
        <f t="shared" ref="D6:E6" si="0">HEX2BIN(D5,8)</f>
        <v>00000111</v>
      </c>
      <c r="E6" s="99" t="str">
        <f t="shared" si="0"/>
        <v>10110111</v>
      </c>
      <c r="F6" s="99" t="str">
        <f>HEX2BIN(F5,8)</f>
        <v>00000001</v>
      </c>
      <c r="G6" s="99" t="str">
        <f t="shared" ref="G6:L6" si="1">HEX2BIN(G5,8)</f>
        <v>00000001</v>
      </c>
      <c r="H6" s="99" t="str">
        <f t="shared" si="1"/>
        <v>00000000</v>
      </c>
      <c r="I6" s="99" t="str">
        <f t="shared" si="1"/>
        <v>00000000</v>
      </c>
      <c r="J6" s="99" t="str">
        <f t="shared" si="1"/>
        <v>00000000</v>
      </c>
      <c r="K6" s="99" t="str">
        <f t="shared" si="1"/>
        <v>00000000</v>
      </c>
      <c r="L6" s="99" t="str">
        <f t="shared" si="1"/>
        <v>00000000</v>
      </c>
      <c r="M6" s="99"/>
      <c r="N6" s="8"/>
      <c r="P6" s="21" t="str">
        <f>MID(H6,1,1)</f>
        <v>0</v>
      </c>
      <c r="Q6" s="26" t="str">
        <f>P6</f>
        <v>0</v>
      </c>
      <c r="R6" s="7" t="s">
        <v>65</v>
      </c>
      <c r="S6" s="412" t="s">
        <v>1375</v>
      </c>
      <c r="T6" s="21" t="str">
        <f>MID(I6,1,1)</f>
        <v>0</v>
      </c>
      <c r="U6" s="26" t="str">
        <f t="shared" ref="U6:U13" si="2">T6</f>
        <v>0</v>
      </c>
      <c r="V6" s="7" t="s">
        <v>65</v>
      </c>
      <c r="W6" s="94" t="s">
        <v>1283</v>
      </c>
      <c r="X6" s="21" t="str">
        <f>MID(J6,1,1)</f>
        <v>0</v>
      </c>
      <c r="Y6" s="26" t="str">
        <f>X6</f>
        <v>0</v>
      </c>
      <c r="Z6" s="7" t="s">
        <v>65</v>
      </c>
      <c r="AA6" s="305" t="s">
        <v>1326</v>
      </c>
      <c r="AB6" s="21" t="str">
        <f>MID(K6,1,1)</f>
        <v>0</v>
      </c>
      <c r="AC6" s="26" t="str">
        <f>AB6</f>
        <v>0</v>
      </c>
      <c r="AD6" s="7" t="s">
        <v>65</v>
      </c>
      <c r="AE6" s="305" t="s">
        <v>1326</v>
      </c>
      <c r="AF6" s="21" t="str">
        <f>MID(L6,1,1)</f>
        <v>0</v>
      </c>
      <c r="AG6" s="26" t="str">
        <f>AF6</f>
        <v>0</v>
      </c>
      <c r="AH6" s="7" t="s">
        <v>65</v>
      </c>
      <c r="AI6" s="285" t="s">
        <v>1683</v>
      </c>
      <c r="AJ6" s="400"/>
      <c r="AK6" s="401"/>
    </row>
    <row r="7" spans="1:37" x14ac:dyDescent="0.3">
      <c r="A7" s="270" t="s">
        <v>1244</v>
      </c>
      <c r="B7" s="87" t="s">
        <v>1244</v>
      </c>
      <c r="C7" s="7" t="s">
        <v>67</v>
      </c>
      <c r="D7" s="99">
        <f>HEX2DEC(D5)</f>
        <v>7</v>
      </c>
      <c r="E7" s="99">
        <f t="shared" ref="E7:L7" si="3">HEX2DEC(E5)</f>
        <v>183</v>
      </c>
      <c r="F7" s="99">
        <f t="shared" si="3"/>
        <v>1</v>
      </c>
      <c r="G7" s="99">
        <f t="shared" si="3"/>
        <v>1</v>
      </c>
      <c r="H7" s="99">
        <f t="shared" si="3"/>
        <v>0</v>
      </c>
      <c r="I7" s="99">
        <f t="shared" si="3"/>
        <v>0</v>
      </c>
      <c r="J7" s="99">
        <f t="shared" si="3"/>
        <v>0</v>
      </c>
      <c r="K7" s="99">
        <f t="shared" si="3"/>
        <v>0</v>
      </c>
      <c r="L7" s="99">
        <f t="shared" si="3"/>
        <v>0</v>
      </c>
      <c r="M7" s="99">
        <f>SUM(D7:L7)</f>
        <v>192</v>
      </c>
      <c r="N7" s="8"/>
      <c r="P7" s="21" t="str">
        <f>MID(H6,2,1)</f>
        <v>0</v>
      </c>
      <c r="Q7" s="26" t="str">
        <f t="shared" ref="Q7:Q13" si="4">P7</f>
        <v>0</v>
      </c>
      <c r="R7" s="7" t="s">
        <v>68</v>
      </c>
      <c r="S7" s="413"/>
      <c r="T7" s="21" t="str">
        <f>MID(I6,2,1)</f>
        <v>0</v>
      </c>
      <c r="U7" s="26" t="str">
        <f t="shared" si="2"/>
        <v>0</v>
      </c>
      <c r="V7" s="7" t="s">
        <v>68</v>
      </c>
      <c r="W7" s="285" t="s">
        <v>1381</v>
      </c>
      <c r="X7" s="21" t="str">
        <f>MID(J6,2,1)</f>
        <v>0</v>
      </c>
      <c r="Y7" s="26" t="str">
        <f t="shared" ref="Y7:Y13" si="5">X7</f>
        <v>0</v>
      </c>
      <c r="Z7" s="7" t="s">
        <v>68</v>
      </c>
      <c r="AA7" s="305" t="s">
        <v>1326</v>
      </c>
      <c r="AB7" s="21" t="str">
        <f>MID(K6,2,1)</f>
        <v>0</v>
      </c>
      <c r="AC7" s="26" t="str">
        <f t="shared" ref="AC7:AC13" si="6">AB7</f>
        <v>0</v>
      </c>
      <c r="AD7" s="7" t="s">
        <v>68</v>
      </c>
      <c r="AE7" s="305" t="s">
        <v>1326</v>
      </c>
      <c r="AF7" s="21" t="str">
        <f>MID(L6,2,1)</f>
        <v>0</v>
      </c>
      <c r="AG7" s="26" t="str">
        <f t="shared" ref="AG7:AG13" si="7">AF7</f>
        <v>0</v>
      </c>
      <c r="AH7" s="7" t="s">
        <v>68</v>
      </c>
      <c r="AI7" s="31" t="s">
        <v>82</v>
      </c>
      <c r="AJ7" s="400"/>
      <c r="AK7" s="401"/>
    </row>
    <row r="8" spans="1:37" x14ac:dyDescent="0.3">
      <c r="A8" s="270" t="s">
        <v>1861</v>
      </c>
      <c r="B8" s="87" t="str">
        <f>RIGHT(D46,1)&amp;E46&amp;F46&amp;G46&amp;H43&amp;I43&amp;J43&amp;K43&amp;L43&amp;M43</f>
        <v>7B7G2G10000000000C1</v>
      </c>
      <c r="C8" s="7" t="s">
        <v>1678</v>
      </c>
      <c r="D8" s="99" t="str">
        <f>D5</f>
        <v>07</v>
      </c>
      <c r="E8" s="333" t="str">
        <f>E5</f>
        <v>B7</v>
      </c>
      <c r="F8" s="99" t="str">
        <f>MID($A$4,4,2)</f>
        <v>G1</v>
      </c>
      <c r="G8" s="99" t="str">
        <f>MID($A$4,6,2)</f>
        <v>G1</v>
      </c>
      <c r="N8" s="8"/>
      <c r="P8" s="21" t="str">
        <f>MID(H6,3,1)</f>
        <v>0</v>
      </c>
      <c r="Q8" s="26" t="str">
        <f t="shared" si="4"/>
        <v>0</v>
      </c>
      <c r="R8" s="7" t="s">
        <v>69</v>
      </c>
      <c r="S8" s="364" t="s">
        <v>1775</v>
      </c>
      <c r="T8" s="21" t="str">
        <f>MID(I6,3,1)</f>
        <v>0</v>
      </c>
      <c r="U8" s="26" t="str">
        <f t="shared" si="2"/>
        <v>0</v>
      </c>
      <c r="V8" s="7" t="s">
        <v>69</v>
      </c>
      <c r="W8" s="305" t="s">
        <v>1326</v>
      </c>
      <c r="X8" s="21" t="str">
        <f>MID(J6,3,1)</f>
        <v>0</v>
      </c>
      <c r="Y8" s="26" t="str">
        <f t="shared" si="5"/>
        <v>0</v>
      </c>
      <c r="Z8" s="7" t="s">
        <v>69</v>
      </c>
      <c r="AA8" s="305" t="s">
        <v>1326</v>
      </c>
      <c r="AB8" s="21" t="str">
        <f>MID(K6,3,1)</f>
        <v>0</v>
      </c>
      <c r="AC8" s="26" t="str">
        <f t="shared" si="6"/>
        <v>0</v>
      </c>
      <c r="AD8" s="7" t="s">
        <v>69</v>
      </c>
      <c r="AE8" s="305" t="s">
        <v>1326</v>
      </c>
      <c r="AF8" s="21" t="str">
        <f>MID(L6,3,1)</f>
        <v>0</v>
      </c>
      <c r="AG8" s="26" t="str">
        <f t="shared" si="7"/>
        <v>0</v>
      </c>
      <c r="AH8" s="7" t="s">
        <v>69</v>
      </c>
      <c r="AI8" t="s">
        <v>66</v>
      </c>
      <c r="AJ8" s="400"/>
      <c r="AK8" s="401"/>
    </row>
    <row r="9" spans="1:37" ht="15" customHeight="1" thickBot="1" x14ac:dyDescent="0.35">
      <c r="A9" s="271" t="s">
        <v>1245</v>
      </c>
      <c r="B9" s="87" t="s">
        <v>1245</v>
      </c>
      <c r="C9" s="7"/>
      <c r="N9" s="8"/>
      <c r="P9" s="21" t="str">
        <f>MID(H6,4,1)</f>
        <v>0</v>
      </c>
      <c r="Q9" s="26" t="str">
        <f t="shared" si="4"/>
        <v>0</v>
      </c>
      <c r="R9" s="7" t="s">
        <v>70</v>
      </c>
      <c r="S9" s="327" t="s">
        <v>1659</v>
      </c>
      <c r="T9" s="21" t="str">
        <f>MID(I6,4,1)</f>
        <v>0</v>
      </c>
      <c r="U9" s="26" t="str">
        <f t="shared" si="2"/>
        <v>0</v>
      </c>
      <c r="V9" s="7" t="s">
        <v>70</v>
      </c>
      <c r="W9" s="341" t="s">
        <v>1682</v>
      </c>
      <c r="X9" s="21" t="str">
        <f>MID(J6,4,1)</f>
        <v>0</v>
      </c>
      <c r="Y9" s="26" t="str">
        <f t="shared" si="5"/>
        <v>0</v>
      </c>
      <c r="Z9" s="7" t="s">
        <v>70</v>
      </c>
      <c r="AA9" s="305" t="s">
        <v>1326</v>
      </c>
      <c r="AB9" s="21" t="str">
        <f>MID(K6,4,1)</f>
        <v>0</v>
      </c>
      <c r="AC9" s="26" t="str">
        <f t="shared" si="6"/>
        <v>0</v>
      </c>
      <c r="AD9" s="7" t="s">
        <v>70</v>
      </c>
      <c r="AE9" s="305" t="s">
        <v>1326</v>
      </c>
      <c r="AF9" s="21" t="str">
        <f>MID(L6,4,1)</f>
        <v>0</v>
      </c>
      <c r="AG9" s="26" t="str">
        <f t="shared" si="7"/>
        <v>0</v>
      </c>
      <c r="AH9" s="7" t="s">
        <v>70</v>
      </c>
      <c r="AI9" s="299" t="s">
        <v>1376</v>
      </c>
      <c r="AJ9" s="400"/>
      <c r="AK9" s="401"/>
    </row>
    <row r="10" spans="1:37" ht="15" customHeight="1" thickBot="1" x14ac:dyDescent="0.35">
      <c r="A10" s="275" t="s">
        <v>1246</v>
      </c>
      <c r="B10" s="87" t="str">
        <f>A10</f>
        <v>7B7G3G100C2</v>
      </c>
      <c r="C10" s="7" t="s">
        <v>56</v>
      </c>
      <c r="D10" s="15" t="str">
        <f>D5</f>
        <v>07</v>
      </c>
      <c r="E10" s="16" t="str">
        <f>E5</f>
        <v>B7</v>
      </c>
      <c r="F10" s="16" t="str">
        <f>F5</f>
        <v>01</v>
      </c>
      <c r="G10" s="17" t="str">
        <f>G5</f>
        <v>01</v>
      </c>
      <c r="H10" s="23" t="str">
        <f>BIN2HEX(H11,2)</f>
        <v>00</v>
      </c>
      <c r="I10" s="25" t="str">
        <f t="shared" ref="I10:L10" si="8">BIN2HEX(I11,2)</f>
        <v>00</v>
      </c>
      <c r="J10" s="24" t="str">
        <f t="shared" si="8"/>
        <v>00</v>
      </c>
      <c r="K10" s="2" t="str">
        <f t="shared" si="8"/>
        <v>00</v>
      </c>
      <c r="L10" s="18" t="str">
        <f t="shared" si="8"/>
        <v>00</v>
      </c>
      <c r="M10" s="3" t="str">
        <f>IF(LEN(M11)&gt;2,MID(M11,2,2),M11)</f>
        <v>C0</v>
      </c>
      <c r="N10" s="8" t="s">
        <v>61</v>
      </c>
      <c r="P10" s="21" t="str">
        <f>MID(H6,5,1)</f>
        <v>0</v>
      </c>
      <c r="Q10" s="26" t="str">
        <f t="shared" si="4"/>
        <v>0</v>
      </c>
      <c r="R10" s="7" t="s">
        <v>71</v>
      </c>
      <c r="S10" s="340" t="s">
        <v>1658</v>
      </c>
      <c r="T10" s="21" t="str">
        <f>MID(I6,5,1)</f>
        <v>0</v>
      </c>
      <c r="U10" s="26" t="str">
        <f t="shared" si="2"/>
        <v>0</v>
      </c>
      <c r="V10" s="7" t="s">
        <v>71</v>
      </c>
      <c r="W10" s="30" t="s">
        <v>83</v>
      </c>
      <c r="X10" s="21" t="str">
        <f>MID(J6,5,1)</f>
        <v>0</v>
      </c>
      <c r="Y10" s="26" t="str">
        <f t="shared" si="5"/>
        <v>0</v>
      </c>
      <c r="Z10" s="7" t="s">
        <v>71</v>
      </c>
      <c r="AA10" s="305" t="s">
        <v>1326</v>
      </c>
      <c r="AB10" s="21" t="str">
        <f>MID(K6,5,1)</f>
        <v>0</v>
      </c>
      <c r="AC10" s="26" t="str">
        <f t="shared" si="6"/>
        <v>0</v>
      </c>
      <c r="AD10" s="7" t="s">
        <v>71</v>
      </c>
      <c r="AE10" s="305" t="s">
        <v>1326</v>
      </c>
      <c r="AF10" s="21" t="str">
        <f>MID(L6,5,1)</f>
        <v>0</v>
      </c>
      <c r="AG10" s="26" t="str">
        <f t="shared" si="7"/>
        <v>0</v>
      </c>
      <c r="AH10" s="7" t="s">
        <v>71</v>
      </c>
      <c r="AI10" s="31" t="s">
        <v>84</v>
      </c>
      <c r="AJ10" s="400"/>
      <c r="AK10" s="401"/>
    </row>
    <row r="11" spans="1:37" x14ac:dyDescent="0.3">
      <c r="C11" s="7" t="s">
        <v>64</v>
      </c>
      <c r="D11" s="99" t="str">
        <f>HEX2BIN(D10,8)</f>
        <v>00000111</v>
      </c>
      <c r="E11" s="99" t="str">
        <f t="shared" ref="E11:G11" si="9">HEX2BIN(E10,8)</f>
        <v>10110111</v>
      </c>
      <c r="F11" s="99" t="str">
        <f t="shared" si="9"/>
        <v>00000001</v>
      </c>
      <c r="G11" s="99" t="str">
        <f t="shared" si="9"/>
        <v>00000001</v>
      </c>
      <c r="H11" s="29" t="str">
        <f>Q6&amp;Q7&amp;Q8&amp;Q9&amp;Q10&amp;Q11&amp;Q12&amp;Q13</f>
        <v>00000000</v>
      </c>
      <c r="I11" s="99" t="str">
        <f>U6&amp;U7&amp;U8&amp;U9&amp;U10&amp;U11&amp;U12&amp;U13</f>
        <v>00000000</v>
      </c>
      <c r="J11" s="29" t="str">
        <f>Y6&amp;Y7&amp;Y8&amp;Y9&amp;Y10&amp;Y11&amp;Y12&amp;Y13</f>
        <v>00000000</v>
      </c>
      <c r="K11" s="29" t="str">
        <f>AC6&amp;AC7&amp;AC8&amp;AC9&amp;AC10&amp;AC11&amp;AC12&amp;AC13</f>
        <v>00000000</v>
      </c>
      <c r="L11" s="99" t="str">
        <f>AG6&amp;AG7&amp;AG8&amp;AG9&amp;AG10&amp;AG11&amp;AG12&amp;AG13</f>
        <v>00000000</v>
      </c>
      <c r="M11" s="99" t="str">
        <f>DEC2HEX(M12)</f>
        <v>C0</v>
      </c>
      <c r="N11" s="8"/>
      <c r="P11" s="21" t="str">
        <f>MID(H6,6,1)</f>
        <v>0</v>
      </c>
      <c r="Q11" s="26" t="str">
        <f t="shared" si="4"/>
        <v>0</v>
      </c>
      <c r="R11" s="7" t="s">
        <v>72</v>
      </c>
      <c r="S11" s="303" t="s">
        <v>1382</v>
      </c>
      <c r="T11" s="21" t="str">
        <f>MID(I6,6,1)</f>
        <v>0</v>
      </c>
      <c r="U11" s="26" t="str">
        <f t="shared" si="2"/>
        <v>0</v>
      </c>
      <c r="V11" s="7" t="s">
        <v>72</v>
      </c>
      <c r="W11" s="322" t="s">
        <v>85</v>
      </c>
      <c r="X11" s="21" t="str">
        <f>MID(J6,6,1)</f>
        <v>0</v>
      </c>
      <c r="Y11" s="26" t="str">
        <f t="shared" si="5"/>
        <v>0</v>
      </c>
      <c r="Z11" s="7" t="s">
        <v>72</v>
      </c>
      <c r="AA11" s="305" t="s">
        <v>1326</v>
      </c>
      <c r="AB11" s="21" t="str">
        <f>MID(K6,6,1)</f>
        <v>0</v>
      </c>
      <c r="AC11" s="26" t="str">
        <f t="shared" si="6"/>
        <v>0</v>
      </c>
      <c r="AD11" s="7" t="s">
        <v>72</v>
      </c>
      <c r="AE11" s="409" t="s">
        <v>1380</v>
      </c>
      <c r="AF11" s="21" t="str">
        <f>MID(L6,6,1)</f>
        <v>0</v>
      </c>
      <c r="AG11" s="26" t="str">
        <f t="shared" si="7"/>
        <v>0</v>
      </c>
      <c r="AH11" s="7" t="s">
        <v>72</v>
      </c>
      <c r="AI11" s="299" t="s">
        <v>1377</v>
      </c>
      <c r="AJ11" s="400"/>
      <c r="AK11" s="401"/>
    </row>
    <row r="12" spans="1:37" x14ac:dyDescent="0.3">
      <c r="C12" s="7" t="s">
        <v>67</v>
      </c>
      <c r="D12" s="99">
        <f>HEX2DEC(D10)</f>
        <v>7</v>
      </c>
      <c r="E12" s="99">
        <f t="shared" ref="E12:L12" si="10">HEX2DEC(E10)</f>
        <v>183</v>
      </c>
      <c r="F12" s="99">
        <f t="shared" si="10"/>
        <v>1</v>
      </c>
      <c r="G12" s="99">
        <f t="shared" si="10"/>
        <v>1</v>
      </c>
      <c r="H12" s="99">
        <f t="shared" si="10"/>
        <v>0</v>
      </c>
      <c r="I12" s="99">
        <f>HEX2DEC(I10)</f>
        <v>0</v>
      </c>
      <c r="J12" s="99">
        <f t="shared" si="10"/>
        <v>0</v>
      </c>
      <c r="K12" s="99">
        <f t="shared" si="10"/>
        <v>0</v>
      </c>
      <c r="L12" s="99">
        <f t="shared" si="10"/>
        <v>0</v>
      </c>
      <c r="M12" s="99">
        <f>SUM(D12:L12)</f>
        <v>192</v>
      </c>
      <c r="N12" s="8"/>
      <c r="P12" s="21" t="str">
        <f>MID(H6,7,1)</f>
        <v>0</v>
      </c>
      <c r="Q12" s="26" t="str">
        <f t="shared" si="4"/>
        <v>0</v>
      </c>
      <c r="R12" s="7" t="s">
        <v>73</v>
      </c>
      <c r="S12" s="285" t="s">
        <v>1346</v>
      </c>
      <c r="T12" s="21" t="str">
        <f>MID(I6,7,1)</f>
        <v>0</v>
      </c>
      <c r="U12" s="26" t="str">
        <f t="shared" si="2"/>
        <v>0</v>
      </c>
      <c r="V12" s="7" t="s">
        <v>73</v>
      </c>
      <c r="W12" s="30" t="s">
        <v>86</v>
      </c>
      <c r="X12" s="21" t="str">
        <f>MID(J6,7,1)</f>
        <v>0</v>
      </c>
      <c r="Y12" s="26" t="str">
        <f t="shared" si="5"/>
        <v>0</v>
      </c>
      <c r="Z12" s="7" t="s">
        <v>73</v>
      </c>
      <c r="AA12" s="305" t="s">
        <v>1326</v>
      </c>
      <c r="AB12" s="21" t="str">
        <f>MID(K6,7,1)</f>
        <v>0</v>
      </c>
      <c r="AC12" s="26" t="str">
        <f t="shared" si="6"/>
        <v>0</v>
      </c>
      <c r="AD12" s="7" t="s">
        <v>73</v>
      </c>
      <c r="AE12" s="410"/>
      <c r="AF12" s="21" t="str">
        <f>MID(L6,7,1)</f>
        <v>0</v>
      </c>
      <c r="AG12" s="26" t="str">
        <f t="shared" si="7"/>
        <v>0</v>
      </c>
      <c r="AH12" s="7" t="s">
        <v>73</v>
      </c>
      <c r="AI12" s="283" t="s">
        <v>87</v>
      </c>
      <c r="AJ12" s="400"/>
      <c r="AK12" s="401"/>
    </row>
    <row r="13" spans="1:37" ht="15" thickBot="1" x14ac:dyDescent="0.35">
      <c r="C13" s="9" t="s">
        <v>1678</v>
      </c>
      <c r="D13" s="337" t="str">
        <f>D8</f>
        <v>07</v>
      </c>
      <c r="E13" s="337" t="str">
        <f t="shared" ref="E13:G13" si="11">E8</f>
        <v>B7</v>
      </c>
      <c r="F13" s="337" t="str">
        <f t="shared" si="11"/>
        <v>G1</v>
      </c>
      <c r="G13" s="337" t="str">
        <f t="shared" si="11"/>
        <v>G1</v>
      </c>
      <c r="H13" s="10"/>
      <c r="I13" s="10"/>
      <c r="J13" s="10"/>
      <c r="K13" s="10"/>
      <c r="L13" s="10"/>
      <c r="M13" s="10"/>
      <c r="N13" s="11"/>
      <c r="P13" s="22" t="str">
        <f>MID(H6,8,1)</f>
        <v>0</v>
      </c>
      <c r="Q13" s="55" t="str">
        <f t="shared" si="4"/>
        <v>0</v>
      </c>
      <c r="R13" s="9" t="s">
        <v>74</v>
      </c>
      <c r="S13" s="304" t="s">
        <v>1383</v>
      </c>
      <c r="T13" s="22" t="str">
        <f>MID(I6,8,1)</f>
        <v>0</v>
      </c>
      <c r="U13" s="55" t="str">
        <f t="shared" si="2"/>
        <v>0</v>
      </c>
      <c r="V13" s="9" t="s">
        <v>74</v>
      </c>
      <c r="W13" s="306" t="s">
        <v>1326</v>
      </c>
      <c r="X13" s="22" t="str">
        <f>MID(J6,8,1)</f>
        <v>0</v>
      </c>
      <c r="Y13" s="55" t="str">
        <f t="shared" si="5"/>
        <v>0</v>
      </c>
      <c r="Z13" s="9" t="s">
        <v>74</v>
      </c>
      <c r="AA13" s="306" t="s">
        <v>1326</v>
      </c>
      <c r="AB13" s="22" t="str">
        <f>MID(K6,8,1)</f>
        <v>0</v>
      </c>
      <c r="AC13" s="55" t="str">
        <f t="shared" si="6"/>
        <v>0</v>
      </c>
      <c r="AD13" s="9" t="s">
        <v>74</v>
      </c>
      <c r="AE13" s="411"/>
      <c r="AF13" s="22" t="str">
        <f>MID(L6,8,1)</f>
        <v>0</v>
      </c>
      <c r="AG13" s="55" t="str">
        <f t="shared" si="7"/>
        <v>0</v>
      </c>
      <c r="AH13" s="9" t="s">
        <v>74</v>
      </c>
      <c r="AI13" s="287" t="s">
        <v>1384</v>
      </c>
      <c r="AJ13" s="402"/>
      <c r="AK13" s="404"/>
    </row>
    <row r="14" spans="1:37" ht="15" thickBot="1" x14ac:dyDescent="0.35">
      <c r="C14" s="4"/>
      <c r="D14" s="5"/>
      <c r="E14" s="5"/>
      <c r="F14" s="5"/>
      <c r="G14" s="5"/>
      <c r="H14" s="5"/>
      <c r="I14" s="5"/>
      <c r="J14" s="5"/>
      <c r="K14" s="5"/>
      <c r="L14" s="5"/>
      <c r="M14" s="5" t="s">
        <v>41</v>
      </c>
      <c r="N14" s="6"/>
      <c r="P14" s="392" t="s">
        <v>88</v>
      </c>
      <c r="Q14" s="392"/>
      <c r="R14" s="392"/>
      <c r="S14" s="392"/>
      <c r="T14" s="392"/>
      <c r="U14" s="392"/>
      <c r="V14" s="392"/>
      <c r="W14" s="392"/>
      <c r="X14" s="392"/>
      <c r="Y14" s="392"/>
      <c r="Z14" s="392"/>
      <c r="AA14" s="392"/>
      <c r="AB14" s="392"/>
      <c r="AC14" s="392"/>
      <c r="AD14" s="392"/>
      <c r="AE14" s="392"/>
      <c r="AF14" s="392"/>
      <c r="AG14" s="392"/>
      <c r="AH14" s="392"/>
      <c r="AI14" s="392"/>
      <c r="AJ14" s="392"/>
      <c r="AK14" s="392"/>
    </row>
    <row r="15" spans="1:37" ht="15" thickBot="1" x14ac:dyDescent="0.35">
      <c r="C15" s="7"/>
      <c r="D15" s="393" t="s">
        <v>89</v>
      </c>
      <c r="E15" s="393"/>
      <c r="F15" s="393"/>
      <c r="G15" s="393"/>
      <c r="H15" s="99" t="s">
        <v>44</v>
      </c>
      <c r="I15" s="99" t="s">
        <v>45</v>
      </c>
      <c r="J15" s="99" t="s">
        <v>46</v>
      </c>
      <c r="K15" s="99" t="s">
        <v>47</v>
      </c>
      <c r="L15" s="99" t="s">
        <v>48</v>
      </c>
      <c r="M15" s="99" t="s">
        <v>49</v>
      </c>
      <c r="N15" s="8"/>
      <c r="P15" s="394" t="s">
        <v>50</v>
      </c>
      <c r="Q15" s="395"/>
      <c r="R15" s="395"/>
      <c r="S15" s="396"/>
      <c r="T15" s="394" t="s">
        <v>51</v>
      </c>
      <c r="U15" s="395"/>
      <c r="V15" s="395"/>
      <c r="W15" s="396"/>
      <c r="X15" s="394" t="s">
        <v>52</v>
      </c>
      <c r="Y15" s="395"/>
      <c r="Z15" s="395"/>
      <c r="AA15" s="396"/>
      <c r="AB15" s="394" t="s">
        <v>53</v>
      </c>
      <c r="AC15" s="395"/>
      <c r="AD15" s="395"/>
      <c r="AE15" s="396"/>
      <c r="AF15" s="397" t="s">
        <v>54</v>
      </c>
      <c r="AG15" s="395"/>
      <c r="AH15" s="395"/>
      <c r="AI15" s="396"/>
      <c r="AJ15" s="394" t="s">
        <v>55</v>
      </c>
      <c r="AK15" s="396"/>
    </row>
    <row r="16" spans="1:37" ht="15" thickBot="1" x14ac:dyDescent="0.35">
      <c r="C16" s="7" t="s">
        <v>56</v>
      </c>
      <c r="D16" s="12" t="s">
        <v>57</v>
      </c>
      <c r="E16" s="13" t="s">
        <v>81</v>
      </c>
      <c r="F16" s="13" t="s">
        <v>59</v>
      </c>
      <c r="G16" s="14" t="s">
        <v>77</v>
      </c>
      <c r="H16" s="316" t="str">
        <f>MID($A$5,8,2)</f>
        <v>00</v>
      </c>
      <c r="I16" s="317" t="str">
        <f>MID($A$5,10,2)</f>
        <v>00</v>
      </c>
      <c r="J16" s="317" t="str">
        <f>MID($A$5,12,2)</f>
        <v>00</v>
      </c>
      <c r="K16" s="317" t="str">
        <f>MID($A$5,14,2)</f>
        <v>00</v>
      </c>
      <c r="L16" s="318" t="str">
        <f>MID($A$5,16,2)</f>
        <v>00</v>
      </c>
      <c r="M16" s="319" t="str">
        <f>MID($A$5,18,2)</f>
        <v>C1</v>
      </c>
      <c r="N16" s="8" t="s">
        <v>60</v>
      </c>
      <c r="P16" s="19" t="s">
        <v>60</v>
      </c>
      <c r="Q16" s="20" t="s">
        <v>61</v>
      </c>
      <c r="R16" t="s">
        <v>62</v>
      </c>
      <c r="S16" s="8"/>
      <c r="T16" s="19" t="s">
        <v>60</v>
      </c>
      <c r="U16" s="20" t="s">
        <v>61</v>
      </c>
      <c r="V16" t="s">
        <v>62</v>
      </c>
      <c r="W16" s="8"/>
      <c r="X16" s="19" t="s">
        <v>60</v>
      </c>
      <c r="Y16" s="20" t="s">
        <v>61</v>
      </c>
      <c r="Z16" t="s">
        <v>62</v>
      </c>
      <c r="AA16" s="8"/>
      <c r="AB16" s="19" t="s">
        <v>60</v>
      </c>
      <c r="AC16" s="20" t="s">
        <v>61</v>
      </c>
      <c r="AD16" t="s">
        <v>62</v>
      </c>
      <c r="AE16" s="8"/>
      <c r="AF16" s="19" t="s">
        <v>60</v>
      </c>
      <c r="AG16" s="20" t="s">
        <v>61</v>
      </c>
      <c r="AH16" t="s">
        <v>62</v>
      </c>
      <c r="AJ16" s="394" t="s">
        <v>63</v>
      </c>
      <c r="AK16" s="396"/>
    </row>
    <row r="17" spans="3:37" ht="15" customHeight="1" x14ac:dyDescent="0.3">
      <c r="C17" s="7" t="s">
        <v>64</v>
      </c>
      <c r="D17" s="99" t="str">
        <f>HEX2BIN(D16,8)</f>
        <v>00000111</v>
      </c>
      <c r="E17" s="99" t="str">
        <f t="shared" ref="E17:L17" si="12">HEX2BIN(E16,8)</f>
        <v>10110111</v>
      </c>
      <c r="F17" s="99" t="str">
        <f t="shared" si="12"/>
        <v>00000001</v>
      </c>
      <c r="G17" s="99" t="str">
        <f t="shared" si="12"/>
        <v>00000010</v>
      </c>
      <c r="H17" s="99" t="str">
        <f t="shared" si="12"/>
        <v>00000000</v>
      </c>
      <c r="I17" s="99" t="str">
        <f t="shared" si="12"/>
        <v>00000000</v>
      </c>
      <c r="J17" s="99" t="str">
        <f t="shared" si="12"/>
        <v>00000000</v>
      </c>
      <c r="K17" s="99" t="str">
        <f t="shared" si="12"/>
        <v>00000000</v>
      </c>
      <c r="L17" s="99" t="str">
        <f t="shared" si="12"/>
        <v>00000000</v>
      </c>
      <c r="N17" s="8"/>
      <c r="P17" s="21" t="str">
        <f>MID(H17,1,1)</f>
        <v>0</v>
      </c>
      <c r="Q17" s="26" t="str">
        <f>P17</f>
        <v>0</v>
      </c>
      <c r="R17" s="7" t="s">
        <v>65</v>
      </c>
      <c r="S17" s="285" t="s">
        <v>1384</v>
      </c>
      <c r="T17" s="21" t="str">
        <f>MID(I17,1,1)</f>
        <v>0</v>
      </c>
      <c r="U17" s="26" t="str">
        <f>T17</f>
        <v>0</v>
      </c>
      <c r="V17" s="7" t="s">
        <v>65</v>
      </c>
      <c r="W17" s="305" t="s">
        <v>1326</v>
      </c>
      <c r="X17" s="21" t="str">
        <f>MID(J17,1,1)</f>
        <v>0</v>
      </c>
      <c r="Y17" s="26" t="str">
        <f>X17</f>
        <v>0</v>
      </c>
      <c r="Z17" s="7" t="s">
        <v>65</v>
      </c>
      <c r="AA17" s="417" t="s">
        <v>1389</v>
      </c>
      <c r="AB17" s="21" t="str">
        <f>MID(K17,1,1)</f>
        <v>0</v>
      </c>
      <c r="AC17" s="26" t="str">
        <f>AB17</f>
        <v>0</v>
      </c>
      <c r="AD17" s="7" t="s">
        <v>65</v>
      </c>
      <c r="AE17" s="299" t="s">
        <v>1378</v>
      </c>
      <c r="AF17" s="21" t="str">
        <f>MID(L17,1,1)</f>
        <v>0</v>
      </c>
      <c r="AG17" s="26" t="str">
        <f>AF17</f>
        <v>0</v>
      </c>
      <c r="AH17" s="7" t="s">
        <v>65</v>
      </c>
      <c r="AI17" s="432" t="s">
        <v>1575</v>
      </c>
      <c r="AJ17" s="400"/>
      <c r="AK17" s="401"/>
    </row>
    <row r="18" spans="3:37" x14ac:dyDescent="0.3">
      <c r="C18" s="7" t="s">
        <v>67</v>
      </c>
      <c r="D18" s="99">
        <f>HEX2DEC(D16)</f>
        <v>7</v>
      </c>
      <c r="E18" s="99">
        <f t="shared" ref="E18:L18" si="13">HEX2DEC(E16)</f>
        <v>183</v>
      </c>
      <c r="F18" s="99">
        <f t="shared" si="13"/>
        <v>1</v>
      </c>
      <c r="G18" s="99">
        <f t="shared" si="13"/>
        <v>2</v>
      </c>
      <c r="H18" s="99">
        <f t="shared" si="13"/>
        <v>0</v>
      </c>
      <c r="I18" s="99">
        <f t="shared" si="13"/>
        <v>0</v>
      </c>
      <c r="J18" s="99">
        <f t="shared" si="13"/>
        <v>0</v>
      </c>
      <c r="K18" s="99">
        <f t="shared" si="13"/>
        <v>0</v>
      </c>
      <c r="L18" s="99">
        <f t="shared" si="13"/>
        <v>0</v>
      </c>
      <c r="M18" s="99">
        <f>SUM(D18:L18)</f>
        <v>193</v>
      </c>
      <c r="N18" s="8"/>
      <c r="P18" s="21" t="str">
        <f>MID(H17,2,1)</f>
        <v>0</v>
      </c>
      <c r="Q18" s="26" t="str">
        <f t="shared" ref="Q18:Q24" si="14">P18</f>
        <v>0</v>
      </c>
      <c r="R18" s="7" t="s">
        <v>68</v>
      </c>
      <c r="S18" s="342" t="s">
        <v>1387</v>
      </c>
      <c r="T18" s="33" t="str">
        <f>MID(I17,2,1)</f>
        <v>0</v>
      </c>
      <c r="U18" s="26" t="str">
        <f t="shared" ref="U18:U24" si="15">T18</f>
        <v>0</v>
      </c>
      <c r="V18" s="7" t="s">
        <v>68</v>
      </c>
      <c r="W18" s="305" t="s">
        <v>1326</v>
      </c>
      <c r="X18" s="21" t="str">
        <f>MID(J17,2,1)</f>
        <v>0</v>
      </c>
      <c r="Y18" s="26" t="str">
        <f t="shared" ref="Y18:Y24" si="16">X18</f>
        <v>0</v>
      </c>
      <c r="Z18" s="7" t="s">
        <v>68</v>
      </c>
      <c r="AA18" s="418"/>
      <c r="AB18" s="21" t="str">
        <f>MID(K17,2,1)</f>
        <v>0</v>
      </c>
      <c r="AC18" s="26" t="str">
        <f t="shared" ref="AC18:AC24" si="17">AB18</f>
        <v>0</v>
      </c>
      <c r="AD18" s="7" t="s">
        <v>68</v>
      </c>
      <c r="AE18" s="329" t="s">
        <v>446</v>
      </c>
      <c r="AF18" s="21" t="str">
        <f>MID(L17,2,1)</f>
        <v>0</v>
      </c>
      <c r="AG18" s="26" t="str">
        <f t="shared" ref="AG18:AG24" si="18">AF18</f>
        <v>0</v>
      </c>
      <c r="AH18" s="7" t="s">
        <v>68</v>
      </c>
      <c r="AI18" s="427"/>
      <c r="AJ18" s="400"/>
      <c r="AK18" s="401"/>
    </row>
    <row r="19" spans="3:37" x14ac:dyDescent="0.3">
      <c r="C19" s="7" t="s">
        <v>1678</v>
      </c>
      <c r="D19" s="333" t="str">
        <f>D16</f>
        <v>07</v>
      </c>
      <c r="E19" s="333" t="str">
        <f t="shared" ref="E19" si="19">E16</f>
        <v>B7</v>
      </c>
      <c r="F19" s="99" t="str">
        <f>MID($A$5,4,2)</f>
        <v>G1</v>
      </c>
      <c r="G19" s="99" t="str">
        <f>MID($A$5,6,2)</f>
        <v>G2</v>
      </c>
      <c r="N19" s="8"/>
      <c r="P19" s="21" t="str">
        <f>MID(H17,3,1)</f>
        <v>0</v>
      </c>
      <c r="Q19" s="26" t="str">
        <f t="shared" si="14"/>
        <v>0</v>
      </c>
      <c r="R19" s="7" t="s">
        <v>69</v>
      </c>
      <c r="S19" s="30" t="s">
        <v>90</v>
      </c>
      <c r="T19" s="21" t="str">
        <f>MID(I17,3,1)</f>
        <v>0</v>
      </c>
      <c r="U19" s="26" t="str">
        <f t="shared" si="15"/>
        <v>0</v>
      </c>
      <c r="V19" s="7" t="s">
        <v>69</v>
      </c>
      <c r="W19" s="305" t="s">
        <v>1326</v>
      </c>
      <c r="X19" s="21" t="str">
        <f>MID(J17,3,1)</f>
        <v>0</v>
      </c>
      <c r="Y19" s="26" t="str">
        <f t="shared" si="16"/>
        <v>0</v>
      </c>
      <c r="Z19" s="7" t="s">
        <v>69</v>
      </c>
      <c r="AA19" s="418"/>
      <c r="AB19" s="21" t="str">
        <f>MID(K17,3,1)</f>
        <v>0</v>
      </c>
      <c r="AC19" s="26" t="str">
        <f t="shared" si="17"/>
        <v>0</v>
      </c>
      <c r="AD19" s="7" t="s">
        <v>69</v>
      </c>
      <c r="AE19" s="328" t="s">
        <v>1660</v>
      </c>
      <c r="AF19" s="21" t="str">
        <f>MID(L17,3,1)</f>
        <v>0</v>
      </c>
      <c r="AG19" s="26" t="str">
        <f t="shared" si="18"/>
        <v>0</v>
      </c>
      <c r="AH19" s="7" t="s">
        <v>69</v>
      </c>
      <c r="AI19" s="427"/>
      <c r="AJ19" s="400"/>
      <c r="AK19" s="401"/>
    </row>
    <row r="20" spans="3:37" ht="15" thickBot="1" x14ac:dyDescent="0.35">
      <c r="C20" s="7"/>
      <c r="N20" s="8"/>
      <c r="P20" s="21" t="str">
        <f>MID(H17,4,1)</f>
        <v>0</v>
      </c>
      <c r="Q20" s="26" t="str">
        <f t="shared" si="14"/>
        <v>0</v>
      </c>
      <c r="R20" s="7" t="s">
        <v>70</v>
      </c>
      <c r="S20" s="305" t="s">
        <v>1326</v>
      </c>
      <c r="T20" s="21" t="str">
        <f>MID(I17,4,1)</f>
        <v>0</v>
      </c>
      <c r="U20" s="26" t="str">
        <f t="shared" si="15"/>
        <v>0</v>
      </c>
      <c r="V20" s="7" t="s">
        <v>70</v>
      </c>
      <c r="W20" s="299" t="s">
        <v>1386</v>
      </c>
      <c r="X20" s="21" t="str">
        <f>MID(J17,4,1)</f>
        <v>0</v>
      </c>
      <c r="Y20" s="26" t="str">
        <f t="shared" si="16"/>
        <v>0</v>
      </c>
      <c r="Z20" s="7" t="s">
        <v>70</v>
      </c>
      <c r="AA20" s="419"/>
      <c r="AB20" s="21" t="str">
        <f>MID(K17,4,1)</f>
        <v>0</v>
      </c>
      <c r="AC20" s="26" t="str">
        <f t="shared" si="17"/>
        <v>0</v>
      </c>
      <c r="AD20" s="7" t="s">
        <v>70</v>
      </c>
      <c r="AE20" s="8" t="s">
        <v>66</v>
      </c>
      <c r="AF20" s="21" t="str">
        <f>MID(L17,4,1)</f>
        <v>0</v>
      </c>
      <c r="AG20" s="26" t="str">
        <f t="shared" si="18"/>
        <v>0</v>
      </c>
      <c r="AH20" s="7" t="s">
        <v>70</v>
      </c>
      <c r="AI20" s="423"/>
      <c r="AJ20" s="400"/>
      <c r="AK20" s="401"/>
    </row>
    <row r="21" spans="3:37" ht="15" thickBot="1" x14ac:dyDescent="0.35">
      <c r="C21" s="7" t="s">
        <v>56</v>
      </c>
      <c r="D21" s="15" t="str">
        <f t="shared" ref="D21:G21" si="20">D16</f>
        <v>07</v>
      </c>
      <c r="E21" s="16" t="str">
        <f t="shared" si="20"/>
        <v>B7</v>
      </c>
      <c r="F21" s="16" t="str">
        <f t="shared" si="20"/>
        <v>01</v>
      </c>
      <c r="G21" s="17" t="str">
        <f t="shared" si="20"/>
        <v>02</v>
      </c>
      <c r="H21" s="23" t="str">
        <f>BIN2HEX(H22,2)</f>
        <v>00</v>
      </c>
      <c r="I21" s="25" t="str">
        <f t="shared" ref="I21" si="21">BIN2HEX(I22,2)</f>
        <v>00</v>
      </c>
      <c r="J21" s="24" t="str">
        <f t="shared" ref="J21" si="22">BIN2HEX(J22,2)</f>
        <v>00</v>
      </c>
      <c r="K21" s="2" t="str">
        <f t="shared" ref="K21" si="23">BIN2HEX(K22,2)</f>
        <v>00</v>
      </c>
      <c r="L21" s="18" t="str">
        <f t="shared" ref="L21" si="24">BIN2HEX(L22,2)</f>
        <v>00</v>
      </c>
      <c r="M21" s="3" t="str">
        <f>IF(LEN(M22)&gt;2,MID(M22,2,2),M22)</f>
        <v>C1</v>
      </c>
      <c r="N21" s="8" t="s">
        <v>61</v>
      </c>
      <c r="P21" s="21" t="str">
        <f>MID(H17,5,1)</f>
        <v>0</v>
      </c>
      <c r="Q21" s="26" t="str">
        <f t="shared" si="14"/>
        <v>0</v>
      </c>
      <c r="R21" s="7" t="s">
        <v>71</v>
      </c>
      <c r="S21" s="305" t="s">
        <v>1326</v>
      </c>
      <c r="T21" s="21" t="str">
        <f>MID(I17,5,1)</f>
        <v>0</v>
      </c>
      <c r="U21" s="26" t="str">
        <f t="shared" si="15"/>
        <v>0</v>
      </c>
      <c r="V21" s="7" t="s">
        <v>71</v>
      </c>
      <c r="W21" s="414" t="s">
        <v>1388</v>
      </c>
      <c r="X21" s="21" t="str">
        <f>MID(J17,5,1)</f>
        <v>0</v>
      </c>
      <c r="Y21" s="26" t="str">
        <f t="shared" si="16"/>
        <v>0</v>
      </c>
      <c r="Z21" s="7" t="s">
        <v>71</v>
      </c>
      <c r="AA21" s="305" t="s">
        <v>1326</v>
      </c>
      <c r="AB21" s="21" t="str">
        <f>MID(K17,5,1)</f>
        <v>0</v>
      </c>
      <c r="AC21" s="26" t="str">
        <f t="shared" si="17"/>
        <v>0</v>
      </c>
      <c r="AD21" s="7" t="s">
        <v>71</v>
      </c>
      <c r="AE21" s="285" t="s">
        <v>1684</v>
      </c>
      <c r="AF21" s="21" t="str">
        <f>MID(L17,5,1)</f>
        <v>0</v>
      </c>
      <c r="AG21" s="26" t="str">
        <f t="shared" si="18"/>
        <v>0</v>
      </c>
      <c r="AH21" s="7" t="s">
        <v>71</v>
      </c>
      <c r="AI21" s="94" t="s">
        <v>1609</v>
      </c>
      <c r="AJ21" s="400"/>
      <c r="AK21" s="401"/>
    </row>
    <row r="22" spans="3:37" x14ac:dyDescent="0.3">
      <c r="C22" s="7" t="s">
        <v>64</v>
      </c>
      <c r="D22" s="99" t="str">
        <f>HEX2BIN(D21,8)</f>
        <v>00000111</v>
      </c>
      <c r="E22" s="99" t="str">
        <f t="shared" ref="E22:G22" si="25">HEX2BIN(E21,8)</f>
        <v>10110111</v>
      </c>
      <c r="F22" s="99" t="str">
        <f t="shared" si="25"/>
        <v>00000001</v>
      </c>
      <c r="G22" s="99" t="str">
        <f t="shared" si="25"/>
        <v>00000010</v>
      </c>
      <c r="H22" s="29" t="str">
        <f>Q17&amp;Q18&amp;Q19&amp;Q20&amp;Q21&amp;Q22&amp;Q23&amp;Q24</f>
        <v>00000000</v>
      </c>
      <c r="I22" s="99" t="str">
        <f>U17&amp;U18&amp;U19&amp;U20&amp;U21&amp;U22&amp;U23&amp;U24</f>
        <v>00000000</v>
      </c>
      <c r="J22" s="29" t="str">
        <f>Y17&amp;Y18&amp;Y19&amp;Y20&amp;Y21&amp;Y22&amp;Y23&amp;Y24</f>
        <v>00000000</v>
      </c>
      <c r="K22" s="29" t="str">
        <f>AC17&amp;AC18&amp;AC19&amp;AC20&amp;AC21&amp;AC22&amp;AC23&amp;AC24</f>
        <v>00000000</v>
      </c>
      <c r="L22" s="99" t="str">
        <f>AG17&amp;AG18&amp;AG19&amp;AG20&amp;AG21&amp;AG22&amp;AG23&amp;AG24</f>
        <v>00000000</v>
      </c>
      <c r="M22" s="99" t="str">
        <f>DEC2HEX(M23)</f>
        <v>C1</v>
      </c>
      <c r="N22" s="8"/>
      <c r="P22" s="21" t="str">
        <f>MID(H17,6,1)</f>
        <v>0</v>
      </c>
      <c r="Q22" s="26" t="str">
        <f t="shared" si="14"/>
        <v>0</v>
      </c>
      <c r="R22" s="7" t="s">
        <v>72</v>
      </c>
      <c r="S22" s="285" t="s">
        <v>1385</v>
      </c>
      <c r="T22" s="21" t="str">
        <f>MID(I17,6,1)</f>
        <v>0</v>
      </c>
      <c r="U22" s="26" t="str">
        <f t="shared" si="15"/>
        <v>0</v>
      </c>
      <c r="V22" s="7" t="s">
        <v>72</v>
      </c>
      <c r="W22" s="415"/>
      <c r="X22" s="21" t="str">
        <f>MID(J17,6,1)</f>
        <v>0</v>
      </c>
      <c r="Y22" s="26" t="str">
        <f t="shared" si="16"/>
        <v>0</v>
      </c>
      <c r="Z22" s="7" t="s">
        <v>72</v>
      </c>
      <c r="AA22" s="305" t="s">
        <v>1326</v>
      </c>
      <c r="AB22" s="21" t="str">
        <f>MID(K17,6,1)</f>
        <v>0</v>
      </c>
      <c r="AC22" s="26" t="str">
        <f t="shared" si="17"/>
        <v>0</v>
      </c>
      <c r="AD22" s="7" t="s">
        <v>72</v>
      </c>
      <c r="AE22" s="8" t="s">
        <v>66</v>
      </c>
      <c r="AF22" s="21" t="str">
        <f>MID(L17,6,1)</f>
        <v>0</v>
      </c>
      <c r="AG22" s="26" t="str">
        <f t="shared" si="18"/>
        <v>0</v>
      </c>
      <c r="AH22" s="7" t="s">
        <v>72</v>
      </c>
      <c r="AI22" s="8" t="s">
        <v>66</v>
      </c>
      <c r="AJ22" s="400"/>
      <c r="AK22" s="401"/>
    </row>
    <row r="23" spans="3:37" x14ac:dyDescent="0.3">
      <c r="C23" s="7" t="s">
        <v>67</v>
      </c>
      <c r="D23" s="99">
        <f>HEX2DEC(D21)</f>
        <v>7</v>
      </c>
      <c r="E23" s="99">
        <f t="shared" ref="E23:L23" si="26">HEX2DEC(E21)</f>
        <v>183</v>
      </c>
      <c r="F23" s="99">
        <f t="shared" si="26"/>
        <v>1</v>
      </c>
      <c r="G23" s="99">
        <f t="shared" si="26"/>
        <v>2</v>
      </c>
      <c r="H23" s="99">
        <f t="shared" si="26"/>
        <v>0</v>
      </c>
      <c r="I23" s="99">
        <f t="shared" si="26"/>
        <v>0</v>
      </c>
      <c r="J23" s="99">
        <f t="shared" si="26"/>
        <v>0</v>
      </c>
      <c r="K23" s="99">
        <f t="shared" si="26"/>
        <v>0</v>
      </c>
      <c r="L23" s="99">
        <f t="shared" si="26"/>
        <v>0</v>
      </c>
      <c r="M23" s="99">
        <f>SUM(D23:L23)</f>
        <v>193</v>
      </c>
      <c r="N23" s="8"/>
      <c r="P23" s="21" t="str">
        <f>MID(H17,7,1)</f>
        <v>0</v>
      </c>
      <c r="Q23" s="26" t="str">
        <f t="shared" si="14"/>
        <v>0</v>
      </c>
      <c r="R23" s="7" t="s">
        <v>73</v>
      </c>
      <c r="S23" s="285" t="s">
        <v>1501</v>
      </c>
      <c r="T23" s="21" t="str">
        <f>MID(I17,7,1)</f>
        <v>0</v>
      </c>
      <c r="U23" s="26" t="str">
        <f t="shared" si="15"/>
        <v>0</v>
      </c>
      <c r="V23" s="7" t="s">
        <v>73</v>
      </c>
      <c r="W23" s="415"/>
      <c r="X23" s="21" t="str">
        <f>MID(J17,7,1)</f>
        <v>0</v>
      </c>
      <c r="Y23" s="26" t="str">
        <f t="shared" si="16"/>
        <v>0</v>
      </c>
      <c r="Z23" s="7" t="s">
        <v>73</v>
      </c>
      <c r="AA23" s="285" t="s">
        <v>1385</v>
      </c>
      <c r="AB23" s="21" t="str">
        <f>MID(K17,7,1)</f>
        <v>0</v>
      </c>
      <c r="AC23" s="26" t="str">
        <f t="shared" si="17"/>
        <v>0</v>
      </c>
      <c r="AD23" s="7" t="s">
        <v>73</v>
      </c>
      <c r="AE23" s="8" t="s">
        <v>66</v>
      </c>
      <c r="AF23" s="21" t="str">
        <f>MID(L17,7,1)</f>
        <v>0</v>
      </c>
      <c r="AG23" s="26" t="str">
        <f t="shared" si="18"/>
        <v>0</v>
      </c>
      <c r="AH23" s="7" t="s">
        <v>73</v>
      </c>
      <c r="AI23" s="8" t="s">
        <v>66</v>
      </c>
      <c r="AJ23" s="400"/>
      <c r="AK23" s="401"/>
    </row>
    <row r="24" spans="3:37" ht="15" thickBot="1" x14ac:dyDescent="0.35">
      <c r="C24" s="9" t="s">
        <v>1678</v>
      </c>
      <c r="D24" s="335" t="str">
        <f>D19</f>
        <v>07</v>
      </c>
      <c r="E24" s="335" t="str">
        <f t="shared" ref="E24:G24" si="27">E19</f>
        <v>B7</v>
      </c>
      <c r="F24" s="335" t="str">
        <f t="shared" si="27"/>
        <v>G1</v>
      </c>
      <c r="G24" s="335" t="str">
        <f t="shared" si="27"/>
        <v>G2</v>
      </c>
      <c r="H24" s="10"/>
      <c r="I24" s="10"/>
      <c r="J24" s="10"/>
      <c r="K24" s="10"/>
      <c r="L24" s="10"/>
      <c r="M24" s="10"/>
      <c r="N24" s="11"/>
      <c r="P24" s="22" t="str">
        <f>MID(H17,8,1)</f>
        <v>0</v>
      </c>
      <c r="Q24" s="55" t="str">
        <f t="shared" si="14"/>
        <v>0</v>
      </c>
      <c r="R24" s="9" t="s">
        <v>74</v>
      </c>
      <c r="S24" s="287" t="s">
        <v>1385</v>
      </c>
      <c r="T24" s="22" t="str">
        <f>MID(I17,8,1)</f>
        <v>0</v>
      </c>
      <c r="U24" s="55" t="str">
        <f t="shared" si="15"/>
        <v>0</v>
      </c>
      <c r="V24" s="9" t="s">
        <v>74</v>
      </c>
      <c r="W24" s="416"/>
      <c r="X24" s="22" t="str">
        <f>MID(J17,8,1)</f>
        <v>0</v>
      </c>
      <c r="Y24" s="55" t="str">
        <f t="shared" si="16"/>
        <v>0</v>
      </c>
      <c r="Z24" s="9" t="s">
        <v>74</v>
      </c>
      <c r="AA24" s="287" t="s">
        <v>1385</v>
      </c>
      <c r="AB24" s="22" t="str">
        <f>MID(K17,8,1)</f>
        <v>0</v>
      </c>
      <c r="AC24" s="55" t="str">
        <f t="shared" si="17"/>
        <v>0</v>
      </c>
      <c r="AD24" s="9" t="s">
        <v>74</v>
      </c>
      <c r="AE24" s="11" t="s">
        <v>66</v>
      </c>
      <c r="AF24" s="22" t="str">
        <f>MID(L17,8,1)</f>
        <v>0</v>
      </c>
      <c r="AG24" s="55" t="str">
        <f t="shared" si="18"/>
        <v>0</v>
      </c>
      <c r="AH24" s="9" t="s">
        <v>74</v>
      </c>
      <c r="AI24" s="11" t="s">
        <v>66</v>
      </c>
      <c r="AJ24" s="402"/>
      <c r="AK24" s="404"/>
    </row>
    <row r="25" spans="3:37" ht="15" thickBot="1" x14ac:dyDescent="0.35">
      <c r="C25" s="4"/>
      <c r="D25" s="5"/>
      <c r="E25" s="5"/>
      <c r="F25" s="5"/>
      <c r="G25" s="5"/>
      <c r="H25" s="5"/>
      <c r="I25" s="5"/>
      <c r="J25" s="5"/>
      <c r="K25" s="5"/>
      <c r="L25" s="5" t="s">
        <v>41</v>
      </c>
      <c r="N25" s="6"/>
      <c r="P25" s="392" t="s">
        <v>91</v>
      </c>
      <c r="Q25" s="392"/>
      <c r="R25" s="392"/>
      <c r="S25" s="392"/>
      <c r="T25" s="392"/>
      <c r="U25" s="392"/>
      <c r="V25" s="392"/>
      <c r="W25" s="392"/>
      <c r="X25" s="392"/>
      <c r="Y25" s="392"/>
      <c r="Z25" s="392"/>
      <c r="AA25" s="392"/>
      <c r="AB25" s="392"/>
      <c r="AC25" s="392"/>
      <c r="AD25" s="392"/>
      <c r="AE25" s="392"/>
      <c r="AF25" s="392"/>
      <c r="AG25" s="392"/>
      <c r="AH25" s="392"/>
      <c r="AI25" s="392"/>
      <c r="AJ25" s="405"/>
      <c r="AK25" s="405"/>
    </row>
    <row r="26" spans="3:37" ht="15" thickBot="1" x14ac:dyDescent="0.35">
      <c r="C26" s="7"/>
      <c r="D26" s="393" t="s">
        <v>1527</v>
      </c>
      <c r="E26" s="393"/>
      <c r="F26" s="393"/>
      <c r="G26" s="393"/>
      <c r="H26" s="99" t="s">
        <v>44</v>
      </c>
      <c r="I26" s="99" t="s">
        <v>45</v>
      </c>
      <c r="J26" s="99" t="s">
        <v>46</v>
      </c>
      <c r="K26" s="99" t="s">
        <v>47</v>
      </c>
      <c r="L26" s="99" t="s">
        <v>48</v>
      </c>
      <c r="N26" s="8"/>
      <c r="P26" s="394" t="s">
        <v>50</v>
      </c>
      <c r="Q26" s="395"/>
      <c r="R26" s="395"/>
      <c r="S26" s="396"/>
      <c r="T26" s="394" t="s">
        <v>51</v>
      </c>
      <c r="U26" s="395"/>
      <c r="V26" s="395"/>
      <c r="W26" s="396"/>
      <c r="X26" s="394" t="s">
        <v>52</v>
      </c>
      <c r="Y26" s="395"/>
      <c r="Z26" s="395"/>
      <c r="AA26" s="396"/>
      <c r="AB26" s="394" t="s">
        <v>53</v>
      </c>
      <c r="AC26" s="395"/>
      <c r="AD26" s="395"/>
      <c r="AE26" s="396"/>
      <c r="AF26" s="406" t="s">
        <v>92</v>
      </c>
      <c r="AG26" s="407"/>
      <c r="AH26" s="407"/>
      <c r="AI26" s="408"/>
    </row>
    <row r="27" spans="3:37" ht="15" thickBot="1" x14ac:dyDescent="0.35">
      <c r="C27" s="7" t="s">
        <v>56</v>
      </c>
      <c r="D27" s="12" t="s">
        <v>57</v>
      </c>
      <c r="E27" s="13" t="s">
        <v>81</v>
      </c>
      <c r="F27" s="13" t="s">
        <v>59</v>
      </c>
      <c r="G27" s="14" t="s">
        <v>93</v>
      </c>
      <c r="H27" s="338" t="str">
        <f>MID($A$6,8,2)</f>
        <v>00</v>
      </c>
      <c r="I27" s="317" t="str">
        <f>MID($A$6,10,2)</f>
        <v>00</v>
      </c>
      <c r="J27" s="317" t="str">
        <f>MID($A$6,12,2)</f>
        <v>00</v>
      </c>
      <c r="K27" s="317" t="str">
        <f>MID($A$6,14,2)</f>
        <v>00</v>
      </c>
      <c r="L27" s="319" t="str">
        <f>MID($A$6,16,2)</f>
        <v>C2</v>
      </c>
      <c r="N27" s="8" t="s">
        <v>60</v>
      </c>
      <c r="P27" s="19" t="s">
        <v>60</v>
      </c>
      <c r="Q27" s="20" t="s">
        <v>61</v>
      </c>
      <c r="R27" t="s">
        <v>62</v>
      </c>
      <c r="S27" s="8"/>
      <c r="T27" s="19" t="s">
        <v>60</v>
      </c>
      <c r="U27" s="20" t="s">
        <v>61</v>
      </c>
      <c r="V27" t="s">
        <v>62</v>
      </c>
      <c r="W27" s="8"/>
      <c r="X27" s="19" t="s">
        <v>60</v>
      </c>
      <c r="Y27" s="20" t="s">
        <v>61</v>
      </c>
      <c r="Z27" t="s">
        <v>62</v>
      </c>
      <c r="AA27" s="8"/>
      <c r="AB27" s="19" t="s">
        <v>60</v>
      </c>
      <c r="AC27" s="20" t="s">
        <v>61</v>
      </c>
      <c r="AD27" t="s">
        <v>62</v>
      </c>
      <c r="AE27" s="8"/>
      <c r="AF27" s="394"/>
      <c r="AG27" s="395"/>
      <c r="AH27" s="395"/>
      <c r="AI27" s="396"/>
    </row>
    <row r="28" spans="3:37" x14ac:dyDescent="0.3">
      <c r="C28" s="7" t="s">
        <v>64</v>
      </c>
      <c r="D28" s="99" t="str">
        <f>HEX2BIN(D27,8)</f>
        <v>00000111</v>
      </c>
      <c r="E28" s="99" t="str">
        <f t="shared" ref="E28:K28" si="28">HEX2BIN(E27,8)</f>
        <v>10110111</v>
      </c>
      <c r="F28" s="99" t="str">
        <f t="shared" si="28"/>
        <v>00000001</v>
      </c>
      <c r="G28" s="99" t="str">
        <f t="shared" si="28"/>
        <v>00000011</v>
      </c>
      <c r="H28" s="99" t="str">
        <f t="shared" si="28"/>
        <v>00000000</v>
      </c>
      <c r="I28" s="99" t="str">
        <f t="shared" si="28"/>
        <v>00000000</v>
      </c>
      <c r="J28" s="99" t="str">
        <f t="shared" si="28"/>
        <v>00000000</v>
      </c>
      <c r="K28" s="99" t="str">
        <f t="shared" si="28"/>
        <v>00000000</v>
      </c>
      <c r="L28" s="99"/>
      <c r="N28" s="8"/>
      <c r="P28" s="21" t="str">
        <f>MID(H28,1,1)</f>
        <v>0</v>
      </c>
      <c r="Q28" s="26" t="str">
        <f>P28</f>
        <v>0</v>
      </c>
      <c r="R28" s="7" t="s">
        <v>65</v>
      </c>
      <c r="S28" s="8" t="s">
        <v>66</v>
      </c>
      <c r="T28" s="21" t="str">
        <f>MID(I28,1,1)</f>
        <v>0</v>
      </c>
      <c r="U28" s="26" t="str">
        <f>T28</f>
        <v>0</v>
      </c>
      <c r="V28" s="7" t="s">
        <v>65</v>
      </c>
      <c r="W28" s="409" t="s">
        <v>1390</v>
      </c>
      <c r="X28" s="21" t="str">
        <f>MID(J28,1,1)</f>
        <v>0</v>
      </c>
      <c r="Y28" s="26" t="str">
        <f>X28</f>
        <v>0</v>
      </c>
      <c r="Z28" s="7" t="s">
        <v>65</v>
      </c>
      <c r="AA28" s="303" t="s">
        <v>1394</v>
      </c>
      <c r="AB28" s="21" t="str">
        <f>MID(K28,1,1)</f>
        <v>0</v>
      </c>
      <c r="AC28" s="26" t="str">
        <f>AB28</f>
        <v>0</v>
      </c>
      <c r="AD28" s="7" t="s">
        <v>65</v>
      </c>
      <c r="AE28" s="8" t="s">
        <v>66</v>
      </c>
      <c r="AF28" s="400"/>
      <c r="AG28" s="381"/>
      <c r="AH28" s="381"/>
      <c r="AI28" s="401"/>
    </row>
    <row r="29" spans="3:37" x14ac:dyDescent="0.3">
      <c r="C29" s="7" t="s">
        <v>67</v>
      </c>
      <c r="D29" s="99">
        <f>HEX2DEC(D27)</f>
        <v>7</v>
      </c>
      <c r="E29" s="99">
        <f t="shared" ref="E29:K29" si="29">HEX2DEC(E27)</f>
        <v>183</v>
      </c>
      <c r="F29" s="99">
        <f t="shared" si="29"/>
        <v>1</v>
      </c>
      <c r="G29" s="99">
        <f t="shared" si="29"/>
        <v>3</v>
      </c>
      <c r="H29" s="99">
        <f t="shared" si="29"/>
        <v>0</v>
      </c>
      <c r="I29" s="99">
        <f t="shared" si="29"/>
        <v>0</v>
      </c>
      <c r="J29" s="99">
        <f t="shared" si="29"/>
        <v>0</v>
      </c>
      <c r="K29" s="99">
        <f t="shared" si="29"/>
        <v>0</v>
      </c>
      <c r="L29" s="99">
        <f>SUM(D29:K29)</f>
        <v>194</v>
      </c>
      <c r="N29" s="8"/>
      <c r="P29" s="21" t="str">
        <f>MID(H28,2,1)</f>
        <v>0</v>
      </c>
      <c r="Q29" s="26" t="str">
        <f t="shared" ref="Q29:Q35" si="30">P29</f>
        <v>0</v>
      </c>
      <c r="R29" s="7" t="s">
        <v>68</v>
      </c>
      <c r="S29" s="8" t="s">
        <v>66</v>
      </c>
      <c r="T29" s="21" t="str">
        <f>MID(I28,2,1)</f>
        <v>0</v>
      </c>
      <c r="U29" s="26" t="str">
        <f t="shared" ref="U29:U35" si="31">T29</f>
        <v>0</v>
      </c>
      <c r="V29" s="7" t="s">
        <v>68</v>
      </c>
      <c r="W29" s="410"/>
      <c r="X29" s="21" t="str">
        <f>MID(J28,2,1)</f>
        <v>0</v>
      </c>
      <c r="Y29" s="26" t="str">
        <f t="shared" ref="Y29:Y35" si="32">X29</f>
        <v>0</v>
      </c>
      <c r="Z29" s="7" t="s">
        <v>68</v>
      </c>
      <c r="AA29" s="303" t="s">
        <v>1395</v>
      </c>
      <c r="AB29" s="21" t="str">
        <f>MID(K28,2,1)</f>
        <v>0</v>
      </c>
      <c r="AC29" s="26" t="str">
        <f t="shared" ref="AC29:AC35" si="33">AB29</f>
        <v>0</v>
      </c>
      <c r="AD29" s="7" t="s">
        <v>68</v>
      </c>
      <c r="AE29" s="8" t="s">
        <v>66</v>
      </c>
      <c r="AF29" s="400"/>
      <c r="AG29" s="381"/>
      <c r="AH29" s="381"/>
      <c r="AI29" s="401"/>
    </row>
    <row r="30" spans="3:37" x14ac:dyDescent="0.3">
      <c r="C30" s="7" t="s">
        <v>1678</v>
      </c>
      <c r="D30" s="333" t="str">
        <f>D27</f>
        <v>07</v>
      </c>
      <c r="E30" s="333" t="str">
        <f>E27</f>
        <v>B7</v>
      </c>
      <c r="F30" s="99" t="str">
        <f>MID($A$6,4,2)</f>
        <v>G1</v>
      </c>
      <c r="G30" s="99" t="str">
        <f>MID($A$6,6,2)</f>
        <v>G3</v>
      </c>
      <c r="N30" s="8"/>
      <c r="P30" s="21" t="str">
        <f>MID(H28,3,1)</f>
        <v>0</v>
      </c>
      <c r="Q30" s="26" t="str">
        <f t="shared" si="30"/>
        <v>0</v>
      </c>
      <c r="R30" s="7" t="s">
        <v>69</v>
      </c>
      <c r="S30" s="8" t="s">
        <v>66</v>
      </c>
      <c r="T30" s="21" t="str">
        <f>MID(I28,3,1)</f>
        <v>0</v>
      </c>
      <c r="U30" s="26" t="str">
        <f t="shared" si="31"/>
        <v>0</v>
      </c>
      <c r="V30" s="7" t="s">
        <v>69</v>
      </c>
      <c r="W30" s="420"/>
      <c r="X30" s="21" t="str">
        <f>MID(J28,3,1)</f>
        <v>0</v>
      </c>
      <c r="Y30" s="26" t="str">
        <f t="shared" si="32"/>
        <v>0</v>
      </c>
      <c r="Z30" s="7" t="s">
        <v>69</v>
      </c>
      <c r="AA30" s="93" t="s">
        <v>66</v>
      </c>
      <c r="AB30" s="21" t="str">
        <f>MID(K28,3,1)</f>
        <v>0</v>
      </c>
      <c r="AC30" s="26" t="str">
        <f t="shared" si="33"/>
        <v>0</v>
      </c>
      <c r="AD30" s="7" t="s">
        <v>69</v>
      </c>
      <c r="AE30" s="8" t="s">
        <v>66</v>
      </c>
      <c r="AF30" s="400"/>
      <c r="AG30" s="381"/>
      <c r="AH30" s="381"/>
      <c r="AI30" s="401"/>
    </row>
    <row r="31" spans="3:37" ht="15" thickBot="1" x14ac:dyDescent="0.35">
      <c r="C31" s="7"/>
      <c r="N31" s="8"/>
      <c r="P31" s="21" t="str">
        <f>MID(H28,4,1)</f>
        <v>0</v>
      </c>
      <c r="Q31" s="26" t="str">
        <f t="shared" si="30"/>
        <v>0</v>
      </c>
      <c r="R31" s="7" t="s">
        <v>70</v>
      </c>
      <c r="S31" s="8" t="s">
        <v>66</v>
      </c>
      <c r="T31" s="21" t="str">
        <f>MID(I28,4,1)</f>
        <v>0</v>
      </c>
      <c r="U31" s="26" t="str">
        <f t="shared" si="31"/>
        <v>0</v>
      </c>
      <c r="V31" s="7" t="s">
        <v>70</v>
      </c>
      <c r="W31" s="303" t="s">
        <v>1391</v>
      </c>
      <c r="X31" s="21" t="str">
        <f>MID(J28,4,1)</f>
        <v>0</v>
      </c>
      <c r="Y31" s="26" t="str">
        <f t="shared" si="32"/>
        <v>0</v>
      </c>
      <c r="Z31" s="7" t="s">
        <v>70</v>
      </c>
      <c r="AA31" s="421" t="s">
        <v>1396</v>
      </c>
      <c r="AB31" s="21" t="str">
        <f>MID(K28,4,1)</f>
        <v>0</v>
      </c>
      <c r="AC31" s="26" t="str">
        <f t="shared" si="33"/>
        <v>0</v>
      </c>
      <c r="AD31" s="7" t="s">
        <v>70</v>
      </c>
      <c r="AE31" s="303" t="s">
        <v>1400</v>
      </c>
      <c r="AF31" s="400"/>
      <c r="AG31" s="381"/>
      <c r="AH31" s="381"/>
      <c r="AI31" s="401"/>
    </row>
    <row r="32" spans="3:37" ht="15" thickBot="1" x14ac:dyDescent="0.35">
      <c r="C32" s="7" t="s">
        <v>56</v>
      </c>
      <c r="D32" s="15" t="str">
        <f>D27</f>
        <v>07</v>
      </c>
      <c r="E32" s="16" t="str">
        <f>E27</f>
        <v>B7</v>
      </c>
      <c r="F32" s="16" t="str">
        <f>F27</f>
        <v>01</v>
      </c>
      <c r="G32" s="17" t="str">
        <f>G27</f>
        <v>03</v>
      </c>
      <c r="H32" s="23" t="str">
        <f>BIN2HEX(H33,2)</f>
        <v>00</v>
      </c>
      <c r="I32" s="25" t="str">
        <f t="shared" ref="I32" si="34">BIN2HEX(I33,2)</f>
        <v>00</v>
      </c>
      <c r="J32" s="24" t="str">
        <f t="shared" ref="J32" si="35">BIN2HEX(J33,2)</f>
        <v>00</v>
      </c>
      <c r="K32" s="2" t="str">
        <f t="shared" ref="K32" si="36">BIN2HEX(K33,2)</f>
        <v>00</v>
      </c>
      <c r="L32" s="313" t="str">
        <f>IF(LEN(L33)&gt;2,MID(L33,2,2),L33)</f>
        <v>C2</v>
      </c>
      <c r="N32" s="8" t="s">
        <v>61</v>
      </c>
      <c r="P32" s="21" t="str">
        <f>MID(H28,5,1)</f>
        <v>0</v>
      </c>
      <c r="Q32" s="26" t="str">
        <f t="shared" si="30"/>
        <v>0</v>
      </c>
      <c r="R32" s="7" t="s">
        <v>71</v>
      </c>
      <c r="S32" s="8" t="s">
        <v>66</v>
      </c>
      <c r="T32" s="21" t="str">
        <f>MID(I28,5,1)</f>
        <v>0</v>
      </c>
      <c r="U32" s="26" t="str">
        <f t="shared" si="31"/>
        <v>0</v>
      </c>
      <c r="V32" s="7" t="s">
        <v>71</v>
      </c>
      <c r="W32" s="303" t="s">
        <v>1392</v>
      </c>
      <c r="X32" s="21" t="str">
        <f>MID(J28,5,1)</f>
        <v>0</v>
      </c>
      <c r="Y32" s="26" t="str">
        <f t="shared" si="32"/>
        <v>0</v>
      </c>
      <c r="Z32" s="7" t="s">
        <v>71</v>
      </c>
      <c r="AA32" s="422"/>
      <c r="AB32" s="21" t="str">
        <f>MID(K28,5,1)</f>
        <v>0</v>
      </c>
      <c r="AC32" s="26" t="str">
        <f t="shared" si="33"/>
        <v>0</v>
      </c>
      <c r="AD32" s="7" t="s">
        <v>71</v>
      </c>
      <c r="AE32" s="8" t="s">
        <v>66</v>
      </c>
      <c r="AF32" s="400"/>
      <c r="AG32" s="381"/>
      <c r="AH32" s="381"/>
      <c r="AI32" s="401"/>
    </row>
    <row r="33" spans="3:37" x14ac:dyDescent="0.3">
      <c r="C33" s="7" t="s">
        <v>64</v>
      </c>
      <c r="D33" s="99" t="str">
        <f>HEX2BIN(D32,8)</f>
        <v>00000111</v>
      </c>
      <c r="E33" s="99" t="str">
        <f t="shared" ref="E33:G33" si="37">HEX2BIN(E32,8)</f>
        <v>10110111</v>
      </c>
      <c r="F33" s="99" t="str">
        <f t="shared" si="37"/>
        <v>00000001</v>
      </c>
      <c r="G33" s="99" t="str">
        <f t="shared" si="37"/>
        <v>00000011</v>
      </c>
      <c r="H33" s="29" t="str">
        <f>Q28&amp;Q29&amp;Q30&amp;Q31&amp;Q32&amp;Q33&amp;Q34&amp;Q35</f>
        <v>00000000</v>
      </c>
      <c r="I33" s="99" t="str">
        <f>U28&amp;U29&amp;U30&amp;U31&amp;U32&amp;U33&amp;U34&amp;U35</f>
        <v>00000000</v>
      </c>
      <c r="J33" s="29" t="str">
        <f>Y28&amp;Y29&amp;Y30&amp;Y31&amp;Y32&amp;Y33&amp;Y34&amp;Y35</f>
        <v>00000000</v>
      </c>
      <c r="K33" s="29" t="str">
        <f>AC28&amp;AC29&amp;AC30&amp;AC31&amp;AC32&amp;AC33&amp;AC34&amp;AC35</f>
        <v>00000000</v>
      </c>
      <c r="L33" s="99" t="str">
        <f>DEC2HEX(L34)</f>
        <v>C2</v>
      </c>
      <c r="N33" s="8"/>
      <c r="P33" s="21" t="str">
        <f>MID(H28,6,1)</f>
        <v>0</v>
      </c>
      <c r="Q33" s="26" t="str">
        <f t="shared" si="30"/>
        <v>0</v>
      </c>
      <c r="R33" s="7" t="s">
        <v>72</v>
      </c>
      <c r="S33" s="8" t="s">
        <v>66</v>
      </c>
      <c r="T33" s="21" t="str">
        <f>MID(I28,6,1)</f>
        <v>0</v>
      </c>
      <c r="U33" s="26" t="str">
        <f t="shared" si="31"/>
        <v>0</v>
      </c>
      <c r="V33" s="7" t="s">
        <v>72</v>
      </c>
      <c r="W33" s="303" t="s">
        <v>1393</v>
      </c>
      <c r="X33" s="21" t="str">
        <f>MID(J28,6,1)</f>
        <v>0</v>
      </c>
      <c r="Y33" s="26" t="str">
        <f t="shared" si="32"/>
        <v>0</v>
      </c>
      <c r="Z33" s="7" t="s">
        <v>72</v>
      </c>
      <c r="AA33" s="303" t="s">
        <v>1397</v>
      </c>
      <c r="AB33" s="21" t="str">
        <f>MID(K28,6,1)</f>
        <v>0</v>
      </c>
      <c r="AC33" s="26" t="str">
        <f t="shared" si="33"/>
        <v>0</v>
      </c>
      <c r="AD33" s="7" t="s">
        <v>72</v>
      </c>
      <c r="AE33" s="8" t="s">
        <v>66</v>
      </c>
      <c r="AF33" s="400"/>
      <c r="AG33" s="381"/>
      <c r="AH33" s="381"/>
      <c r="AI33" s="401"/>
    </row>
    <row r="34" spans="3:37" x14ac:dyDescent="0.3">
      <c r="C34" s="7" t="s">
        <v>67</v>
      </c>
      <c r="D34" s="99">
        <f>HEX2DEC(D32)</f>
        <v>7</v>
      </c>
      <c r="E34" s="99">
        <f t="shared" ref="E34:K34" si="38">HEX2DEC(E32)</f>
        <v>183</v>
      </c>
      <c r="F34" s="99">
        <f t="shared" si="38"/>
        <v>1</v>
      </c>
      <c r="G34" s="99">
        <f t="shared" si="38"/>
        <v>3</v>
      </c>
      <c r="H34" s="99">
        <f t="shared" si="38"/>
        <v>0</v>
      </c>
      <c r="I34" s="99">
        <f t="shared" si="38"/>
        <v>0</v>
      </c>
      <c r="J34" s="99">
        <f t="shared" si="38"/>
        <v>0</v>
      </c>
      <c r="K34" s="99">
        <f t="shared" si="38"/>
        <v>0</v>
      </c>
      <c r="L34" s="99">
        <f>SUM(D34:K34)</f>
        <v>194</v>
      </c>
      <c r="N34" s="8"/>
      <c r="P34" s="21" t="str">
        <f>MID(H28,7,1)</f>
        <v>0</v>
      </c>
      <c r="Q34" s="26" t="str">
        <f t="shared" si="30"/>
        <v>0</v>
      </c>
      <c r="R34" s="7" t="s">
        <v>73</v>
      </c>
      <c r="S34" s="8" t="s">
        <v>66</v>
      </c>
      <c r="T34" s="21" t="str">
        <f>MID(I28,7,1)</f>
        <v>0</v>
      </c>
      <c r="U34" s="26" t="str">
        <f t="shared" si="31"/>
        <v>0</v>
      </c>
      <c r="V34" s="7" t="s">
        <v>73</v>
      </c>
      <c r="W34" s="95" t="s">
        <v>94</v>
      </c>
      <c r="X34" s="21" t="str">
        <f>MID(J28,7,1)</f>
        <v>0</v>
      </c>
      <c r="Y34" s="26" t="str">
        <f t="shared" si="32"/>
        <v>0</v>
      </c>
      <c r="Z34" s="7" t="s">
        <v>73</v>
      </c>
      <c r="AA34" s="303" t="s">
        <v>1398</v>
      </c>
      <c r="AB34" s="21" t="str">
        <f>MID(K28,7,1)</f>
        <v>0</v>
      </c>
      <c r="AC34" s="26" t="str">
        <f t="shared" si="33"/>
        <v>0</v>
      </c>
      <c r="AD34" s="7" t="s">
        <v>73</v>
      </c>
      <c r="AE34" s="8" t="s">
        <v>66</v>
      </c>
      <c r="AF34" s="400"/>
      <c r="AG34" s="381"/>
      <c r="AH34" s="381"/>
      <c r="AI34" s="401"/>
    </row>
    <row r="35" spans="3:37" ht="15" thickBot="1" x14ac:dyDescent="0.35">
      <c r="C35" s="9" t="s">
        <v>1678</v>
      </c>
      <c r="D35" s="335" t="str">
        <f>D30</f>
        <v>07</v>
      </c>
      <c r="E35" s="335" t="str">
        <f t="shared" ref="E35:G35" si="39">E30</f>
        <v>B7</v>
      </c>
      <c r="F35" s="335" t="str">
        <f t="shared" si="39"/>
        <v>G1</v>
      </c>
      <c r="G35" s="335" t="str">
        <f t="shared" si="39"/>
        <v>G3</v>
      </c>
      <c r="H35" s="10"/>
      <c r="I35" s="10"/>
      <c r="J35" s="10"/>
      <c r="K35" s="10"/>
      <c r="L35" s="10"/>
      <c r="M35" s="10"/>
      <c r="N35" s="11"/>
      <c r="P35" s="22" t="str">
        <f>MID(H28,8,1)</f>
        <v>0</v>
      </c>
      <c r="Q35" s="55" t="str">
        <f t="shared" si="30"/>
        <v>0</v>
      </c>
      <c r="R35" s="9" t="s">
        <v>74</v>
      </c>
      <c r="S35" s="287" t="s">
        <v>1379</v>
      </c>
      <c r="T35" s="22" t="str">
        <f>MID(I28,8,1)</f>
        <v>0</v>
      </c>
      <c r="U35" s="55" t="str">
        <f t="shared" si="31"/>
        <v>0</v>
      </c>
      <c r="V35" s="9" t="s">
        <v>74</v>
      </c>
      <c r="W35" s="96" t="s">
        <v>94</v>
      </c>
      <c r="X35" s="22" t="str">
        <f>MID(J28,8,1)</f>
        <v>0</v>
      </c>
      <c r="Y35" s="55" t="str">
        <f t="shared" si="32"/>
        <v>0</v>
      </c>
      <c r="Z35" s="9" t="s">
        <v>74</v>
      </c>
      <c r="AA35" s="304" t="s">
        <v>1399</v>
      </c>
      <c r="AB35" s="22" t="str">
        <f>MID(K28,8,1)</f>
        <v>0</v>
      </c>
      <c r="AC35" s="55" t="str">
        <f t="shared" si="33"/>
        <v>0</v>
      </c>
      <c r="AD35" s="9" t="s">
        <v>74</v>
      </c>
      <c r="AE35" s="11" t="s">
        <v>66</v>
      </c>
      <c r="AF35" s="402"/>
      <c r="AG35" s="403"/>
      <c r="AH35" s="403"/>
      <c r="AI35" s="404"/>
    </row>
    <row r="36" spans="3:37" ht="15" thickBot="1" x14ac:dyDescent="0.35">
      <c r="C36" s="4"/>
      <c r="D36" s="5"/>
      <c r="E36" s="5"/>
      <c r="F36" s="5"/>
      <c r="G36" s="5"/>
      <c r="H36" s="5"/>
      <c r="I36" s="5"/>
      <c r="J36" s="5"/>
      <c r="K36" s="5"/>
      <c r="L36" s="5"/>
      <c r="M36" s="5" t="s">
        <v>41</v>
      </c>
      <c r="N36" s="6"/>
      <c r="P36" s="392" t="s">
        <v>95</v>
      </c>
      <c r="Q36" s="392"/>
      <c r="R36" s="392"/>
      <c r="S36" s="392"/>
      <c r="T36" s="392"/>
      <c r="U36" s="392"/>
      <c r="V36" s="392"/>
      <c r="W36" s="392"/>
      <c r="X36" s="392"/>
      <c r="Y36" s="392"/>
      <c r="Z36" s="392"/>
      <c r="AA36" s="392"/>
      <c r="AB36" s="392"/>
      <c r="AC36" s="392"/>
      <c r="AD36" s="392"/>
      <c r="AE36" s="392"/>
      <c r="AF36" s="392"/>
      <c r="AG36" s="392"/>
      <c r="AH36" s="392"/>
      <c r="AI36" s="392"/>
      <c r="AJ36" s="392"/>
      <c r="AK36" s="392"/>
    </row>
    <row r="37" spans="3:37" ht="15" thickBot="1" x14ac:dyDescent="0.35">
      <c r="C37" s="7"/>
      <c r="D37" s="393" t="s">
        <v>96</v>
      </c>
      <c r="E37" s="393"/>
      <c r="F37" s="393"/>
      <c r="G37" s="393"/>
      <c r="H37" s="99" t="s">
        <v>44</v>
      </c>
      <c r="I37" s="99" t="s">
        <v>45</v>
      </c>
      <c r="J37" s="99" t="s">
        <v>46</v>
      </c>
      <c r="K37" s="99" t="s">
        <v>47</v>
      </c>
      <c r="L37" s="99" t="s">
        <v>48</v>
      </c>
      <c r="M37" s="99" t="s">
        <v>49</v>
      </c>
      <c r="N37" s="8"/>
      <c r="P37" s="394" t="s">
        <v>50</v>
      </c>
      <c r="Q37" s="395"/>
      <c r="R37" s="395"/>
      <c r="S37" s="396"/>
      <c r="T37" s="394" t="s">
        <v>51</v>
      </c>
      <c r="U37" s="395"/>
      <c r="V37" s="395"/>
      <c r="W37" s="396"/>
      <c r="X37" s="394" t="s">
        <v>52</v>
      </c>
      <c r="Y37" s="395"/>
      <c r="Z37" s="395"/>
      <c r="AA37" s="396"/>
      <c r="AB37" s="394" t="s">
        <v>53</v>
      </c>
      <c r="AC37" s="395"/>
      <c r="AD37" s="395"/>
      <c r="AE37" s="396"/>
      <c r="AF37" s="394" t="s">
        <v>97</v>
      </c>
      <c r="AG37" s="395"/>
      <c r="AH37" s="395"/>
      <c r="AI37" s="396"/>
      <c r="AJ37" s="394" t="s">
        <v>55</v>
      </c>
      <c r="AK37" s="396"/>
    </row>
    <row r="38" spans="3:37" ht="15" thickBot="1" x14ac:dyDescent="0.35">
      <c r="C38" s="7" t="s">
        <v>56</v>
      </c>
      <c r="D38" s="12" t="s">
        <v>57</v>
      </c>
      <c r="E38" s="13" t="s">
        <v>81</v>
      </c>
      <c r="F38" s="13" t="s">
        <v>77</v>
      </c>
      <c r="G38" s="14" t="s">
        <v>59</v>
      </c>
      <c r="H38" s="316" t="str">
        <f>MID($A$8,8,2)</f>
        <v>00</v>
      </c>
      <c r="I38" s="317" t="str">
        <f>MID($A$8,10,2)</f>
        <v>00</v>
      </c>
      <c r="J38" s="317" t="str">
        <f>MID($A$8,12,2)</f>
        <v>00</v>
      </c>
      <c r="K38" s="317" t="str">
        <f>MID($A$8,14,2)</f>
        <v>00</v>
      </c>
      <c r="L38" s="318" t="str">
        <f>MID($A$8,16,2)</f>
        <v>00</v>
      </c>
      <c r="M38" s="319" t="str">
        <f>MID($A$8,18,2)</f>
        <v>C1</v>
      </c>
      <c r="N38" s="8" t="s">
        <v>60</v>
      </c>
      <c r="P38" s="19" t="s">
        <v>60</v>
      </c>
      <c r="Q38" s="20" t="s">
        <v>61</v>
      </c>
      <c r="R38" t="s">
        <v>62</v>
      </c>
      <c r="S38" s="8"/>
      <c r="T38" s="19" t="s">
        <v>60</v>
      </c>
      <c r="U38" s="20" t="s">
        <v>61</v>
      </c>
      <c r="V38" t="s">
        <v>62</v>
      </c>
      <c r="W38" s="8"/>
      <c r="X38" s="19" t="s">
        <v>60</v>
      </c>
      <c r="Y38" s="20" t="s">
        <v>61</v>
      </c>
      <c r="Z38" t="s">
        <v>62</v>
      </c>
      <c r="AA38" s="8"/>
      <c r="AB38" s="19" t="s">
        <v>60</v>
      </c>
      <c r="AC38" s="20" t="s">
        <v>61</v>
      </c>
      <c r="AD38" t="s">
        <v>62</v>
      </c>
      <c r="AE38" s="8"/>
      <c r="AF38" s="19" t="s">
        <v>60</v>
      </c>
      <c r="AG38" s="20" t="s">
        <v>61</v>
      </c>
      <c r="AH38" t="s">
        <v>62</v>
      </c>
      <c r="AJ38" s="394" t="s">
        <v>63</v>
      </c>
      <c r="AK38" s="396"/>
    </row>
    <row r="39" spans="3:37" ht="15" customHeight="1" x14ac:dyDescent="0.3">
      <c r="C39" s="7" t="s">
        <v>64</v>
      </c>
      <c r="D39" s="99" t="str">
        <f>HEX2BIN(D38,8)</f>
        <v>00000111</v>
      </c>
      <c r="E39" s="99" t="str">
        <f t="shared" ref="E39:L39" si="40">HEX2BIN(E38,8)</f>
        <v>10110111</v>
      </c>
      <c r="F39" s="99" t="str">
        <f t="shared" si="40"/>
        <v>00000010</v>
      </c>
      <c r="G39" s="99" t="str">
        <f t="shared" si="40"/>
        <v>00000001</v>
      </c>
      <c r="H39" s="99" t="str">
        <f t="shared" si="40"/>
        <v>00000000</v>
      </c>
      <c r="I39" s="99" t="str">
        <f t="shared" si="40"/>
        <v>00000000</v>
      </c>
      <c r="J39" s="99" t="str">
        <f t="shared" si="40"/>
        <v>00000000</v>
      </c>
      <c r="K39" s="99" t="str">
        <f t="shared" si="40"/>
        <v>00000000</v>
      </c>
      <c r="L39" s="99" t="str">
        <f t="shared" si="40"/>
        <v>00000000</v>
      </c>
      <c r="N39" s="8"/>
      <c r="P39" s="21" t="str">
        <f>MID(H39,1,1)</f>
        <v>0</v>
      </c>
      <c r="Q39" s="26" t="str">
        <f>P39</f>
        <v>0</v>
      </c>
      <c r="R39" s="7" t="s">
        <v>65</v>
      </c>
      <c r="S39" s="432" t="s">
        <v>1576</v>
      </c>
      <c r="T39" s="21" t="str">
        <f>MID(I39,1,1)</f>
        <v>0</v>
      </c>
      <c r="U39" s="26" t="str">
        <f>T39</f>
        <v>0</v>
      </c>
      <c r="V39" s="7" t="s">
        <v>65</v>
      </c>
      <c r="W39" s="424" t="s">
        <v>1401</v>
      </c>
      <c r="X39" s="21" t="str">
        <f>MID(J39,1,1)</f>
        <v>0</v>
      </c>
      <c r="Y39" s="26" t="str">
        <f>X39</f>
        <v>0</v>
      </c>
      <c r="Z39" s="7" t="s">
        <v>65</v>
      </c>
      <c r="AA39" s="428" t="s">
        <v>1404</v>
      </c>
      <c r="AB39" s="21" t="str">
        <f>MID(K39,1,1)</f>
        <v>0</v>
      </c>
      <c r="AC39" s="26" t="str">
        <f>AB39</f>
        <v>0</v>
      </c>
      <c r="AD39" s="7" t="s">
        <v>65</v>
      </c>
      <c r="AE39" s="428" t="s">
        <v>1406</v>
      </c>
      <c r="AF39" s="21" t="str">
        <f>MID(L39,1,1)</f>
        <v>0</v>
      </c>
      <c r="AG39" s="26" t="str">
        <f>AF39</f>
        <v>0</v>
      </c>
      <c r="AH39" s="7" t="s">
        <v>65</v>
      </c>
      <c r="AI39" s="428" t="s">
        <v>1408</v>
      </c>
      <c r="AJ39" s="400"/>
      <c r="AK39" s="401"/>
    </row>
    <row r="40" spans="3:37" x14ac:dyDescent="0.3">
      <c r="C40" s="7" t="s">
        <v>67</v>
      </c>
      <c r="D40" s="99">
        <f>HEX2DEC(D38)</f>
        <v>7</v>
      </c>
      <c r="E40" s="99">
        <f t="shared" ref="E40:L40" si="41">HEX2DEC(E38)</f>
        <v>183</v>
      </c>
      <c r="F40" s="99">
        <f t="shared" si="41"/>
        <v>2</v>
      </c>
      <c r="G40" s="99">
        <f t="shared" si="41"/>
        <v>1</v>
      </c>
      <c r="H40" s="99">
        <f t="shared" si="41"/>
        <v>0</v>
      </c>
      <c r="I40" s="99">
        <f t="shared" si="41"/>
        <v>0</v>
      </c>
      <c r="J40" s="99">
        <f t="shared" si="41"/>
        <v>0</v>
      </c>
      <c r="K40" s="99">
        <f t="shared" si="41"/>
        <v>0</v>
      </c>
      <c r="L40" s="99">
        <f t="shared" si="41"/>
        <v>0</v>
      </c>
      <c r="M40" s="99">
        <f>SUM(D40:L40)</f>
        <v>193</v>
      </c>
      <c r="N40" s="8"/>
      <c r="P40" s="21" t="str">
        <f>MID(H39,2,1)</f>
        <v>0</v>
      </c>
      <c r="Q40" s="26" t="str">
        <f t="shared" ref="Q40:Q46" si="42">P40</f>
        <v>0</v>
      </c>
      <c r="R40" s="7" t="s">
        <v>68</v>
      </c>
      <c r="S40" s="427"/>
      <c r="T40" s="21" t="str">
        <f>MID(I39,2,1)</f>
        <v>0</v>
      </c>
      <c r="U40" s="26" t="str">
        <f t="shared" ref="U40:U46" si="43">T40</f>
        <v>0</v>
      </c>
      <c r="V40" s="7" t="s">
        <v>68</v>
      </c>
      <c r="W40" s="425"/>
      <c r="X40" s="21" t="str">
        <f>MID(J39,2,1)</f>
        <v>0</v>
      </c>
      <c r="Y40" s="26" t="str">
        <f t="shared" ref="Y40:Y46" si="44">X40</f>
        <v>0</v>
      </c>
      <c r="Z40" s="7" t="s">
        <v>68</v>
      </c>
      <c r="AA40" s="425"/>
      <c r="AB40" s="21" t="str">
        <f>MID(K39,2,1)</f>
        <v>0</v>
      </c>
      <c r="AC40" s="26" t="str">
        <f t="shared" ref="AC40:AC46" si="45">AB40</f>
        <v>0</v>
      </c>
      <c r="AD40" s="7" t="s">
        <v>68</v>
      </c>
      <c r="AE40" s="426"/>
      <c r="AF40" s="21" t="str">
        <f>MID(L39,2,1)</f>
        <v>0</v>
      </c>
      <c r="AG40" s="26" t="str">
        <f t="shared" ref="AG40:AG46" si="46">AF40</f>
        <v>0</v>
      </c>
      <c r="AH40" s="7" t="s">
        <v>68</v>
      </c>
      <c r="AI40" s="425"/>
      <c r="AJ40" s="400"/>
      <c r="AK40" s="401"/>
    </row>
    <row r="41" spans="3:37" x14ac:dyDescent="0.3">
      <c r="C41" s="7" t="s">
        <v>1678</v>
      </c>
      <c r="D41" s="333" t="str">
        <f>D38</f>
        <v>07</v>
      </c>
      <c r="E41" s="333" t="str">
        <f>E38</f>
        <v>B7</v>
      </c>
      <c r="F41" s="99" t="str">
        <f>MID($A$8,4,2)</f>
        <v>G2</v>
      </c>
      <c r="G41" s="99" t="str">
        <f>MID($A$8,6,2)</f>
        <v>G1</v>
      </c>
      <c r="N41" s="8"/>
      <c r="P41" s="21" t="str">
        <f>MID(H39,3,1)</f>
        <v>0</v>
      </c>
      <c r="Q41" s="26" t="str">
        <f t="shared" si="42"/>
        <v>0</v>
      </c>
      <c r="R41" s="7" t="s">
        <v>69</v>
      </c>
      <c r="S41" s="427"/>
      <c r="T41" s="21" t="str">
        <f>MID(I39,3,1)</f>
        <v>0</v>
      </c>
      <c r="U41" s="26" t="str">
        <f t="shared" si="43"/>
        <v>0</v>
      </c>
      <c r="V41" s="7" t="s">
        <v>69</v>
      </c>
      <c r="W41" s="426"/>
      <c r="X41" s="21" t="str">
        <f>MID(J39,3,1)</f>
        <v>0</v>
      </c>
      <c r="Y41" s="26" t="str">
        <f t="shared" si="44"/>
        <v>0</v>
      </c>
      <c r="Z41" s="7" t="s">
        <v>69</v>
      </c>
      <c r="AA41" s="426"/>
      <c r="AB41" s="21" t="str">
        <f>MID(K39,3,1)</f>
        <v>0</v>
      </c>
      <c r="AC41" s="26" t="str">
        <f t="shared" si="45"/>
        <v>0</v>
      </c>
      <c r="AD41" s="7" t="s">
        <v>69</v>
      </c>
      <c r="AE41" s="409" t="s">
        <v>1407</v>
      </c>
      <c r="AF41" s="21" t="str">
        <f>MID(L39,3,1)</f>
        <v>0</v>
      </c>
      <c r="AG41" s="26" t="str">
        <f t="shared" si="46"/>
        <v>0</v>
      </c>
      <c r="AH41" s="7" t="s">
        <v>69</v>
      </c>
      <c r="AI41" s="426"/>
      <c r="AJ41" s="400"/>
      <c r="AK41" s="401"/>
    </row>
    <row r="42" spans="3:37" ht="15.75" customHeight="1" thickBot="1" x14ac:dyDescent="0.35">
      <c r="C42" s="7"/>
      <c r="N42" s="8"/>
      <c r="P42" s="21" t="str">
        <f>MID(H39,4,1)</f>
        <v>0</v>
      </c>
      <c r="Q42" s="26" t="str">
        <f t="shared" si="42"/>
        <v>0</v>
      </c>
      <c r="R42" s="7" t="s">
        <v>70</v>
      </c>
      <c r="S42" s="423"/>
      <c r="T42" s="21" t="str">
        <f>MID(I39,4,1)</f>
        <v>0</v>
      </c>
      <c r="U42" s="26" t="str">
        <f t="shared" si="43"/>
        <v>0</v>
      </c>
      <c r="V42" s="7" t="s">
        <v>70</v>
      </c>
      <c r="W42" s="409" t="s">
        <v>1402</v>
      </c>
      <c r="X42" s="21" t="str">
        <f>MID(J39,4,1)</f>
        <v>0</v>
      </c>
      <c r="Y42" s="26" t="str">
        <f t="shared" si="44"/>
        <v>0</v>
      </c>
      <c r="Z42" s="7" t="s">
        <v>70</v>
      </c>
      <c r="AA42" s="409" t="s">
        <v>1405</v>
      </c>
      <c r="AB42" s="21" t="str">
        <f>MID(K39,4,1)</f>
        <v>0</v>
      </c>
      <c r="AC42" s="26" t="str">
        <f t="shared" si="45"/>
        <v>0</v>
      </c>
      <c r="AD42" s="7" t="s">
        <v>70</v>
      </c>
      <c r="AE42" s="427"/>
      <c r="AF42" s="21" t="str">
        <f>MID(L39,4,1)</f>
        <v>0</v>
      </c>
      <c r="AG42" s="26" t="str">
        <f t="shared" si="46"/>
        <v>0</v>
      </c>
      <c r="AH42" s="7" t="s">
        <v>70</v>
      </c>
      <c r="AI42" s="409" t="s">
        <v>1409</v>
      </c>
      <c r="AJ42" s="400"/>
      <c r="AK42" s="401"/>
    </row>
    <row r="43" spans="3:37" ht="15" thickBot="1" x14ac:dyDescent="0.35">
      <c r="C43" s="7" t="s">
        <v>56</v>
      </c>
      <c r="D43" s="15" t="str">
        <f t="shared" ref="D43:G43" si="47">D38</f>
        <v>07</v>
      </c>
      <c r="E43" s="16" t="str">
        <f t="shared" si="47"/>
        <v>B7</v>
      </c>
      <c r="F43" s="16" t="str">
        <f t="shared" si="47"/>
        <v>02</v>
      </c>
      <c r="G43" s="17" t="str">
        <f t="shared" si="47"/>
        <v>01</v>
      </c>
      <c r="H43" s="23" t="str">
        <f>BIN2HEX(H44,2)</f>
        <v>00</v>
      </c>
      <c r="I43" s="25" t="str">
        <f t="shared" ref="I43:L43" si="48">BIN2HEX(I44,2)</f>
        <v>00</v>
      </c>
      <c r="J43" s="24" t="str">
        <f t="shared" si="48"/>
        <v>00</v>
      </c>
      <c r="K43" s="2" t="str">
        <f t="shared" si="48"/>
        <v>00</v>
      </c>
      <c r="L43" s="18" t="str">
        <f t="shared" si="48"/>
        <v>00</v>
      </c>
      <c r="M43" s="3" t="str">
        <f>IF(LEN(M44)&gt;2,MID(M44,2,2),M44)</f>
        <v>C1</v>
      </c>
      <c r="N43" s="8" t="s">
        <v>61</v>
      </c>
      <c r="P43" s="21" t="str">
        <f>MID(H39,5,1)</f>
        <v>0</v>
      </c>
      <c r="Q43" s="26" t="str">
        <f t="shared" si="42"/>
        <v>0</v>
      </c>
      <c r="R43" s="7" t="s">
        <v>71</v>
      </c>
      <c r="S43" s="8" t="s">
        <v>66</v>
      </c>
      <c r="T43" s="21" t="str">
        <f>MID(I39,5,1)</f>
        <v>0</v>
      </c>
      <c r="U43" s="26" t="str">
        <f t="shared" si="43"/>
        <v>0</v>
      </c>
      <c r="V43" s="7" t="s">
        <v>71</v>
      </c>
      <c r="W43" s="423"/>
      <c r="X43" s="21" t="str">
        <f>MID(J39,5,1)</f>
        <v>0</v>
      </c>
      <c r="Y43" s="26" t="str">
        <f t="shared" si="44"/>
        <v>0</v>
      </c>
      <c r="Z43" s="7" t="s">
        <v>71</v>
      </c>
      <c r="AA43" s="423"/>
      <c r="AB43" s="21" t="str">
        <f>MID(K39,5,1)</f>
        <v>0</v>
      </c>
      <c r="AC43" s="26" t="str">
        <f t="shared" si="45"/>
        <v>0</v>
      </c>
      <c r="AD43" s="7" t="s">
        <v>71</v>
      </c>
      <c r="AE43" s="423"/>
      <c r="AF43" s="21" t="str">
        <f>MID(L39,5,1)</f>
        <v>0</v>
      </c>
      <c r="AG43" s="26" t="str">
        <f t="shared" si="46"/>
        <v>0</v>
      </c>
      <c r="AH43" s="7" t="s">
        <v>71</v>
      </c>
      <c r="AI43" s="423"/>
      <c r="AJ43" s="400"/>
      <c r="AK43" s="401"/>
    </row>
    <row r="44" spans="3:37" x14ac:dyDescent="0.3">
      <c r="C44" s="7" t="s">
        <v>64</v>
      </c>
      <c r="D44" s="99" t="str">
        <f>HEX2BIN(D43,8)</f>
        <v>00000111</v>
      </c>
      <c r="E44" s="99" t="str">
        <f t="shared" ref="E44:G44" si="49">HEX2BIN(E43,8)</f>
        <v>10110111</v>
      </c>
      <c r="F44" s="99" t="str">
        <f t="shared" si="49"/>
        <v>00000010</v>
      </c>
      <c r="G44" s="99" t="str">
        <f t="shared" si="49"/>
        <v>00000001</v>
      </c>
      <c r="H44" s="29" t="str">
        <f>Q39&amp;Q40&amp;Q41&amp;Q42&amp;Q43&amp;Q44&amp;Q45&amp;Q46</f>
        <v>00000000</v>
      </c>
      <c r="I44" s="99" t="str">
        <f>U39&amp;U40&amp;U41&amp;U42&amp;U43&amp;U44&amp;U45&amp;U46</f>
        <v>00000000</v>
      </c>
      <c r="J44" s="29" t="str">
        <f>Y39&amp;Y40&amp;Y41&amp;Y42&amp;Y43&amp;Y44&amp;Y45&amp;Y46</f>
        <v>00000000</v>
      </c>
      <c r="K44" s="29" t="str">
        <f>AC39&amp;AC40&amp;AC41&amp;AC42&amp;AC43&amp;AC44&amp;AC45&amp;AC46</f>
        <v>00000000</v>
      </c>
      <c r="L44" s="99" t="str">
        <f>AG39&amp;AG40&amp;AG41&amp;AG42&amp;AG43&amp;AG44&amp;AG45&amp;AG46</f>
        <v>00000000</v>
      </c>
      <c r="M44" s="99" t="str">
        <f>DEC2HEX(M45)</f>
        <v>C1</v>
      </c>
      <c r="N44" s="8"/>
      <c r="P44" s="21" t="str">
        <f>MID(H39,6,1)</f>
        <v>0</v>
      </c>
      <c r="Q44" s="26" t="str">
        <f t="shared" si="42"/>
        <v>0</v>
      </c>
      <c r="R44" s="7" t="s">
        <v>72</v>
      </c>
      <c r="S44" s="8" t="s">
        <v>66</v>
      </c>
      <c r="T44" s="21" t="str">
        <f>MID(I39,6,1)</f>
        <v>0</v>
      </c>
      <c r="U44" s="26" t="str">
        <f t="shared" si="43"/>
        <v>0</v>
      </c>
      <c r="V44" s="7" t="s">
        <v>72</v>
      </c>
      <c r="W44" s="429" t="s">
        <v>1403</v>
      </c>
      <c r="X44" s="21" t="str">
        <f>MID(J39,6,1)</f>
        <v>0</v>
      </c>
      <c r="Y44" s="26" t="str">
        <f t="shared" si="44"/>
        <v>0</v>
      </c>
      <c r="Z44" s="7" t="s">
        <v>72</v>
      </c>
      <c r="AA44" s="8" t="s">
        <v>66</v>
      </c>
      <c r="AB44" s="21" t="str">
        <f>MID(K39,6,1)</f>
        <v>0</v>
      </c>
      <c r="AC44" s="26" t="str">
        <f t="shared" si="45"/>
        <v>0</v>
      </c>
      <c r="AD44" s="7" t="s">
        <v>72</v>
      </c>
      <c r="AE44" s="8" t="s">
        <v>66</v>
      </c>
      <c r="AF44" s="21" t="str">
        <f>MID(L39,6,1)</f>
        <v>0</v>
      </c>
      <c r="AG44" s="26" t="str">
        <f t="shared" si="46"/>
        <v>0</v>
      </c>
      <c r="AH44" s="7" t="s">
        <v>72</v>
      </c>
      <c r="AI44" s="8" t="s">
        <v>66</v>
      </c>
      <c r="AJ44" s="400"/>
      <c r="AK44" s="401"/>
    </row>
    <row r="45" spans="3:37" x14ac:dyDescent="0.3">
      <c r="C45" s="7" t="s">
        <v>67</v>
      </c>
      <c r="D45" s="99">
        <f>HEX2DEC(D43)</f>
        <v>7</v>
      </c>
      <c r="E45" s="99">
        <f t="shared" ref="E45:L45" si="50">HEX2DEC(E43)</f>
        <v>183</v>
      </c>
      <c r="F45" s="99">
        <f t="shared" si="50"/>
        <v>2</v>
      </c>
      <c r="G45" s="99">
        <f t="shared" si="50"/>
        <v>1</v>
      </c>
      <c r="H45" s="99">
        <f t="shared" si="50"/>
        <v>0</v>
      </c>
      <c r="I45" s="99">
        <f t="shared" si="50"/>
        <v>0</v>
      </c>
      <c r="J45" s="99">
        <f t="shared" si="50"/>
        <v>0</v>
      </c>
      <c r="K45" s="99">
        <f t="shared" si="50"/>
        <v>0</v>
      </c>
      <c r="L45" s="99">
        <f t="shared" si="50"/>
        <v>0</v>
      </c>
      <c r="M45" s="99">
        <f>SUM(D45:L45)</f>
        <v>193</v>
      </c>
      <c r="N45" s="8"/>
      <c r="P45" s="21" t="str">
        <f>MID(H39,7,1)</f>
        <v>0</v>
      </c>
      <c r="Q45" s="26" t="str">
        <f t="shared" si="42"/>
        <v>0</v>
      </c>
      <c r="R45" s="7" t="s">
        <v>73</v>
      </c>
      <c r="S45" s="8" t="s">
        <v>66</v>
      </c>
      <c r="T45" s="21" t="str">
        <f>MID(I39,7,1)</f>
        <v>0</v>
      </c>
      <c r="U45" s="26" t="str">
        <f t="shared" si="43"/>
        <v>0</v>
      </c>
      <c r="V45" s="7" t="s">
        <v>73</v>
      </c>
      <c r="W45" s="430"/>
      <c r="X45" s="21" t="str">
        <f>MID(J39,7,1)</f>
        <v>0</v>
      </c>
      <c r="Y45" s="26" t="str">
        <f t="shared" si="44"/>
        <v>0</v>
      </c>
      <c r="Z45" s="7" t="s">
        <v>73</v>
      </c>
      <c r="AA45" s="8" t="s">
        <v>66</v>
      </c>
      <c r="AB45" s="21" t="str">
        <f>MID(K39,7,1)</f>
        <v>0</v>
      </c>
      <c r="AC45" s="26" t="str">
        <f t="shared" si="45"/>
        <v>0</v>
      </c>
      <c r="AD45" s="7" t="s">
        <v>73</v>
      </c>
      <c r="AE45" s="8" t="s">
        <v>66</v>
      </c>
      <c r="AF45" s="21" t="str">
        <f>MID(L39,7,1)</f>
        <v>0</v>
      </c>
      <c r="AG45" s="26" t="str">
        <f t="shared" si="46"/>
        <v>0</v>
      </c>
      <c r="AH45" s="7" t="s">
        <v>73</v>
      </c>
      <c r="AI45" s="8" t="s">
        <v>66</v>
      </c>
      <c r="AJ45" s="400"/>
      <c r="AK45" s="401"/>
    </row>
    <row r="46" spans="3:37" ht="15" thickBot="1" x14ac:dyDescent="0.35">
      <c r="C46" s="9" t="s">
        <v>1678</v>
      </c>
      <c r="D46" s="335" t="str">
        <f>D41</f>
        <v>07</v>
      </c>
      <c r="E46" s="335" t="str">
        <f t="shared" ref="E46:G46" si="51">E41</f>
        <v>B7</v>
      </c>
      <c r="F46" s="335" t="str">
        <f t="shared" si="51"/>
        <v>G2</v>
      </c>
      <c r="G46" s="335" t="str">
        <f t="shared" si="51"/>
        <v>G1</v>
      </c>
      <c r="H46" s="10"/>
      <c r="I46" s="10"/>
      <c r="J46" s="10"/>
      <c r="K46" s="10"/>
      <c r="L46" s="10"/>
      <c r="M46" s="10"/>
      <c r="N46" s="11"/>
      <c r="P46" s="22" t="str">
        <f>MID(H39,8,1)</f>
        <v>0</v>
      </c>
      <c r="Q46" s="55" t="str">
        <f t="shared" si="42"/>
        <v>0</v>
      </c>
      <c r="R46" s="9" t="s">
        <v>74</v>
      </c>
      <c r="S46" s="11" t="s">
        <v>66</v>
      </c>
      <c r="T46" s="22" t="str">
        <f>MID(I39,8,1)</f>
        <v>0</v>
      </c>
      <c r="U46" s="55" t="str">
        <f t="shared" si="43"/>
        <v>0</v>
      </c>
      <c r="V46" s="9" t="s">
        <v>74</v>
      </c>
      <c r="W46" s="431"/>
      <c r="X46" s="22" t="str">
        <f>MID(J39,8,1)</f>
        <v>0</v>
      </c>
      <c r="Y46" s="55" t="str">
        <f t="shared" si="44"/>
        <v>0</v>
      </c>
      <c r="Z46" s="9" t="s">
        <v>74</v>
      </c>
      <c r="AA46" s="11" t="s">
        <v>66</v>
      </c>
      <c r="AB46" s="22" t="str">
        <f>MID(K39,8,1)</f>
        <v>0</v>
      </c>
      <c r="AC46" s="55" t="str">
        <f t="shared" si="45"/>
        <v>0</v>
      </c>
      <c r="AD46" s="9" t="s">
        <v>74</v>
      </c>
      <c r="AE46" s="11" t="s">
        <v>66</v>
      </c>
      <c r="AF46" s="22" t="str">
        <f>MID(L39,8,1)</f>
        <v>0</v>
      </c>
      <c r="AG46" s="55" t="str">
        <f t="shared" si="46"/>
        <v>0</v>
      </c>
      <c r="AH46" s="9" t="s">
        <v>74</v>
      </c>
      <c r="AI46" s="11" t="s">
        <v>66</v>
      </c>
      <c r="AJ46" s="402"/>
      <c r="AK46" s="404"/>
    </row>
  </sheetData>
  <sortState xmlns:xlrd2="http://schemas.microsoft.com/office/spreadsheetml/2017/richdata2" ref="C1:D51">
    <sortCondition ref="C1"/>
  </sortState>
  <mergeCells count="55">
    <mergeCell ref="T37:W37"/>
    <mergeCell ref="X37:AA37"/>
    <mergeCell ref="AJ37:AK37"/>
    <mergeCell ref="AF15:AI15"/>
    <mergeCell ref="AJ15:AK15"/>
    <mergeCell ref="AB37:AE37"/>
    <mergeCell ref="P36:AK36"/>
    <mergeCell ref="P37:S37"/>
    <mergeCell ref="AI17:AI20"/>
    <mergeCell ref="A1:B1"/>
    <mergeCell ref="AJ38:AK46"/>
    <mergeCell ref="AF27:AI35"/>
    <mergeCell ref="W28:W30"/>
    <mergeCell ref="AA31:AA32"/>
    <mergeCell ref="AI42:AI43"/>
    <mergeCell ref="W39:W41"/>
    <mergeCell ref="W42:W43"/>
    <mergeCell ref="AE41:AE43"/>
    <mergeCell ref="AA42:AA43"/>
    <mergeCell ref="AE39:AE40"/>
    <mergeCell ref="AI39:AI41"/>
    <mergeCell ref="W44:W46"/>
    <mergeCell ref="S39:S42"/>
    <mergeCell ref="D4:G4"/>
    <mergeCell ref="AA39:AA41"/>
    <mergeCell ref="X4:AA4"/>
    <mergeCell ref="AB4:AE4"/>
    <mergeCell ref="P26:S26"/>
    <mergeCell ref="T26:W26"/>
    <mergeCell ref="X26:AA26"/>
    <mergeCell ref="AB26:AE26"/>
    <mergeCell ref="P25:AK25"/>
    <mergeCell ref="P4:S4"/>
    <mergeCell ref="AJ16:AK24"/>
    <mergeCell ref="AJ5:AK13"/>
    <mergeCell ref="AE11:AE13"/>
    <mergeCell ref="S6:S7"/>
    <mergeCell ref="W21:W24"/>
    <mergeCell ref="AA17:AA20"/>
    <mergeCell ref="D37:G37"/>
    <mergeCell ref="AF37:AI37"/>
    <mergeCell ref="C1:AK1"/>
    <mergeCell ref="AJ4:AK4"/>
    <mergeCell ref="D15:G15"/>
    <mergeCell ref="D26:G26"/>
    <mergeCell ref="P3:AK3"/>
    <mergeCell ref="P14:AK14"/>
    <mergeCell ref="P15:S15"/>
    <mergeCell ref="T15:W15"/>
    <mergeCell ref="X15:AA15"/>
    <mergeCell ref="AB15:AE15"/>
    <mergeCell ref="T4:W4"/>
    <mergeCell ref="AF4:AI4"/>
    <mergeCell ref="C2:E2"/>
    <mergeCell ref="AF26:AI26"/>
  </mergeCells>
  <conditionalFormatting sqref="B3:B10">
    <cfRule type="expression" dxfId="377" priority="1">
      <formula>IF(A3&lt;&gt;B3,1,0)</formula>
    </cfRule>
    <cfRule type="containsText" dxfId="376" priority="2" operator="containsText" text=";Block">
      <formula>NOT(ISERROR(SEARCH(";Block",B3)))</formula>
    </cfRule>
    <cfRule type="beginsWith" dxfId="375" priority="3" operator="beginsWith" text="7B701">
      <formula>LEFT(B3,LEN("7B701"))="7B701"</formula>
    </cfRule>
    <cfRule type="beginsWith" dxfId="374" priority="4" operator="beginsWith" text="7B7G1">
      <formula>LEFT(B3,LEN("7B7G1"))="7B7G1"</formula>
    </cfRule>
    <cfRule type="beginsWith" dxfId="373" priority="5" operator="beginsWith" text="7B702">
      <formula>LEFT(B3,LEN("7B702"))="7B702"</formula>
    </cfRule>
    <cfRule type="beginsWith" dxfId="372" priority="6" operator="beginsWith" text="7B7G2">
      <formula>LEFT(B3,LEN("7B7G2"))="7B7G2"</formula>
    </cfRule>
    <cfRule type="beginsWith" dxfId="371" priority="7" operator="beginsWith" text="7B703">
      <formula>LEFT(B3,LEN("7B703"))="7B703"</formula>
    </cfRule>
    <cfRule type="beginsWith" dxfId="370" priority="8" operator="beginsWith" text="7B7G3">
      <formula>LEFT(B3,LEN("7B7G3"))="7B7G3"</formula>
    </cfRule>
  </conditionalFormatting>
  <conditionalFormatting sqref="Q6:Q13">
    <cfRule type="expression" dxfId="369" priority="28">
      <formula>Q6:Q13&lt;&gt;P6:P13</formula>
    </cfRule>
  </conditionalFormatting>
  <conditionalFormatting sqref="Q17:Q24">
    <cfRule type="expression" dxfId="368" priority="23">
      <formula>Q17:Q24&lt;&gt;P17:P24</formula>
    </cfRule>
  </conditionalFormatting>
  <conditionalFormatting sqref="Q28:Q35">
    <cfRule type="expression" dxfId="367" priority="15">
      <formula>Q28:Q35&lt;&gt;P28:P35</formula>
    </cfRule>
  </conditionalFormatting>
  <conditionalFormatting sqref="Q39:Q46">
    <cfRule type="expression" dxfId="366" priority="14">
      <formula>Q39:Q46&lt;&gt;P39:P46</formula>
    </cfRule>
  </conditionalFormatting>
  <conditionalFormatting sqref="U6:U13">
    <cfRule type="expression" dxfId="365" priority="27">
      <formula>U6:U13&lt;&gt;T6:T13</formula>
    </cfRule>
  </conditionalFormatting>
  <conditionalFormatting sqref="U17:U24">
    <cfRule type="expression" dxfId="364" priority="22">
      <formula>U17:U24&lt;&gt;T17:T24</formula>
    </cfRule>
  </conditionalFormatting>
  <conditionalFormatting sqref="U28:U35">
    <cfRule type="expression" dxfId="363" priority="16">
      <formula>U28:U35&lt;&gt;T28:T35</formula>
    </cfRule>
  </conditionalFormatting>
  <conditionalFormatting sqref="U39:U46">
    <cfRule type="expression" dxfId="362" priority="13">
      <formula>U39:U46&lt;&gt;T39:T46</formula>
    </cfRule>
  </conditionalFormatting>
  <conditionalFormatting sqref="Y6:Y13">
    <cfRule type="expression" dxfId="361" priority="26">
      <formula>Y6:Y13&lt;&gt;X6:X13</formula>
    </cfRule>
  </conditionalFormatting>
  <conditionalFormatting sqref="Y17:Y24">
    <cfRule type="expression" dxfId="360" priority="21">
      <formula>Y17:Y24&lt;&gt;X17:X24</formula>
    </cfRule>
  </conditionalFormatting>
  <conditionalFormatting sqref="Y28:Y35">
    <cfRule type="expression" dxfId="359" priority="17">
      <formula>Y28:Y35&lt;&gt;X28:X35</formula>
    </cfRule>
  </conditionalFormatting>
  <conditionalFormatting sqref="Y39:Y46">
    <cfRule type="expression" dxfId="358" priority="12">
      <formula>Y39:Y46&lt;&gt;X39:X46</formula>
    </cfRule>
  </conditionalFormatting>
  <conditionalFormatting sqref="AC6:AC13">
    <cfRule type="expression" dxfId="357" priority="25">
      <formula>AC6:AC13&lt;&gt;AB6:AB13</formula>
    </cfRule>
  </conditionalFormatting>
  <conditionalFormatting sqref="AC17:AC24">
    <cfRule type="expression" dxfId="356" priority="20">
      <formula>AC17:AC24&lt;&gt;AB17:AB24</formula>
    </cfRule>
  </conditionalFormatting>
  <conditionalFormatting sqref="AC28:AC35">
    <cfRule type="expression" dxfId="355" priority="18">
      <formula>AC28:AC35&lt;&gt;AB28:AB35</formula>
    </cfRule>
  </conditionalFormatting>
  <conditionalFormatting sqref="AC39:AC46">
    <cfRule type="expression" dxfId="354" priority="11">
      <formula>AC39:AC46&lt;&gt;AB39:AB46</formula>
    </cfRule>
  </conditionalFormatting>
  <conditionalFormatting sqref="AG6:AG13">
    <cfRule type="expression" dxfId="353" priority="24">
      <formula>AG6:AG13&lt;&gt;AF6:AF13</formula>
    </cfRule>
  </conditionalFormatting>
  <conditionalFormatting sqref="AG17:AG24">
    <cfRule type="expression" dxfId="352" priority="19">
      <formula>AG17:AG24&lt;&gt;AF17:AF24</formula>
    </cfRule>
  </conditionalFormatting>
  <conditionalFormatting sqref="AG39:AG46">
    <cfRule type="expression" dxfId="351" priority="9">
      <formula>AG39:AG46&lt;&gt;AF39:AF46</formula>
    </cfRule>
  </conditionalFormatting>
  <dataValidations count="1">
    <dataValidation type="whole" allowBlank="1" showInputMessage="1" showErrorMessage="1" errorTitle="Wrong Value" error="This is a Binary value, which can be either 0 or 1." sqref="AG6:AG13 U28:U35 Y17:Y24 AC17:AC24 AG39:AG46 AG17:AG24 Y28:Y35 U17:U24 AC28:AC35 AC6:AC13 Q17:Q24 U6:U13 Q28:Q35 Y6:Y13 Q6:Q13 Y39:Y46 AC39:AC46 U39:U46 Q39:Q46" xr:uid="{00000000-0002-0000-0300-000000000000}">
      <formula1>0</formula1>
      <formula2>1</formula2>
    </dataValidation>
  </dataValidations>
  <hyperlinks>
    <hyperlink ref="C1" r:id="rId1" xr:uid="{00000000-0004-0000-0300-000000000000}"/>
  </hyperlinks>
  <pageMargins left="0.7" right="0.7" top="0.75" bottom="0.75" header="0.3" footer="0.3"/>
  <pageSetup paperSize="9" orientation="portrait" horizontalDpi="360" verticalDpi="360"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79"/>
  <sheetViews>
    <sheetView zoomScaleNormal="100" workbookViewId="0">
      <selection activeCell="A3" sqref="A3"/>
    </sheetView>
  </sheetViews>
  <sheetFormatPr defaultRowHeight="14.4" x14ac:dyDescent="0.3"/>
  <cols>
    <col min="1" max="1" width="20.88671875" bestFit="1" customWidth="1"/>
    <col min="2" max="2" width="20.33203125" bestFit="1" customWidth="1"/>
    <col min="3" max="3" width="4.5546875" bestFit="1" customWidth="1"/>
    <col min="4" max="5" width="9" bestFit="1" customWidth="1"/>
    <col min="14" max="14" width="5.44140625" bestFit="1" customWidth="1"/>
    <col min="15" max="15" width="1.6640625" customWidth="1"/>
    <col min="16" max="16" width="5.44140625" bestFit="1" customWidth="1"/>
    <col min="17" max="17" width="5.33203125" bestFit="1" customWidth="1"/>
    <col min="18" max="18" width="3.44140625" bestFit="1" customWidth="1"/>
    <col min="19" max="19" width="19.44140625" customWidth="1"/>
    <col min="20" max="20" width="5.44140625" bestFit="1" customWidth="1"/>
    <col min="21" max="21" width="5.33203125" bestFit="1" customWidth="1"/>
    <col min="22" max="22" width="3.44140625" customWidth="1"/>
    <col min="23" max="23" width="20" customWidth="1"/>
    <col min="24" max="24" width="5.44140625" bestFit="1" customWidth="1"/>
    <col min="25" max="25" width="5.33203125" bestFit="1" customWidth="1"/>
    <col min="26" max="26" width="3.44140625" customWidth="1"/>
    <col min="27" max="27" width="19.33203125" bestFit="1" customWidth="1"/>
    <col min="28" max="28" width="5.44140625" bestFit="1" customWidth="1"/>
    <col min="29" max="29" width="5.33203125" bestFit="1" customWidth="1"/>
    <col min="30" max="30" width="3.44140625" customWidth="1"/>
    <col min="31" max="31" width="19.33203125" bestFit="1" customWidth="1"/>
    <col min="32" max="32" width="5.44140625" bestFit="1" customWidth="1"/>
    <col min="33" max="33" width="5.33203125" bestFit="1" customWidth="1"/>
    <col min="34" max="34" width="3.44140625" customWidth="1"/>
    <col min="35" max="35" width="19.44140625" customWidth="1"/>
  </cols>
  <sheetData>
    <row r="1" spans="1:37" x14ac:dyDescent="0.3">
      <c r="A1" s="398" t="s">
        <v>1240</v>
      </c>
      <c r="B1" s="399"/>
      <c r="C1" s="383" t="s">
        <v>354</v>
      </c>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c r="AF1" s="390"/>
      <c r="AG1" s="390"/>
      <c r="AH1" s="390"/>
      <c r="AI1" s="390"/>
      <c r="AJ1" s="390"/>
      <c r="AK1" s="390"/>
    </row>
    <row r="2" spans="1:37" ht="15" thickBot="1" x14ac:dyDescent="0.35">
      <c r="A2" s="268" t="s">
        <v>1241</v>
      </c>
      <c r="B2" s="269" t="s">
        <v>1242</v>
      </c>
      <c r="C2" s="391" t="s">
        <v>40</v>
      </c>
      <c r="D2" s="391"/>
      <c r="E2" s="391"/>
      <c r="S2" s="1"/>
    </row>
    <row r="3" spans="1:37" ht="15" thickBot="1" x14ac:dyDescent="0.35">
      <c r="A3" s="270" t="s">
        <v>1243</v>
      </c>
      <c r="B3" s="87" t="s">
        <v>1243</v>
      </c>
      <c r="C3" s="4"/>
      <c r="D3" s="5"/>
      <c r="E3" s="5"/>
      <c r="F3" s="5"/>
      <c r="G3" s="5"/>
      <c r="H3" s="5"/>
      <c r="I3" s="5"/>
      <c r="J3" s="5"/>
      <c r="K3" s="5"/>
      <c r="L3" s="5"/>
      <c r="M3" s="5" t="s">
        <v>41</v>
      </c>
      <c r="N3" s="6"/>
      <c r="P3" s="392" t="s">
        <v>98</v>
      </c>
      <c r="Q3" s="392"/>
      <c r="R3" s="392"/>
      <c r="S3" s="392"/>
      <c r="T3" s="392"/>
      <c r="U3" s="392"/>
      <c r="V3" s="392"/>
      <c r="W3" s="392"/>
      <c r="X3" s="392"/>
      <c r="Y3" s="392"/>
      <c r="Z3" s="392"/>
      <c r="AA3" s="392"/>
      <c r="AB3" s="392"/>
      <c r="AC3" s="392"/>
      <c r="AD3" s="392"/>
      <c r="AE3" s="392"/>
      <c r="AF3" s="392"/>
      <c r="AG3" s="392"/>
      <c r="AH3" s="392"/>
      <c r="AI3" s="392"/>
      <c r="AJ3" s="392"/>
      <c r="AK3" s="392"/>
    </row>
    <row r="4" spans="1:37" ht="15" thickBot="1" x14ac:dyDescent="0.35">
      <c r="A4" s="270" t="s">
        <v>1851</v>
      </c>
      <c r="B4" s="87" t="str">
        <f>RIGHT(D13,1)&amp;E13&amp;F13&amp;G13&amp;H10&amp;I10&amp;J10&amp;K10&amp;L10&amp;M10</f>
        <v>726G1G100000000002F</v>
      </c>
      <c r="C4" s="7"/>
      <c r="D4" s="393" t="s">
        <v>99</v>
      </c>
      <c r="E4" s="393"/>
      <c r="F4" s="393"/>
      <c r="G4" s="393"/>
      <c r="H4" s="99" t="s">
        <v>44</v>
      </c>
      <c r="I4" s="99" t="s">
        <v>45</v>
      </c>
      <c r="J4" s="99" t="s">
        <v>46</v>
      </c>
      <c r="K4" s="99" t="s">
        <v>47</v>
      </c>
      <c r="L4" s="99" t="s">
        <v>48</v>
      </c>
      <c r="M4" s="99" t="s">
        <v>49</v>
      </c>
      <c r="N4" s="8"/>
      <c r="P4" s="394" t="s">
        <v>50</v>
      </c>
      <c r="Q4" s="395"/>
      <c r="R4" s="395"/>
      <c r="S4" s="396"/>
      <c r="T4" s="394" t="s">
        <v>51</v>
      </c>
      <c r="U4" s="395"/>
      <c r="V4" s="395"/>
      <c r="W4" s="396"/>
      <c r="X4" s="394" t="s">
        <v>52</v>
      </c>
      <c r="Y4" s="395"/>
      <c r="Z4" s="395"/>
      <c r="AA4" s="396"/>
      <c r="AB4" s="394" t="s">
        <v>53</v>
      </c>
      <c r="AC4" s="395"/>
      <c r="AD4" s="395"/>
      <c r="AE4" s="396"/>
      <c r="AF4" s="397" t="s">
        <v>54</v>
      </c>
      <c r="AG4" s="395"/>
      <c r="AH4" s="395"/>
      <c r="AI4" s="396"/>
      <c r="AJ4" s="394" t="s">
        <v>55</v>
      </c>
      <c r="AK4" s="396"/>
    </row>
    <row r="5" spans="1:37" ht="15" thickBot="1" x14ac:dyDescent="0.35">
      <c r="A5" s="270" t="s">
        <v>1852</v>
      </c>
      <c r="B5" s="87" t="str">
        <f>RIGHT(D24,1)&amp;E24&amp;F24&amp;G24&amp;H21&amp;I21&amp;J21&amp;K21&amp;L21&amp;M21</f>
        <v>726G1G2000000000030</v>
      </c>
      <c r="C5" s="7" t="s">
        <v>56</v>
      </c>
      <c r="D5" s="12" t="s">
        <v>57</v>
      </c>
      <c r="E5" s="13" t="s">
        <v>100</v>
      </c>
      <c r="F5" s="13" t="s">
        <v>59</v>
      </c>
      <c r="G5" s="14" t="s">
        <v>59</v>
      </c>
      <c r="H5" s="338" t="str">
        <f>MID($A$4,8,2)</f>
        <v>00</v>
      </c>
      <c r="I5" s="317" t="str">
        <f>MID($A$4,10,2)</f>
        <v>00</v>
      </c>
      <c r="J5" s="317" t="str">
        <f>MID($A$4,12,2)</f>
        <v>00</v>
      </c>
      <c r="K5" s="317" t="str">
        <f>MID($A$4,14,2)</f>
        <v>00</v>
      </c>
      <c r="L5" s="318" t="str">
        <f>MID($A$4,16,2)</f>
        <v>00</v>
      </c>
      <c r="M5" s="319" t="str">
        <f>MID($A$4,18,2)</f>
        <v>2F</v>
      </c>
      <c r="N5" s="8" t="s">
        <v>60</v>
      </c>
      <c r="P5" s="19" t="s">
        <v>60</v>
      </c>
      <c r="Q5" s="20" t="s">
        <v>61</v>
      </c>
      <c r="R5" t="s">
        <v>62</v>
      </c>
      <c r="S5" s="8"/>
      <c r="T5" s="19" t="s">
        <v>60</v>
      </c>
      <c r="U5" s="20" t="s">
        <v>61</v>
      </c>
      <c r="V5" t="s">
        <v>62</v>
      </c>
      <c r="W5" s="8"/>
      <c r="X5" s="19" t="s">
        <v>60</v>
      </c>
      <c r="Y5" s="20" t="s">
        <v>61</v>
      </c>
      <c r="Z5" t="s">
        <v>62</v>
      </c>
      <c r="AA5" s="8"/>
      <c r="AB5" s="19" t="s">
        <v>60</v>
      </c>
      <c r="AC5" s="20" t="s">
        <v>61</v>
      </c>
      <c r="AD5" t="s">
        <v>62</v>
      </c>
      <c r="AE5" s="8"/>
      <c r="AF5" s="19" t="s">
        <v>60</v>
      </c>
      <c r="AG5" s="20" t="s">
        <v>61</v>
      </c>
      <c r="AH5" t="s">
        <v>62</v>
      </c>
      <c r="AJ5" s="394" t="s">
        <v>63</v>
      </c>
      <c r="AK5" s="396"/>
    </row>
    <row r="6" spans="1:37" x14ac:dyDescent="0.3">
      <c r="A6" s="270" t="s">
        <v>1853</v>
      </c>
      <c r="B6" s="87" t="str">
        <f>RIGHT(D35,1)&amp;E35&amp;F35&amp;G35&amp;H32&amp;I32&amp;J32&amp;K32&amp;L32</f>
        <v>726G1G30000000031</v>
      </c>
      <c r="C6" s="7" t="s">
        <v>64</v>
      </c>
      <c r="D6" s="99" t="str">
        <f t="shared" ref="D6:E6" si="0">HEX2BIN(D5,8)</f>
        <v>00000111</v>
      </c>
      <c r="E6" s="99" t="str">
        <f t="shared" si="0"/>
        <v>00100110</v>
      </c>
      <c r="F6" s="99" t="str">
        <f>HEX2BIN(F5,8)</f>
        <v>00000001</v>
      </c>
      <c r="G6" s="99" t="str">
        <f t="shared" ref="G6:L6" si="1">HEX2BIN(G5,8)</f>
        <v>00000001</v>
      </c>
      <c r="H6" s="99" t="str">
        <f t="shared" si="1"/>
        <v>00000000</v>
      </c>
      <c r="I6" s="99" t="str">
        <f t="shared" si="1"/>
        <v>00000000</v>
      </c>
      <c r="J6" s="99" t="str">
        <f t="shared" si="1"/>
        <v>00000000</v>
      </c>
      <c r="K6" s="99" t="str">
        <f t="shared" si="1"/>
        <v>00000000</v>
      </c>
      <c r="L6" s="99" t="str">
        <f t="shared" si="1"/>
        <v>00000000</v>
      </c>
      <c r="M6" s="99"/>
      <c r="N6" s="8"/>
      <c r="P6" s="21" t="str">
        <f>MID(H6,1,1)</f>
        <v>0</v>
      </c>
      <c r="Q6" s="26" t="str">
        <f>P6</f>
        <v>0</v>
      </c>
      <c r="R6" s="7" t="s">
        <v>65</v>
      </c>
      <c r="S6" s="322" t="s">
        <v>101</v>
      </c>
      <c r="T6" s="21" t="str">
        <f>MID(I6,1,1)</f>
        <v>0</v>
      </c>
      <c r="U6" s="26" t="str">
        <f t="shared" ref="U6:U13" si="2">T6</f>
        <v>0</v>
      </c>
      <c r="V6" s="7" t="s">
        <v>65</v>
      </c>
      <c r="W6" s="8" t="s">
        <v>66</v>
      </c>
      <c r="X6" s="21" t="str">
        <f>MID(J6,1,1)</f>
        <v>0</v>
      </c>
      <c r="Y6" s="26" t="str">
        <f>X6</f>
        <v>0</v>
      </c>
      <c r="Z6" s="7" t="s">
        <v>65</v>
      </c>
      <c r="AA6" s="433" t="s">
        <v>1410</v>
      </c>
      <c r="AB6" s="21" t="str">
        <f>MID(K6,1,1)</f>
        <v>0</v>
      </c>
      <c r="AC6" s="26" t="str">
        <f>AB6</f>
        <v>0</v>
      </c>
      <c r="AD6" s="7" t="s">
        <v>65</v>
      </c>
      <c r="AE6" s="8" t="s">
        <v>66</v>
      </c>
      <c r="AF6" s="21" t="str">
        <f>MID(L6,1,1)</f>
        <v>0</v>
      </c>
      <c r="AG6" s="26" t="str">
        <f>AF6</f>
        <v>0</v>
      </c>
      <c r="AH6" s="7" t="s">
        <v>65</v>
      </c>
      <c r="AI6" s="288" t="s">
        <v>1362</v>
      </c>
      <c r="AJ6" s="400"/>
      <c r="AK6" s="401"/>
    </row>
    <row r="7" spans="1:37" x14ac:dyDescent="0.3">
      <c r="A7" s="270" t="s">
        <v>1244</v>
      </c>
      <c r="B7" s="87" t="s">
        <v>1244</v>
      </c>
      <c r="C7" s="7" t="s">
        <v>67</v>
      </c>
      <c r="D7" s="99">
        <f>HEX2DEC(D5)</f>
        <v>7</v>
      </c>
      <c r="E7" s="99">
        <f t="shared" ref="E7:L7" si="3">HEX2DEC(E5)</f>
        <v>38</v>
      </c>
      <c r="F7" s="99">
        <f t="shared" si="3"/>
        <v>1</v>
      </c>
      <c r="G7" s="99">
        <f t="shared" si="3"/>
        <v>1</v>
      </c>
      <c r="H7" s="99">
        <f t="shared" si="3"/>
        <v>0</v>
      </c>
      <c r="I7" s="99">
        <f t="shared" si="3"/>
        <v>0</v>
      </c>
      <c r="J7" s="99">
        <f t="shared" si="3"/>
        <v>0</v>
      </c>
      <c r="K7" s="99">
        <f t="shared" si="3"/>
        <v>0</v>
      </c>
      <c r="L7" s="99">
        <f t="shared" si="3"/>
        <v>0</v>
      </c>
      <c r="M7" s="99">
        <f>SUM(D7:L7)</f>
        <v>47</v>
      </c>
      <c r="N7" s="8"/>
      <c r="P7" s="21" t="str">
        <f>MID(H6,2,1)</f>
        <v>0</v>
      </c>
      <c r="Q7" s="26" t="str">
        <f t="shared" ref="Q7:Q13" si="4">P7</f>
        <v>0</v>
      </c>
      <c r="R7" s="7" t="s">
        <v>68</v>
      </c>
      <c r="S7" s="285" t="s">
        <v>1362</v>
      </c>
      <c r="T7" s="21" t="str">
        <f>MID(I6,2,1)</f>
        <v>0</v>
      </c>
      <c r="U7" s="26" t="str">
        <f t="shared" si="2"/>
        <v>0</v>
      </c>
      <c r="V7" s="7" t="s">
        <v>68</v>
      </c>
      <c r="W7" s="8" t="s">
        <v>66</v>
      </c>
      <c r="X7" s="21" t="str">
        <f>MID(J6,2,1)</f>
        <v>0</v>
      </c>
      <c r="Y7" s="26" t="str">
        <f t="shared" ref="Y7:Y13" si="5">X7</f>
        <v>0</v>
      </c>
      <c r="Z7" s="7" t="s">
        <v>68</v>
      </c>
      <c r="AA7" s="434"/>
      <c r="AB7" s="21" t="str">
        <f>MID(K6,2,1)</f>
        <v>0</v>
      </c>
      <c r="AC7" s="26" t="str">
        <f t="shared" ref="AC7:AC13" si="6">AB7</f>
        <v>0</v>
      </c>
      <c r="AD7" s="7" t="s">
        <v>68</v>
      </c>
      <c r="AE7" s="297" t="s">
        <v>1372</v>
      </c>
      <c r="AF7" s="21" t="str">
        <f>MID(L6,2,1)</f>
        <v>0</v>
      </c>
      <c r="AG7" s="26" t="str">
        <f t="shared" ref="AG7:AG13" si="7">AF7</f>
        <v>0</v>
      </c>
      <c r="AH7" s="7" t="s">
        <v>68</v>
      </c>
      <c r="AI7" s="288" t="s">
        <v>1362</v>
      </c>
      <c r="AJ7" s="400"/>
      <c r="AK7" s="401"/>
    </row>
    <row r="8" spans="1:37" x14ac:dyDescent="0.3">
      <c r="A8" s="270" t="s">
        <v>1854</v>
      </c>
      <c r="B8" s="87" t="str">
        <f>RIGHT(D46,1)&amp;E46&amp;F46&amp;G46&amp;H43&amp;I43</f>
        <v>726G2G10030</v>
      </c>
      <c r="C8" s="7" t="s">
        <v>1678</v>
      </c>
      <c r="D8" s="99" t="str">
        <f>D5</f>
        <v>07</v>
      </c>
      <c r="E8" s="333" t="str">
        <f>E5</f>
        <v>26</v>
      </c>
      <c r="F8" s="99" t="str">
        <f>MID($A$4,4,2)</f>
        <v>G1</v>
      </c>
      <c r="G8" s="99" t="str">
        <f>MID($A$4,6,2)</f>
        <v>G1</v>
      </c>
      <c r="N8" s="8"/>
      <c r="P8" s="21" t="str">
        <f>MID(H6,3,1)</f>
        <v>0</v>
      </c>
      <c r="Q8" s="26" t="str">
        <f t="shared" si="4"/>
        <v>0</v>
      </c>
      <c r="R8" s="7" t="s">
        <v>69</v>
      </c>
      <c r="S8" s="285" t="s">
        <v>1362</v>
      </c>
      <c r="T8" s="21" t="str">
        <f>MID(I6,3,1)</f>
        <v>0</v>
      </c>
      <c r="U8" s="26" t="str">
        <f t="shared" si="2"/>
        <v>0</v>
      </c>
      <c r="V8" s="7" t="s">
        <v>69</v>
      </c>
      <c r="W8" s="8" t="s">
        <v>66</v>
      </c>
      <c r="X8" s="21" t="str">
        <f>MID(J6,3,1)</f>
        <v>0</v>
      </c>
      <c r="Y8" s="26" t="str">
        <f t="shared" si="5"/>
        <v>0</v>
      </c>
      <c r="Z8" s="7" t="s">
        <v>69</v>
      </c>
      <c r="AA8" s="435" t="s">
        <v>1411</v>
      </c>
      <c r="AB8" s="21" t="str">
        <f>MID(K6,3,1)</f>
        <v>0</v>
      </c>
      <c r="AC8" s="26" t="str">
        <f t="shared" si="6"/>
        <v>0</v>
      </c>
      <c r="AD8" s="7" t="s">
        <v>69</v>
      </c>
      <c r="AE8" s="8" t="s">
        <v>66</v>
      </c>
      <c r="AF8" s="21" t="str">
        <f>MID(L6,3,1)</f>
        <v>0</v>
      </c>
      <c r="AG8" s="26" t="str">
        <f t="shared" si="7"/>
        <v>0</v>
      </c>
      <c r="AH8" s="7" t="s">
        <v>69</v>
      </c>
      <c r="AI8" s="292" t="s">
        <v>1326</v>
      </c>
      <c r="AJ8" s="400"/>
      <c r="AK8" s="401"/>
    </row>
    <row r="9" spans="1:37" ht="15" thickBot="1" x14ac:dyDescent="0.35">
      <c r="A9" s="270" t="s">
        <v>1245</v>
      </c>
      <c r="B9" s="87" t="s">
        <v>1245</v>
      </c>
      <c r="C9" s="7"/>
      <c r="N9" s="8"/>
      <c r="P9" s="21" t="str">
        <f>MID(H6,4,1)</f>
        <v>0</v>
      </c>
      <c r="Q9" s="26" t="str">
        <f t="shared" si="4"/>
        <v>0</v>
      </c>
      <c r="R9" s="7" t="s">
        <v>70</v>
      </c>
      <c r="S9" s="8" t="s">
        <v>66</v>
      </c>
      <c r="T9" s="21" t="str">
        <f>MID(I6,4,1)</f>
        <v>0</v>
      </c>
      <c r="U9" s="26" t="str">
        <f t="shared" si="2"/>
        <v>0</v>
      </c>
      <c r="V9" s="7" t="s">
        <v>70</v>
      </c>
      <c r="W9" s="297" t="s">
        <v>1686</v>
      </c>
      <c r="X9" s="21" t="str">
        <f>MID(J6,4,1)</f>
        <v>0</v>
      </c>
      <c r="Y9" s="26" t="str">
        <f t="shared" si="5"/>
        <v>0</v>
      </c>
      <c r="Z9" s="7" t="s">
        <v>70</v>
      </c>
      <c r="AA9" s="415"/>
      <c r="AB9" s="21" t="str">
        <f>MID(K6,4,1)</f>
        <v>0</v>
      </c>
      <c r="AC9" s="26" t="str">
        <f t="shared" si="6"/>
        <v>0</v>
      </c>
      <c r="AD9" s="7" t="s">
        <v>70</v>
      </c>
      <c r="AE9" s="285" t="s">
        <v>1373</v>
      </c>
      <c r="AF9" s="21" t="str">
        <f>MID(L6,4,1)</f>
        <v>0</v>
      </c>
      <c r="AG9" s="26" t="str">
        <f t="shared" si="7"/>
        <v>0</v>
      </c>
      <c r="AH9" s="7" t="s">
        <v>70</v>
      </c>
      <c r="AI9" s="288" t="s">
        <v>1362</v>
      </c>
      <c r="AJ9" s="400"/>
      <c r="AK9" s="401"/>
    </row>
    <row r="10" spans="1:37" ht="15" thickBot="1" x14ac:dyDescent="0.35">
      <c r="A10" s="270" t="s">
        <v>1855</v>
      </c>
      <c r="B10" s="87" t="str">
        <f>RIGHT(D57,1)&amp;E57&amp;F57&amp;G57&amp;H54&amp;I54</f>
        <v>726G3G10031</v>
      </c>
      <c r="C10" s="7" t="s">
        <v>56</v>
      </c>
      <c r="D10" s="15" t="str">
        <f>D5</f>
        <v>07</v>
      </c>
      <c r="E10" s="16" t="str">
        <f>E5</f>
        <v>26</v>
      </c>
      <c r="F10" s="16" t="str">
        <f>F5</f>
        <v>01</v>
      </c>
      <c r="G10" s="17" t="str">
        <f>G5</f>
        <v>01</v>
      </c>
      <c r="H10" s="23" t="str">
        <f>BIN2HEX(H11,2)</f>
        <v>00</v>
      </c>
      <c r="I10" s="25" t="str">
        <f t="shared" ref="I10:L10" si="8">BIN2HEX(I11,2)</f>
        <v>00</v>
      </c>
      <c r="J10" s="24" t="str">
        <f t="shared" si="8"/>
        <v>00</v>
      </c>
      <c r="K10" s="2" t="str">
        <f t="shared" si="8"/>
        <v>00</v>
      </c>
      <c r="L10" s="18" t="str">
        <f t="shared" si="8"/>
        <v>00</v>
      </c>
      <c r="M10" s="3" t="str">
        <f>IF(LEN(M11)&gt;2,MID(M11,2,2),M11)</f>
        <v>2F</v>
      </c>
      <c r="N10" s="8" t="s">
        <v>61</v>
      </c>
      <c r="P10" s="21" t="str">
        <f>MID(H6,5,1)</f>
        <v>0</v>
      </c>
      <c r="Q10" s="26" t="str">
        <f t="shared" si="4"/>
        <v>0</v>
      </c>
      <c r="R10" s="7" t="s">
        <v>71</v>
      </c>
      <c r="S10" s="285" t="s">
        <v>1685</v>
      </c>
      <c r="T10" s="21" t="str">
        <f>MID(I6,5,1)</f>
        <v>0</v>
      </c>
      <c r="U10" s="26" t="str">
        <f t="shared" si="2"/>
        <v>0</v>
      </c>
      <c r="V10" s="7" t="s">
        <v>71</v>
      </c>
      <c r="W10" s="8" t="s">
        <v>66</v>
      </c>
      <c r="X10" s="21" t="str">
        <f>MID(J6,5,1)</f>
        <v>0</v>
      </c>
      <c r="Y10" s="26" t="str">
        <f t="shared" si="5"/>
        <v>0</v>
      </c>
      <c r="Z10" s="7" t="s">
        <v>71</v>
      </c>
      <c r="AA10" s="415"/>
      <c r="AB10" s="21" t="str">
        <f>MID(K6,5,1)</f>
        <v>0</v>
      </c>
      <c r="AC10" s="26" t="str">
        <f t="shared" si="6"/>
        <v>0</v>
      </c>
      <c r="AD10" s="7" t="s">
        <v>71</v>
      </c>
      <c r="AE10" s="297" t="s">
        <v>1608</v>
      </c>
      <c r="AF10" s="21" t="str">
        <f>MID(L6,5,1)</f>
        <v>0</v>
      </c>
      <c r="AG10" s="26" t="str">
        <f t="shared" si="7"/>
        <v>0</v>
      </c>
      <c r="AH10" s="7" t="s">
        <v>71</v>
      </c>
      <c r="AI10" s="288" t="s">
        <v>1362</v>
      </c>
      <c r="AJ10" s="400"/>
      <c r="AK10" s="401"/>
    </row>
    <row r="11" spans="1:37" x14ac:dyDescent="0.3">
      <c r="A11" s="36" t="s">
        <v>1252</v>
      </c>
      <c r="B11" s="87" t="s">
        <v>1252</v>
      </c>
      <c r="C11" s="7" t="s">
        <v>64</v>
      </c>
      <c r="D11" s="99" t="str">
        <f>HEX2BIN(D10,8)</f>
        <v>00000111</v>
      </c>
      <c r="E11" s="99" t="str">
        <f t="shared" ref="E11:G11" si="9">HEX2BIN(E10,8)</f>
        <v>00100110</v>
      </c>
      <c r="F11" s="99" t="str">
        <f t="shared" si="9"/>
        <v>00000001</v>
      </c>
      <c r="G11" s="99" t="str">
        <f t="shared" si="9"/>
        <v>00000001</v>
      </c>
      <c r="H11" s="29" t="str">
        <f>Q6&amp;Q7&amp;Q8&amp;Q9&amp;Q10&amp;Q11&amp;Q12&amp;Q13</f>
        <v>00000000</v>
      </c>
      <c r="I11" s="99" t="str">
        <f>U6&amp;U7&amp;U8&amp;U9&amp;U10&amp;U11&amp;U12&amp;U13</f>
        <v>00000000</v>
      </c>
      <c r="J11" s="29" t="str">
        <f>Y6&amp;Y7&amp;Y8&amp;Y9&amp;Y10&amp;Y11&amp;Y12&amp;Y13</f>
        <v>00000000</v>
      </c>
      <c r="K11" s="29" t="str">
        <f>AC6&amp;AC7&amp;AC8&amp;AC9&amp;AC10&amp;AC11&amp;AC12&amp;AC13</f>
        <v>00000000</v>
      </c>
      <c r="L11" s="99" t="str">
        <f>AG6&amp;AG7&amp;AG8&amp;AG9&amp;AG10&amp;AG11&amp;AG12&amp;AG13</f>
        <v>00000000</v>
      </c>
      <c r="M11" s="99" t="str">
        <f>DEC2HEX(M12)</f>
        <v>2F</v>
      </c>
      <c r="N11" s="8"/>
      <c r="P11" s="21" t="str">
        <f>MID(H6,6,1)</f>
        <v>0</v>
      </c>
      <c r="Q11" s="26" t="str">
        <f t="shared" si="4"/>
        <v>0</v>
      </c>
      <c r="R11" s="7" t="s">
        <v>72</v>
      </c>
      <c r="S11" s="436" t="s">
        <v>1760</v>
      </c>
      <c r="T11" s="21" t="str">
        <f>MID(I6,6,1)</f>
        <v>0</v>
      </c>
      <c r="U11" s="26" t="str">
        <f t="shared" si="2"/>
        <v>0</v>
      </c>
      <c r="V11" s="7" t="s">
        <v>72</v>
      </c>
      <c r="W11" s="8" t="s">
        <v>66</v>
      </c>
      <c r="X11" s="21" t="str">
        <f>MID(J6,6,1)</f>
        <v>0</v>
      </c>
      <c r="Y11" s="26" t="str">
        <f t="shared" si="5"/>
        <v>0</v>
      </c>
      <c r="Z11" s="7" t="s">
        <v>72</v>
      </c>
      <c r="AA11" s="415"/>
      <c r="AB11" s="21" t="str">
        <f>MID(K6,6,1)</f>
        <v>0</v>
      </c>
      <c r="AC11" s="26" t="str">
        <f t="shared" si="6"/>
        <v>0</v>
      </c>
      <c r="AD11" s="7" t="s">
        <v>72</v>
      </c>
      <c r="AE11" s="297" t="s">
        <v>1607</v>
      </c>
      <c r="AF11" s="21" t="str">
        <f>MID(L6,6,1)</f>
        <v>0</v>
      </c>
      <c r="AG11" s="26" t="str">
        <f t="shared" si="7"/>
        <v>0</v>
      </c>
      <c r="AH11" s="7" t="s">
        <v>72</v>
      </c>
      <c r="AI11" s="292" t="s">
        <v>1326</v>
      </c>
      <c r="AJ11" s="400"/>
      <c r="AK11" s="401"/>
    </row>
    <row r="12" spans="1:37" x14ac:dyDescent="0.3">
      <c r="A12" s="36" t="s">
        <v>1856</v>
      </c>
      <c r="B12" s="87" t="str">
        <f>RIGHT(D68,1)&amp;E68&amp;F68&amp;G68&amp;H65&amp;I65</f>
        <v>726G4G10032</v>
      </c>
      <c r="C12" s="7" t="s">
        <v>67</v>
      </c>
      <c r="D12" s="99">
        <f>HEX2DEC(D10)</f>
        <v>7</v>
      </c>
      <c r="E12" s="99">
        <f t="shared" ref="E12:L12" si="10">HEX2DEC(E10)</f>
        <v>38</v>
      </c>
      <c r="F12" s="99">
        <f t="shared" si="10"/>
        <v>1</v>
      </c>
      <c r="G12" s="99">
        <f t="shared" si="10"/>
        <v>1</v>
      </c>
      <c r="H12" s="99">
        <f t="shared" si="10"/>
        <v>0</v>
      </c>
      <c r="I12" s="99">
        <f>HEX2DEC(I10)</f>
        <v>0</v>
      </c>
      <c r="J12" s="99">
        <f t="shared" si="10"/>
        <v>0</v>
      </c>
      <c r="K12" s="99">
        <f t="shared" si="10"/>
        <v>0</v>
      </c>
      <c r="L12" s="99">
        <f t="shared" si="10"/>
        <v>0</v>
      </c>
      <c r="M12" s="99">
        <f>SUM(D12:L12)</f>
        <v>47</v>
      </c>
      <c r="N12" s="8"/>
      <c r="P12" s="21" t="str">
        <f>MID(H6,7,1)</f>
        <v>0</v>
      </c>
      <c r="Q12" s="26" t="str">
        <f t="shared" si="4"/>
        <v>0</v>
      </c>
      <c r="R12" s="7" t="s">
        <v>73</v>
      </c>
      <c r="S12" s="437"/>
      <c r="T12" s="21" t="str">
        <f>MID(I6,7,1)</f>
        <v>0</v>
      </c>
      <c r="U12" s="26" t="str">
        <f t="shared" si="2"/>
        <v>0</v>
      </c>
      <c r="V12" s="7" t="s">
        <v>73</v>
      </c>
      <c r="W12" s="8" t="s">
        <v>66</v>
      </c>
      <c r="X12" s="21" t="str">
        <f>MID(J6,7,1)</f>
        <v>0</v>
      </c>
      <c r="Y12" s="26" t="str">
        <f t="shared" si="5"/>
        <v>0</v>
      </c>
      <c r="Z12" s="7" t="s">
        <v>73</v>
      </c>
      <c r="AA12" s="415"/>
      <c r="AB12" s="21" t="str">
        <f>MID(K6,7,1)</f>
        <v>0</v>
      </c>
      <c r="AC12" s="26" t="str">
        <f t="shared" si="6"/>
        <v>0</v>
      </c>
      <c r="AD12" s="7" t="s">
        <v>73</v>
      </c>
      <c r="AE12" s="297" t="s">
        <v>1664</v>
      </c>
      <c r="AF12" s="21" t="str">
        <f>MID(L6,7,1)</f>
        <v>0</v>
      </c>
      <c r="AG12" s="26" t="str">
        <f t="shared" si="7"/>
        <v>0</v>
      </c>
      <c r="AH12" s="7" t="s">
        <v>73</v>
      </c>
      <c r="AI12" s="292" t="s">
        <v>1326</v>
      </c>
      <c r="AJ12" s="400"/>
      <c r="AK12" s="401"/>
    </row>
    <row r="13" spans="1:37" ht="15" thickBot="1" x14ac:dyDescent="0.35">
      <c r="A13" s="36" t="s">
        <v>1253</v>
      </c>
      <c r="B13" s="87" t="s">
        <v>1253</v>
      </c>
      <c r="C13" s="9" t="s">
        <v>1678</v>
      </c>
      <c r="D13" s="334" t="str">
        <f>D8</f>
        <v>07</v>
      </c>
      <c r="E13" s="334" t="str">
        <f t="shared" ref="E13:G13" si="11">E8</f>
        <v>26</v>
      </c>
      <c r="F13" s="334" t="str">
        <f t="shared" si="11"/>
        <v>G1</v>
      </c>
      <c r="G13" s="334" t="str">
        <f t="shared" si="11"/>
        <v>G1</v>
      </c>
      <c r="H13" s="10"/>
      <c r="I13" s="10"/>
      <c r="J13" s="10"/>
      <c r="K13" s="10"/>
      <c r="L13" s="10"/>
      <c r="M13" s="10"/>
      <c r="N13" s="11"/>
      <c r="P13" s="22" t="str">
        <f>MID(H6,8,1)</f>
        <v>0</v>
      </c>
      <c r="Q13" s="26" t="str">
        <f t="shared" si="4"/>
        <v>0</v>
      </c>
      <c r="R13" s="9" t="s">
        <v>74</v>
      </c>
      <c r="S13" s="11" t="s">
        <v>66</v>
      </c>
      <c r="T13" s="22" t="str">
        <f>MID(I6,8,1)</f>
        <v>0</v>
      </c>
      <c r="U13" s="26" t="str">
        <f t="shared" si="2"/>
        <v>0</v>
      </c>
      <c r="V13" s="9" t="s">
        <v>74</v>
      </c>
      <c r="W13" s="287" t="s">
        <v>1371</v>
      </c>
      <c r="X13" s="22" t="str">
        <f>MID(J6,8,1)</f>
        <v>0</v>
      </c>
      <c r="Y13" s="26" t="str">
        <f t="shared" si="5"/>
        <v>0</v>
      </c>
      <c r="Z13" s="9" t="s">
        <v>74</v>
      </c>
      <c r="AA13" s="416"/>
      <c r="AB13" s="22" t="str">
        <f>MID(K6,8,1)</f>
        <v>0</v>
      </c>
      <c r="AC13" s="26" t="str">
        <f t="shared" si="6"/>
        <v>0</v>
      </c>
      <c r="AD13" s="9" t="s">
        <v>74</v>
      </c>
      <c r="AE13" s="11" t="s">
        <v>66</v>
      </c>
      <c r="AF13" s="22" t="str">
        <f>MID(L6,8,1)</f>
        <v>0</v>
      </c>
      <c r="AG13" s="26" t="str">
        <f t="shared" si="7"/>
        <v>0</v>
      </c>
      <c r="AH13" s="9" t="s">
        <v>74</v>
      </c>
      <c r="AI13" s="11" t="s">
        <v>66</v>
      </c>
      <c r="AJ13" s="402"/>
      <c r="AK13" s="404"/>
    </row>
    <row r="14" spans="1:37" ht="15" thickBot="1" x14ac:dyDescent="0.35">
      <c r="A14" s="276" t="s">
        <v>1857</v>
      </c>
      <c r="B14" s="87" t="str">
        <f>RIGHT(D79,1)&amp;E79&amp;F79&amp;G79&amp;H76&amp;I76</f>
        <v>726G5G10033</v>
      </c>
      <c r="C14" s="4"/>
      <c r="D14" s="5"/>
      <c r="E14" s="5"/>
      <c r="F14" s="5"/>
      <c r="G14" s="5"/>
      <c r="H14" s="5"/>
      <c r="I14" s="5"/>
      <c r="J14" s="5"/>
      <c r="K14" s="5"/>
      <c r="L14" s="5"/>
      <c r="M14" s="5" t="s">
        <v>41</v>
      </c>
      <c r="N14" s="6"/>
      <c r="P14" s="392" t="s">
        <v>102</v>
      </c>
      <c r="Q14" s="392"/>
      <c r="R14" s="392"/>
      <c r="S14" s="392"/>
      <c r="T14" s="392"/>
      <c r="U14" s="392"/>
      <c r="V14" s="392"/>
      <c r="W14" s="392"/>
      <c r="X14" s="392"/>
      <c r="Y14" s="392"/>
      <c r="Z14" s="392"/>
      <c r="AA14" s="392"/>
      <c r="AB14" s="392"/>
      <c r="AC14" s="392"/>
      <c r="AD14" s="392"/>
      <c r="AE14" s="392"/>
      <c r="AF14" s="392"/>
      <c r="AG14" s="392"/>
      <c r="AH14" s="392"/>
      <c r="AI14" s="392"/>
      <c r="AJ14" s="392"/>
      <c r="AK14" s="392"/>
    </row>
    <row r="15" spans="1:37" ht="15" thickBot="1" x14ac:dyDescent="0.35">
      <c r="C15" s="7"/>
      <c r="D15" s="393" t="s">
        <v>103</v>
      </c>
      <c r="E15" s="393"/>
      <c r="F15" s="393"/>
      <c r="G15" s="393"/>
      <c r="H15" s="99" t="s">
        <v>44</v>
      </c>
      <c r="I15" s="99" t="s">
        <v>45</v>
      </c>
      <c r="J15" s="99" t="s">
        <v>46</v>
      </c>
      <c r="K15" s="99" t="s">
        <v>47</v>
      </c>
      <c r="L15" s="99" t="s">
        <v>48</v>
      </c>
      <c r="M15" s="99" t="s">
        <v>49</v>
      </c>
      <c r="N15" s="8"/>
      <c r="P15" s="394" t="s">
        <v>50</v>
      </c>
      <c r="Q15" s="395"/>
      <c r="R15" s="395"/>
      <c r="S15" s="396"/>
      <c r="T15" s="394" t="s">
        <v>51</v>
      </c>
      <c r="U15" s="395"/>
      <c r="V15" s="395"/>
      <c r="W15" s="396"/>
      <c r="X15" s="394" t="s">
        <v>52</v>
      </c>
      <c r="Y15" s="395"/>
      <c r="Z15" s="395"/>
      <c r="AA15" s="396"/>
      <c r="AB15" s="394" t="s">
        <v>53</v>
      </c>
      <c r="AC15" s="395"/>
      <c r="AD15" s="395"/>
      <c r="AE15" s="396"/>
      <c r="AF15" s="397" t="s">
        <v>54</v>
      </c>
      <c r="AG15" s="395"/>
      <c r="AH15" s="395"/>
      <c r="AI15" s="396"/>
      <c r="AJ15" s="394" t="s">
        <v>55</v>
      </c>
      <c r="AK15" s="396"/>
    </row>
    <row r="16" spans="1:37" ht="15" thickBot="1" x14ac:dyDescent="0.35">
      <c r="C16" s="7" t="s">
        <v>56</v>
      </c>
      <c r="D16" s="12" t="s">
        <v>57</v>
      </c>
      <c r="E16" s="13" t="s">
        <v>100</v>
      </c>
      <c r="F16" s="13" t="s">
        <v>59</v>
      </c>
      <c r="G16" s="14" t="s">
        <v>77</v>
      </c>
      <c r="H16" s="338" t="str">
        <f>MID($A$5,8,2)</f>
        <v>00</v>
      </c>
      <c r="I16" s="317" t="str">
        <f>MID($A$5,10,2)</f>
        <v>00</v>
      </c>
      <c r="J16" s="317" t="str">
        <f>MID($A$5,12,2)</f>
        <v>00</v>
      </c>
      <c r="K16" s="317" t="str">
        <f>MID($A$5,14,2)</f>
        <v>00</v>
      </c>
      <c r="L16" s="318" t="str">
        <f>MID($A$5,16,2)</f>
        <v>00</v>
      </c>
      <c r="M16" s="319" t="str">
        <f>MID($A$5,18,2)</f>
        <v>30</v>
      </c>
      <c r="N16" s="8" t="s">
        <v>60</v>
      </c>
      <c r="P16" s="19" t="s">
        <v>60</v>
      </c>
      <c r="Q16" s="20" t="s">
        <v>61</v>
      </c>
      <c r="R16" t="s">
        <v>62</v>
      </c>
      <c r="S16" s="8"/>
      <c r="T16" s="19" t="s">
        <v>60</v>
      </c>
      <c r="U16" s="20" t="s">
        <v>61</v>
      </c>
      <c r="V16" t="s">
        <v>62</v>
      </c>
      <c r="W16" s="8"/>
      <c r="X16" s="19" t="s">
        <v>60</v>
      </c>
      <c r="Y16" s="20" t="s">
        <v>61</v>
      </c>
      <c r="Z16" t="s">
        <v>62</v>
      </c>
      <c r="AA16" s="8"/>
      <c r="AB16" s="19" t="s">
        <v>60</v>
      </c>
      <c r="AC16" s="20" t="s">
        <v>61</v>
      </c>
      <c r="AD16" t="s">
        <v>62</v>
      </c>
      <c r="AE16" s="8"/>
      <c r="AF16" s="19" t="s">
        <v>60</v>
      </c>
      <c r="AG16" s="20" t="s">
        <v>61</v>
      </c>
      <c r="AH16" t="s">
        <v>62</v>
      </c>
      <c r="AJ16" s="394" t="s">
        <v>63</v>
      </c>
      <c r="AK16" s="396"/>
    </row>
    <row r="17" spans="3:37" x14ac:dyDescent="0.3">
      <c r="C17" s="7" t="s">
        <v>64</v>
      </c>
      <c r="D17" s="99" t="str">
        <f>HEX2BIN(D16,8)</f>
        <v>00000111</v>
      </c>
      <c r="E17" s="99" t="str">
        <f t="shared" ref="E17:L17" si="12">HEX2BIN(E16,8)</f>
        <v>00100110</v>
      </c>
      <c r="F17" s="99" t="str">
        <f t="shared" si="12"/>
        <v>00000001</v>
      </c>
      <c r="G17" s="99" t="str">
        <f t="shared" si="12"/>
        <v>00000010</v>
      </c>
      <c r="H17" s="99" t="str">
        <f t="shared" si="12"/>
        <v>00000000</v>
      </c>
      <c r="I17" s="99" t="str">
        <f t="shared" si="12"/>
        <v>00000000</v>
      </c>
      <c r="J17" s="99" t="str">
        <f t="shared" si="12"/>
        <v>00000000</v>
      </c>
      <c r="K17" s="99" t="str">
        <f t="shared" si="12"/>
        <v>00000000</v>
      </c>
      <c r="L17" s="99" t="str">
        <f t="shared" si="12"/>
        <v>00000000</v>
      </c>
      <c r="N17" s="8"/>
      <c r="P17" s="21" t="str">
        <f>MID(H17,1,1)</f>
        <v>0</v>
      </c>
      <c r="Q17" s="26" t="str">
        <f>P17</f>
        <v>0</v>
      </c>
      <c r="R17" s="7" t="s">
        <v>65</v>
      </c>
      <c r="S17" s="8" t="s">
        <v>66</v>
      </c>
      <c r="T17" s="21" t="str">
        <f>MID(I17,1,1)</f>
        <v>0</v>
      </c>
      <c r="U17" s="26" t="str">
        <f>T17</f>
        <v>0</v>
      </c>
      <c r="V17" s="7" t="s">
        <v>65</v>
      </c>
      <c r="W17" s="8" t="s">
        <v>66</v>
      </c>
      <c r="X17" s="21" t="str">
        <f>MID(J17,1,1)</f>
        <v>0</v>
      </c>
      <c r="Y17" s="26" t="str">
        <f>X17</f>
        <v>0</v>
      </c>
      <c r="Z17" s="7" t="s">
        <v>65</v>
      </c>
      <c r="AA17" s="8" t="s">
        <v>66</v>
      </c>
      <c r="AB17" s="21" t="str">
        <f>MID(K17,1,1)</f>
        <v>0</v>
      </c>
      <c r="AC17" s="26" t="str">
        <f>AB17</f>
        <v>0</v>
      </c>
      <c r="AD17" s="7" t="s">
        <v>65</v>
      </c>
      <c r="AE17" s="8" t="s">
        <v>66</v>
      </c>
      <c r="AF17" s="21" t="str">
        <f>MID(L17,1,1)</f>
        <v>0</v>
      </c>
      <c r="AG17" s="26" t="str">
        <f>AF17</f>
        <v>0</v>
      </c>
      <c r="AH17" s="7" t="s">
        <v>65</v>
      </c>
      <c r="AI17" s="8" t="s">
        <v>66</v>
      </c>
      <c r="AJ17" s="400"/>
      <c r="AK17" s="401"/>
    </row>
    <row r="18" spans="3:37" x14ac:dyDescent="0.3">
      <c r="C18" s="7" t="s">
        <v>67</v>
      </c>
      <c r="D18" s="99">
        <f>HEX2DEC(D16)</f>
        <v>7</v>
      </c>
      <c r="E18" s="99">
        <f t="shared" ref="E18:L18" si="13">HEX2DEC(E16)</f>
        <v>38</v>
      </c>
      <c r="F18" s="99">
        <f t="shared" si="13"/>
        <v>1</v>
      </c>
      <c r="G18" s="99">
        <f t="shared" si="13"/>
        <v>2</v>
      </c>
      <c r="H18" s="99">
        <f t="shared" si="13"/>
        <v>0</v>
      </c>
      <c r="I18" s="99">
        <f t="shared" si="13"/>
        <v>0</v>
      </c>
      <c r="J18" s="99">
        <f t="shared" si="13"/>
        <v>0</v>
      </c>
      <c r="K18" s="99">
        <f t="shared" si="13"/>
        <v>0</v>
      </c>
      <c r="L18" s="99">
        <f t="shared" si="13"/>
        <v>0</v>
      </c>
      <c r="M18" s="99">
        <f>SUM(D18:L18)</f>
        <v>48</v>
      </c>
      <c r="N18" s="8"/>
      <c r="P18" s="21" t="str">
        <f>MID(H17,2,1)</f>
        <v>0</v>
      </c>
      <c r="Q18" s="26" t="str">
        <f t="shared" ref="Q18:Q24" si="14">P18</f>
        <v>0</v>
      </c>
      <c r="R18" s="7" t="s">
        <v>68</v>
      </c>
      <c r="S18" s="8" t="s">
        <v>66</v>
      </c>
      <c r="T18" s="21" t="str">
        <f>MID(I17,2,1)</f>
        <v>0</v>
      </c>
      <c r="U18" s="26" t="str">
        <f t="shared" ref="U18:U24" si="15">T18</f>
        <v>0</v>
      </c>
      <c r="V18" s="7" t="s">
        <v>68</v>
      </c>
      <c r="W18" s="8" t="s">
        <v>66</v>
      </c>
      <c r="X18" s="21" t="str">
        <f>MID(J17,2,1)</f>
        <v>0</v>
      </c>
      <c r="Y18" s="26" t="str">
        <f t="shared" ref="Y18:Y24" si="16">X18</f>
        <v>0</v>
      </c>
      <c r="Z18" s="7" t="s">
        <v>68</v>
      </c>
      <c r="AA18" s="8" t="s">
        <v>66</v>
      </c>
      <c r="AB18" s="21" t="str">
        <f>MID(K17,2,1)</f>
        <v>0</v>
      </c>
      <c r="AC18" s="26" t="str">
        <f t="shared" ref="AC18:AC24" si="17">AB18</f>
        <v>0</v>
      </c>
      <c r="AD18" s="7" t="s">
        <v>68</v>
      </c>
      <c r="AE18" s="8" t="s">
        <v>66</v>
      </c>
      <c r="AF18" s="21" t="str">
        <f>MID(L17,2,1)</f>
        <v>0</v>
      </c>
      <c r="AG18" s="26" t="str">
        <f t="shared" ref="AG18:AG24" si="18">AF18</f>
        <v>0</v>
      </c>
      <c r="AH18" s="7" t="s">
        <v>68</v>
      </c>
      <c r="AI18" s="8" t="s">
        <v>66</v>
      </c>
      <c r="AJ18" s="400"/>
      <c r="AK18" s="401"/>
    </row>
    <row r="19" spans="3:37" x14ac:dyDescent="0.3">
      <c r="C19" s="7" t="s">
        <v>1678</v>
      </c>
      <c r="D19" s="333" t="str">
        <f>D16</f>
        <v>07</v>
      </c>
      <c r="E19" s="333" t="str">
        <f>E16</f>
        <v>26</v>
      </c>
      <c r="F19" s="99" t="str">
        <f>MID($A$5,4,2)</f>
        <v>G1</v>
      </c>
      <c r="G19" s="99" t="str">
        <f>MID($A$5,6,2)</f>
        <v>G2</v>
      </c>
      <c r="N19" s="8"/>
      <c r="P19" s="21" t="str">
        <f>MID(H17,3,1)</f>
        <v>0</v>
      </c>
      <c r="Q19" s="26" t="str">
        <f t="shared" si="14"/>
        <v>0</v>
      </c>
      <c r="R19" s="7" t="s">
        <v>69</v>
      </c>
      <c r="S19" s="8" t="s">
        <v>66</v>
      </c>
      <c r="T19" s="21" t="str">
        <f>MID(I17,3,1)</f>
        <v>0</v>
      </c>
      <c r="U19" s="26" t="str">
        <f t="shared" si="15"/>
        <v>0</v>
      </c>
      <c r="V19" s="7" t="s">
        <v>69</v>
      </c>
      <c r="W19" s="8" t="s">
        <v>66</v>
      </c>
      <c r="X19" s="21" t="str">
        <f>MID(J17,3,1)</f>
        <v>0</v>
      </c>
      <c r="Y19" s="26" t="str">
        <f t="shared" si="16"/>
        <v>0</v>
      </c>
      <c r="Z19" s="7" t="s">
        <v>69</v>
      </c>
      <c r="AA19" s="8" t="s">
        <v>66</v>
      </c>
      <c r="AB19" s="21" t="str">
        <f>MID(K17,3,1)</f>
        <v>0</v>
      </c>
      <c r="AC19" s="26" t="str">
        <f t="shared" si="17"/>
        <v>0</v>
      </c>
      <c r="AD19" s="7" t="s">
        <v>69</v>
      </c>
      <c r="AE19" s="8" t="s">
        <v>66</v>
      </c>
      <c r="AF19" s="21" t="str">
        <f>MID(L17,3,1)</f>
        <v>0</v>
      </c>
      <c r="AG19" s="26" t="str">
        <f t="shared" si="18"/>
        <v>0</v>
      </c>
      <c r="AH19" s="7" t="s">
        <v>69</v>
      </c>
      <c r="AI19" s="8" t="s">
        <v>66</v>
      </c>
      <c r="AJ19" s="400"/>
      <c r="AK19" s="401"/>
    </row>
    <row r="20" spans="3:37" ht="15" thickBot="1" x14ac:dyDescent="0.35">
      <c r="C20" s="7"/>
      <c r="N20" s="8"/>
      <c r="P20" s="21" t="str">
        <f>MID(H17,4,1)</f>
        <v>0</v>
      </c>
      <c r="Q20" s="26" t="str">
        <f t="shared" si="14"/>
        <v>0</v>
      </c>
      <c r="R20" s="7" t="s">
        <v>70</v>
      </c>
      <c r="S20" s="8" t="s">
        <v>66</v>
      </c>
      <c r="T20" s="21" t="str">
        <f>MID(I17,4,1)</f>
        <v>0</v>
      </c>
      <c r="U20" s="26" t="str">
        <f t="shared" si="15"/>
        <v>0</v>
      </c>
      <c r="V20" s="7" t="s">
        <v>70</v>
      </c>
      <c r="W20" s="8" t="s">
        <v>66</v>
      </c>
      <c r="X20" s="21" t="str">
        <f>MID(J17,4,1)</f>
        <v>0</v>
      </c>
      <c r="Y20" s="26" t="str">
        <f t="shared" si="16"/>
        <v>0</v>
      </c>
      <c r="Z20" s="7" t="s">
        <v>70</v>
      </c>
      <c r="AA20" s="8" t="s">
        <v>66</v>
      </c>
      <c r="AB20" s="21" t="str">
        <f>MID(K17,4,1)</f>
        <v>0</v>
      </c>
      <c r="AC20" s="26" t="str">
        <f t="shared" si="17"/>
        <v>0</v>
      </c>
      <c r="AD20" s="7" t="s">
        <v>70</v>
      </c>
      <c r="AE20" s="8" t="s">
        <v>66</v>
      </c>
      <c r="AF20" s="21" t="str">
        <f>MID(L17,4,1)</f>
        <v>0</v>
      </c>
      <c r="AG20" s="26" t="str">
        <f t="shared" si="18"/>
        <v>0</v>
      </c>
      <c r="AH20" s="7" t="s">
        <v>70</v>
      </c>
      <c r="AI20" s="8" t="s">
        <v>66</v>
      </c>
      <c r="AJ20" s="400"/>
      <c r="AK20" s="401"/>
    </row>
    <row r="21" spans="3:37" ht="15" thickBot="1" x14ac:dyDescent="0.35">
      <c r="C21" s="7" t="s">
        <v>56</v>
      </c>
      <c r="D21" s="15" t="str">
        <f t="shared" ref="D21:G21" si="19">D16</f>
        <v>07</v>
      </c>
      <c r="E21" s="16" t="str">
        <f t="shared" si="19"/>
        <v>26</v>
      </c>
      <c r="F21" s="16" t="str">
        <f t="shared" si="19"/>
        <v>01</v>
      </c>
      <c r="G21" s="17" t="str">
        <f t="shared" si="19"/>
        <v>02</v>
      </c>
      <c r="H21" s="23" t="str">
        <f>BIN2HEX(H22,2)</f>
        <v>00</v>
      </c>
      <c r="I21" s="25" t="str">
        <f t="shared" ref="I21:L21" si="20">BIN2HEX(I22,2)</f>
        <v>00</v>
      </c>
      <c r="J21" s="24" t="str">
        <f t="shared" si="20"/>
        <v>00</v>
      </c>
      <c r="K21" s="2" t="str">
        <f t="shared" si="20"/>
        <v>00</v>
      </c>
      <c r="L21" s="18" t="str">
        <f t="shared" si="20"/>
        <v>00</v>
      </c>
      <c r="M21" s="3" t="str">
        <f>IF(LEN(M22)&gt;2,MID(M22,2,2),M22)</f>
        <v>30</v>
      </c>
      <c r="N21" s="8" t="s">
        <v>61</v>
      </c>
      <c r="P21" s="21" t="str">
        <f>MID(H17,5,1)</f>
        <v>0</v>
      </c>
      <c r="Q21" s="26" t="str">
        <f t="shared" si="14"/>
        <v>0</v>
      </c>
      <c r="R21" s="7" t="s">
        <v>71</v>
      </c>
      <c r="S21" s="8" t="s">
        <v>66</v>
      </c>
      <c r="T21" s="21" t="str">
        <f>MID(I17,5,1)</f>
        <v>0</v>
      </c>
      <c r="U21" s="26" t="str">
        <f t="shared" si="15"/>
        <v>0</v>
      </c>
      <c r="V21" s="7" t="s">
        <v>71</v>
      </c>
      <c r="W21" s="8" t="s">
        <v>66</v>
      </c>
      <c r="X21" s="21" t="str">
        <f>MID(J17,5,1)</f>
        <v>0</v>
      </c>
      <c r="Y21" s="26" t="str">
        <f t="shared" si="16"/>
        <v>0</v>
      </c>
      <c r="Z21" s="7" t="s">
        <v>71</v>
      </c>
      <c r="AA21" s="8" t="s">
        <v>66</v>
      </c>
      <c r="AB21" s="21" t="str">
        <f>MID(K17,5,1)</f>
        <v>0</v>
      </c>
      <c r="AC21" s="26" t="str">
        <f t="shared" si="17"/>
        <v>0</v>
      </c>
      <c r="AD21" s="7" t="s">
        <v>71</v>
      </c>
      <c r="AE21" s="8" t="s">
        <v>66</v>
      </c>
      <c r="AF21" s="21" t="str">
        <f>MID(L17,5,1)</f>
        <v>0</v>
      </c>
      <c r="AG21" s="26" t="str">
        <f t="shared" si="18"/>
        <v>0</v>
      </c>
      <c r="AH21" s="7" t="s">
        <v>71</v>
      </c>
      <c r="AI21" s="8" t="s">
        <v>66</v>
      </c>
      <c r="AJ21" s="400"/>
      <c r="AK21" s="401"/>
    </row>
    <row r="22" spans="3:37" x14ac:dyDescent="0.3">
      <c r="C22" s="7" t="s">
        <v>64</v>
      </c>
      <c r="D22" s="99" t="str">
        <f>HEX2BIN(D21,8)</f>
        <v>00000111</v>
      </c>
      <c r="E22" s="99" t="str">
        <f t="shared" ref="E22:G22" si="21">HEX2BIN(E21,8)</f>
        <v>00100110</v>
      </c>
      <c r="F22" s="99" t="str">
        <f t="shared" si="21"/>
        <v>00000001</v>
      </c>
      <c r="G22" s="99" t="str">
        <f t="shared" si="21"/>
        <v>00000010</v>
      </c>
      <c r="H22" s="29" t="str">
        <f>Q17&amp;Q18&amp;Q19&amp;Q20&amp;Q21&amp;Q22&amp;Q23&amp;Q24</f>
        <v>00000000</v>
      </c>
      <c r="I22" s="99" t="str">
        <f>U17&amp;U18&amp;U19&amp;U20&amp;U21&amp;U22&amp;U23&amp;U24</f>
        <v>00000000</v>
      </c>
      <c r="J22" s="29" t="str">
        <f>Y17&amp;Y18&amp;Y19&amp;Y20&amp;Y21&amp;Y22&amp;Y23&amp;Y24</f>
        <v>00000000</v>
      </c>
      <c r="K22" s="29" t="str">
        <f>AC17&amp;AC18&amp;AC19&amp;AC20&amp;AC21&amp;AC22&amp;AC23&amp;AC24</f>
        <v>00000000</v>
      </c>
      <c r="L22" s="99" t="str">
        <f>AG17&amp;AG18&amp;AG19&amp;AG20&amp;AG21&amp;AG22&amp;AG23&amp;AG24</f>
        <v>00000000</v>
      </c>
      <c r="M22" s="99" t="str">
        <f>DEC2HEX(M23)</f>
        <v>30</v>
      </c>
      <c r="N22" s="8"/>
      <c r="P22" s="21" t="str">
        <f>MID(H17,6,1)</f>
        <v>0</v>
      </c>
      <c r="Q22" s="26" t="str">
        <f t="shared" si="14"/>
        <v>0</v>
      </c>
      <c r="R22" s="7" t="s">
        <v>72</v>
      </c>
      <c r="S22" s="8" t="s">
        <v>66</v>
      </c>
      <c r="T22" s="21" t="str">
        <f>MID(I17,6,1)</f>
        <v>0</v>
      </c>
      <c r="U22" s="26" t="str">
        <f t="shared" si="15"/>
        <v>0</v>
      </c>
      <c r="V22" s="7" t="s">
        <v>72</v>
      </c>
      <c r="W22" s="8" t="s">
        <v>66</v>
      </c>
      <c r="X22" s="21" t="str">
        <f>MID(J17,6,1)</f>
        <v>0</v>
      </c>
      <c r="Y22" s="26" t="str">
        <f t="shared" si="16"/>
        <v>0</v>
      </c>
      <c r="Z22" s="7" t="s">
        <v>72</v>
      </c>
      <c r="AA22" s="8" t="s">
        <v>66</v>
      </c>
      <c r="AB22" s="21" t="str">
        <f>MID(K17,6,1)</f>
        <v>0</v>
      </c>
      <c r="AC22" s="26" t="str">
        <f t="shared" si="17"/>
        <v>0</v>
      </c>
      <c r="AD22" s="7" t="s">
        <v>72</v>
      </c>
      <c r="AE22" s="8" t="s">
        <v>66</v>
      </c>
      <c r="AF22" s="21" t="str">
        <f>MID(L17,6,1)</f>
        <v>0</v>
      </c>
      <c r="AG22" s="26" t="str">
        <f t="shared" si="18"/>
        <v>0</v>
      </c>
      <c r="AH22" s="7" t="s">
        <v>72</v>
      </c>
      <c r="AI22" s="8" t="s">
        <v>66</v>
      </c>
      <c r="AJ22" s="400"/>
      <c r="AK22" s="401"/>
    </row>
    <row r="23" spans="3:37" x14ac:dyDescent="0.3">
      <c r="C23" s="7" t="s">
        <v>67</v>
      </c>
      <c r="D23" s="99">
        <f>HEX2DEC(D21)</f>
        <v>7</v>
      </c>
      <c r="E23" s="99">
        <f t="shared" ref="E23:L23" si="22">HEX2DEC(E21)</f>
        <v>38</v>
      </c>
      <c r="F23" s="99">
        <f t="shared" si="22"/>
        <v>1</v>
      </c>
      <c r="G23" s="99">
        <f t="shared" si="22"/>
        <v>2</v>
      </c>
      <c r="H23" s="99">
        <f t="shared" si="22"/>
        <v>0</v>
      </c>
      <c r="I23" s="99">
        <f t="shared" si="22"/>
        <v>0</v>
      </c>
      <c r="J23" s="99">
        <f t="shared" si="22"/>
        <v>0</v>
      </c>
      <c r="K23" s="99">
        <f t="shared" si="22"/>
        <v>0</v>
      </c>
      <c r="L23" s="99">
        <f t="shared" si="22"/>
        <v>0</v>
      </c>
      <c r="M23" s="99">
        <f>SUM(D23:L23)</f>
        <v>48</v>
      </c>
      <c r="N23" s="8"/>
      <c r="P23" s="21" t="str">
        <f>MID(H17,7,1)</f>
        <v>0</v>
      </c>
      <c r="Q23" s="26" t="str">
        <f t="shared" si="14"/>
        <v>0</v>
      </c>
      <c r="R23" s="7" t="s">
        <v>73</v>
      </c>
      <c r="S23" s="8" t="s">
        <v>66</v>
      </c>
      <c r="T23" s="21" t="str">
        <f>MID(I17,7,1)</f>
        <v>0</v>
      </c>
      <c r="U23" s="26" t="str">
        <f t="shared" si="15"/>
        <v>0</v>
      </c>
      <c r="V23" s="7" t="s">
        <v>73</v>
      </c>
      <c r="W23" s="8" t="s">
        <v>66</v>
      </c>
      <c r="X23" s="21" t="str">
        <f>MID(J17,7,1)</f>
        <v>0</v>
      </c>
      <c r="Y23" s="26" t="str">
        <f t="shared" si="16"/>
        <v>0</v>
      </c>
      <c r="Z23" s="7" t="s">
        <v>73</v>
      </c>
      <c r="AA23" s="8" t="s">
        <v>66</v>
      </c>
      <c r="AB23" s="21" t="str">
        <f>MID(K17,7,1)</f>
        <v>0</v>
      </c>
      <c r="AC23" s="26" t="str">
        <f t="shared" si="17"/>
        <v>0</v>
      </c>
      <c r="AD23" s="7" t="s">
        <v>73</v>
      </c>
      <c r="AE23" s="8" t="s">
        <v>66</v>
      </c>
      <c r="AF23" s="21" t="str">
        <f>MID(L17,7,1)</f>
        <v>0</v>
      </c>
      <c r="AG23" s="26" t="str">
        <f t="shared" si="18"/>
        <v>0</v>
      </c>
      <c r="AH23" s="7" t="s">
        <v>73</v>
      </c>
      <c r="AI23" s="8" t="s">
        <v>66</v>
      </c>
      <c r="AJ23" s="400"/>
      <c r="AK23" s="401"/>
    </row>
    <row r="24" spans="3:37" ht="15" thickBot="1" x14ac:dyDescent="0.35">
      <c r="C24" s="9" t="s">
        <v>1678</v>
      </c>
      <c r="D24" s="335" t="str">
        <f>D19</f>
        <v>07</v>
      </c>
      <c r="E24" s="335" t="str">
        <f t="shared" ref="E24:G24" si="23">E19</f>
        <v>26</v>
      </c>
      <c r="F24" s="335" t="str">
        <f t="shared" si="23"/>
        <v>G1</v>
      </c>
      <c r="G24" s="335" t="str">
        <f t="shared" si="23"/>
        <v>G2</v>
      </c>
      <c r="H24" s="10"/>
      <c r="I24" s="10"/>
      <c r="J24" s="10"/>
      <c r="K24" s="10"/>
      <c r="L24" s="10"/>
      <c r="M24" s="10"/>
      <c r="N24" s="11"/>
      <c r="P24" s="22" t="str">
        <f>MID(H17,8,1)</f>
        <v>0</v>
      </c>
      <c r="Q24" s="26" t="str">
        <f t="shared" si="14"/>
        <v>0</v>
      </c>
      <c r="R24" s="9" t="s">
        <v>74</v>
      </c>
      <c r="S24" s="11" t="s">
        <v>66</v>
      </c>
      <c r="T24" s="22" t="str">
        <f>MID(I17,8,1)</f>
        <v>0</v>
      </c>
      <c r="U24" s="26" t="str">
        <f t="shared" si="15"/>
        <v>0</v>
      </c>
      <c r="V24" s="9" t="s">
        <v>74</v>
      </c>
      <c r="W24" s="11" t="s">
        <v>66</v>
      </c>
      <c r="X24" s="22" t="str">
        <f>MID(J17,8,1)</f>
        <v>0</v>
      </c>
      <c r="Y24" s="26" t="str">
        <f t="shared" si="16"/>
        <v>0</v>
      </c>
      <c r="Z24" s="9" t="s">
        <v>74</v>
      </c>
      <c r="AA24" s="11" t="s">
        <v>66</v>
      </c>
      <c r="AB24" s="22" t="str">
        <f>MID(K17,8,1)</f>
        <v>0</v>
      </c>
      <c r="AC24" s="26" t="str">
        <f t="shared" si="17"/>
        <v>0</v>
      </c>
      <c r="AD24" s="9" t="s">
        <v>74</v>
      </c>
      <c r="AE24" s="298" t="s">
        <v>1374</v>
      </c>
      <c r="AF24" s="22" t="str">
        <f>MID(L17,8,1)</f>
        <v>0</v>
      </c>
      <c r="AG24" s="26" t="str">
        <f t="shared" si="18"/>
        <v>0</v>
      </c>
      <c r="AH24" s="9" t="s">
        <v>74</v>
      </c>
      <c r="AI24" s="11" t="s">
        <v>66</v>
      </c>
      <c r="AJ24" s="402"/>
      <c r="AK24" s="404"/>
    </row>
    <row r="25" spans="3:37" ht="15" thickBot="1" x14ac:dyDescent="0.35">
      <c r="C25" s="4"/>
      <c r="D25" s="5"/>
      <c r="E25" s="5"/>
      <c r="F25" s="5"/>
      <c r="G25" s="5"/>
      <c r="H25" s="5"/>
      <c r="I25" s="5"/>
      <c r="J25" s="5"/>
      <c r="K25" s="5"/>
      <c r="L25" s="5" t="s">
        <v>41</v>
      </c>
      <c r="N25" s="6"/>
      <c r="P25" s="392" t="s">
        <v>104</v>
      </c>
      <c r="Q25" s="392"/>
      <c r="R25" s="392"/>
      <c r="S25" s="392"/>
      <c r="T25" s="392"/>
      <c r="U25" s="392"/>
      <c r="V25" s="392"/>
      <c r="W25" s="392"/>
      <c r="X25" s="392"/>
      <c r="Y25" s="392"/>
      <c r="Z25" s="392"/>
      <c r="AA25" s="392"/>
      <c r="AB25" s="392"/>
      <c r="AC25" s="392"/>
      <c r="AD25" s="392"/>
      <c r="AE25" s="392"/>
      <c r="AF25" s="392"/>
      <c r="AG25" s="392"/>
      <c r="AH25" s="392"/>
      <c r="AI25" s="392"/>
      <c r="AJ25" s="405"/>
      <c r="AK25" s="405"/>
    </row>
    <row r="26" spans="3:37" ht="15" thickBot="1" x14ac:dyDescent="0.35">
      <c r="C26" s="7"/>
      <c r="D26" s="393" t="s">
        <v>105</v>
      </c>
      <c r="E26" s="393"/>
      <c r="F26" s="393"/>
      <c r="G26" s="393"/>
      <c r="H26" s="99" t="s">
        <v>44</v>
      </c>
      <c r="I26" s="99" t="s">
        <v>45</v>
      </c>
      <c r="J26" s="99" t="s">
        <v>46</v>
      </c>
      <c r="K26" s="99" t="s">
        <v>47</v>
      </c>
      <c r="L26" s="99" t="s">
        <v>48</v>
      </c>
      <c r="N26" s="8"/>
      <c r="P26" s="394" t="s">
        <v>50</v>
      </c>
      <c r="Q26" s="395"/>
      <c r="R26" s="395"/>
      <c r="S26" s="396"/>
      <c r="T26" s="394" t="s">
        <v>51</v>
      </c>
      <c r="U26" s="395"/>
      <c r="V26" s="395"/>
      <c r="W26" s="396"/>
      <c r="X26" s="394" t="s">
        <v>52</v>
      </c>
      <c r="Y26" s="395"/>
      <c r="Z26" s="395"/>
      <c r="AA26" s="396"/>
      <c r="AB26" s="394" t="s">
        <v>53</v>
      </c>
      <c r="AC26" s="395"/>
      <c r="AD26" s="395"/>
      <c r="AE26" s="396"/>
      <c r="AF26" s="406" t="s">
        <v>92</v>
      </c>
      <c r="AG26" s="407"/>
      <c r="AH26" s="407"/>
      <c r="AI26" s="408"/>
    </row>
    <row r="27" spans="3:37" ht="15" thickBot="1" x14ac:dyDescent="0.35">
      <c r="C27" s="7" t="s">
        <v>56</v>
      </c>
      <c r="D27" s="12" t="s">
        <v>57</v>
      </c>
      <c r="E27" s="13" t="s">
        <v>100</v>
      </c>
      <c r="F27" s="13" t="s">
        <v>59</v>
      </c>
      <c r="G27" s="14" t="s">
        <v>93</v>
      </c>
      <c r="H27" s="316" t="str">
        <f>MID($A$6,8,2)</f>
        <v>00</v>
      </c>
      <c r="I27" s="317" t="str">
        <f>MID($A$6,10,2)</f>
        <v>00</v>
      </c>
      <c r="J27" s="317" t="str">
        <f>MID($A$6,12,2)</f>
        <v>00</v>
      </c>
      <c r="K27" s="317" t="str">
        <f>MID($A$6,14,2)</f>
        <v>00</v>
      </c>
      <c r="L27" s="319" t="str">
        <f>MID($A$6,16,2)</f>
        <v>31</v>
      </c>
      <c r="N27" s="8" t="s">
        <v>60</v>
      </c>
      <c r="P27" s="19" t="s">
        <v>60</v>
      </c>
      <c r="Q27" s="20" t="s">
        <v>61</v>
      </c>
      <c r="R27" t="s">
        <v>62</v>
      </c>
      <c r="S27" s="8"/>
      <c r="T27" s="19" t="s">
        <v>60</v>
      </c>
      <c r="U27" s="20" t="s">
        <v>61</v>
      </c>
      <c r="V27" t="s">
        <v>62</v>
      </c>
      <c r="W27" s="8"/>
      <c r="X27" s="19" t="s">
        <v>60</v>
      </c>
      <c r="Y27" s="20" t="s">
        <v>61</v>
      </c>
      <c r="Z27" t="s">
        <v>62</v>
      </c>
      <c r="AA27" s="8"/>
      <c r="AB27" s="19" t="s">
        <v>60</v>
      </c>
      <c r="AC27" s="20" t="s">
        <v>61</v>
      </c>
      <c r="AD27" t="s">
        <v>62</v>
      </c>
      <c r="AE27" s="8"/>
      <c r="AF27" s="394"/>
      <c r="AG27" s="395"/>
      <c r="AH27" s="395"/>
      <c r="AI27" s="396"/>
    </row>
    <row r="28" spans="3:37" x14ac:dyDescent="0.3">
      <c r="C28" s="7" t="s">
        <v>64</v>
      </c>
      <c r="D28" s="99" t="str">
        <f>HEX2BIN(D27,8)</f>
        <v>00000111</v>
      </c>
      <c r="E28" s="99" t="str">
        <f t="shared" ref="E28:K28" si="24">HEX2BIN(E27,8)</f>
        <v>00100110</v>
      </c>
      <c r="F28" s="99" t="str">
        <f t="shared" si="24"/>
        <v>00000001</v>
      </c>
      <c r="G28" s="99" t="str">
        <f t="shared" si="24"/>
        <v>00000011</v>
      </c>
      <c r="H28" s="99" t="str">
        <f t="shared" si="24"/>
        <v>00000000</v>
      </c>
      <c r="I28" s="99" t="str">
        <f t="shared" si="24"/>
        <v>00000000</v>
      </c>
      <c r="J28" s="99" t="str">
        <f t="shared" si="24"/>
        <v>00000000</v>
      </c>
      <c r="K28" s="99" t="str">
        <f t="shared" si="24"/>
        <v>00000000</v>
      </c>
      <c r="L28" s="99"/>
      <c r="N28" s="8"/>
      <c r="P28" s="21" t="str">
        <f>MID(H28,1,1)</f>
        <v>0</v>
      </c>
      <c r="Q28" s="26" t="str">
        <f>P28</f>
        <v>0</v>
      </c>
      <c r="R28" s="7" t="s">
        <v>65</v>
      </c>
      <c r="S28" s="8" t="s">
        <v>66</v>
      </c>
      <c r="T28" s="21" t="str">
        <f>MID(I28,1,1)</f>
        <v>0</v>
      </c>
      <c r="U28" s="26" t="str">
        <f>T28</f>
        <v>0</v>
      </c>
      <c r="V28" s="7" t="s">
        <v>65</v>
      </c>
      <c r="W28" s="8" t="s">
        <v>66</v>
      </c>
      <c r="X28" s="21" t="str">
        <f>MID(J28,1,1)</f>
        <v>0</v>
      </c>
      <c r="Y28" s="26" t="str">
        <f>X28</f>
        <v>0</v>
      </c>
      <c r="Z28" s="7" t="s">
        <v>65</v>
      </c>
      <c r="AA28" s="8" t="s">
        <v>66</v>
      </c>
      <c r="AB28" s="21" t="str">
        <f>MID(K28,1,1)</f>
        <v>0</v>
      </c>
      <c r="AC28" s="26" t="str">
        <f>AB28</f>
        <v>0</v>
      </c>
      <c r="AD28" s="7" t="s">
        <v>65</v>
      </c>
      <c r="AE28" s="8" t="s">
        <v>66</v>
      </c>
      <c r="AF28" s="400"/>
      <c r="AG28" s="381"/>
      <c r="AH28" s="381"/>
      <c r="AI28" s="401"/>
    </row>
    <row r="29" spans="3:37" x14ac:dyDescent="0.3">
      <c r="C29" s="7" t="s">
        <v>67</v>
      </c>
      <c r="D29" s="99">
        <f>HEX2DEC(D27)</f>
        <v>7</v>
      </c>
      <c r="E29" s="99">
        <f t="shared" ref="E29:K29" si="25">HEX2DEC(E27)</f>
        <v>38</v>
      </c>
      <c r="F29" s="99">
        <f t="shared" si="25"/>
        <v>1</v>
      </c>
      <c r="G29" s="99">
        <f t="shared" si="25"/>
        <v>3</v>
      </c>
      <c r="H29" s="99">
        <f t="shared" si="25"/>
        <v>0</v>
      </c>
      <c r="I29" s="99">
        <f t="shared" si="25"/>
        <v>0</v>
      </c>
      <c r="J29" s="99">
        <f t="shared" si="25"/>
        <v>0</v>
      </c>
      <c r="K29" s="99">
        <f t="shared" si="25"/>
        <v>0</v>
      </c>
      <c r="L29" s="99">
        <f>SUM(D29:K29)</f>
        <v>49</v>
      </c>
      <c r="N29" s="8"/>
      <c r="P29" s="21" t="str">
        <f>MID(H28,2,1)</f>
        <v>0</v>
      </c>
      <c r="Q29" s="26" t="str">
        <f t="shared" ref="Q29:Q35" si="26">P29</f>
        <v>0</v>
      </c>
      <c r="R29" s="7" t="s">
        <v>68</v>
      </c>
      <c r="S29" s="8" t="s">
        <v>66</v>
      </c>
      <c r="T29" s="21" t="str">
        <f>MID(I28,2,1)</f>
        <v>0</v>
      </c>
      <c r="U29" s="26" t="str">
        <f t="shared" ref="U29:U35" si="27">T29</f>
        <v>0</v>
      </c>
      <c r="V29" s="7" t="s">
        <v>68</v>
      </c>
      <c r="W29" s="8" t="s">
        <v>66</v>
      </c>
      <c r="X29" s="21" t="str">
        <f>MID(J28,2,1)</f>
        <v>0</v>
      </c>
      <c r="Y29" s="26" t="str">
        <f t="shared" ref="Y29:Y35" si="28">X29</f>
        <v>0</v>
      </c>
      <c r="Z29" s="7" t="s">
        <v>68</v>
      </c>
      <c r="AA29" s="8" t="s">
        <v>66</v>
      </c>
      <c r="AB29" s="21" t="str">
        <f>MID(K28,2,1)</f>
        <v>0</v>
      </c>
      <c r="AC29" s="26" t="str">
        <f t="shared" ref="AC29:AC35" si="29">AB29</f>
        <v>0</v>
      </c>
      <c r="AD29" s="7" t="s">
        <v>68</v>
      </c>
      <c r="AE29" s="8" t="s">
        <v>66</v>
      </c>
      <c r="AF29" s="400"/>
      <c r="AG29" s="381"/>
      <c r="AH29" s="381"/>
      <c r="AI29" s="401"/>
    </row>
    <row r="30" spans="3:37" x14ac:dyDescent="0.3">
      <c r="C30" s="7" t="s">
        <v>1678</v>
      </c>
      <c r="D30" s="333" t="str">
        <f>D27</f>
        <v>07</v>
      </c>
      <c r="E30" s="333" t="str">
        <f>E27</f>
        <v>26</v>
      </c>
      <c r="F30" s="99" t="str">
        <f>MID($A$6,4,2)</f>
        <v>G1</v>
      </c>
      <c r="G30" s="99" t="str">
        <f>MID($A$6,6,2)</f>
        <v>G3</v>
      </c>
      <c r="N30" s="8"/>
      <c r="P30" s="21" t="str">
        <f>MID(H28,3,1)</f>
        <v>0</v>
      </c>
      <c r="Q30" s="26" t="str">
        <f t="shared" si="26"/>
        <v>0</v>
      </c>
      <c r="R30" s="7" t="s">
        <v>69</v>
      </c>
      <c r="S30" s="8" t="s">
        <v>66</v>
      </c>
      <c r="T30" s="21" t="str">
        <f>MID(I28,3,1)</f>
        <v>0</v>
      </c>
      <c r="U30" s="26" t="str">
        <f t="shared" si="27"/>
        <v>0</v>
      </c>
      <c r="V30" s="7" t="s">
        <v>69</v>
      </c>
      <c r="W30" s="8" t="s">
        <v>66</v>
      </c>
      <c r="X30" s="21" t="str">
        <f>MID(J28,3,1)</f>
        <v>0</v>
      </c>
      <c r="Y30" s="26" t="str">
        <f t="shared" si="28"/>
        <v>0</v>
      </c>
      <c r="Z30" s="7" t="s">
        <v>69</v>
      </c>
      <c r="AA30" s="8" t="s">
        <v>66</v>
      </c>
      <c r="AB30" s="21" t="str">
        <f>MID(K28,3,1)</f>
        <v>0</v>
      </c>
      <c r="AC30" s="26" t="str">
        <f t="shared" si="29"/>
        <v>0</v>
      </c>
      <c r="AD30" s="7" t="s">
        <v>69</v>
      </c>
      <c r="AE30" s="8" t="s">
        <v>66</v>
      </c>
      <c r="AF30" s="400"/>
      <c r="AG30" s="381"/>
      <c r="AH30" s="381"/>
      <c r="AI30" s="401"/>
    </row>
    <row r="31" spans="3:37" ht="15" thickBot="1" x14ac:dyDescent="0.35">
      <c r="C31" s="7"/>
      <c r="N31" s="8"/>
      <c r="P31" s="21" t="str">
        <f>MID(H28,4,1)</f>
        <v>0</v>
      </c>
      <c r="Q31" s="26" t="str">
        <f t="shared" si="26"/>
        <v>0</v>
      </c>
      <c r="R31" s="7" t="s">
        <v>70</v>
      </c>
      <c r="S31" s="8" t="s">
        <v>66</v>
      </c>
      <c r="T31" s="21" t="str">
        <f>MID(I28,4,1)</f>
        <v>0</v>
      </c>
      <c r="U31" s="26" t="str">
        <f t="shared" si="27"/>
        <v>0</v>
      </c>
      <c r="V31" s="7" t="s">
        <v>70</v>
      </c>
      <c r="W31" s="8" t="s">
        <v>66</v>
      </c>
      <c r="X31" s="21" t="str">
        <f>MID(J28,4,1)</f>
        <v>0</v>
      </c>
      <c r="Y31" s="26" t="str">
        <f t="shared" si="28"/>
        <v>0</v>
      </c>
      <c r="Z31" s="7" t="s">
        <v>70</v>
      </c>
      <c r="AA31" s="8" t="s">
        <v>66</v>
      </c>
      <c r="AB31" s="21" t="str">
        <f>MID(K28,4,1)</f>
        <v>0</v>
      </c>
      <c r="AC31" s="26" t="str">
        <f t="shared" si="29"/>
        <v>0</v>
      </c>
      <c r="AD31" s="7" t="s">
        <v>70</v>
      </c>
      <c r="AE31" s="8" t="s">
        <v>66</v>
      </c>
      <c r="AF31" s="400"/>
      <c r="AG31" s="381"/>
      <c r="AH31" s="381"/>
      <c r="AI31" s="401"/>
    </row>
    <row r="32" spans="3:37" ht="15" thickBot="1" x14ac:dyDescent="0.35">
      <c r="C32" s="7" t="s">
        <v>56</v>
      </c>
      <c r="D32" s="15" t="str">
        <f>D27</f>
        <v>07</v>
      </c>
      <c r="E32" s="16" t="str">
        <f>E27</f>
        <v>26</v>
      </c>
      <c r="F32" s="16" t="str">
        <f>F27</f>
        <v>01</v>
      </c>
      <c r="G32" s="17" t="str">
        <f>G27</f>
        <v>03</v>
      </c>
      <c r="H32" s="23" t="str">
        <f>BIN2HEX(H33,2)</f>
        <v>00</v>
      </c>
      <c r="I32" s="25" t="str">
        <f t="shared" ref="I32:K32" si="30">BIN2HEX(I33,2)</f>
        <v>00</v>
      </c>
      <c r="J32" s="24" t="str">
        <f t="shared" si="30"/>
        <v>00</v>
      </c>
      <c r="K32" s="2" t="str">
        <f t="shared" si="30"/>
        <v>00</v>
      </c>
      <c r="L32" s="3" t="str">
        <f>IF(LEN(L33)&gt;2,MID(L33,2,2),L33)</f>
        <v>31</v>
      </c>
      <c r="N32" s="8" t="s">
        <v>61</v>
      </c>
      <c r="P32" s="21" t="str">
        <f>MID(H28,5,1)</f>
        <v>0</v>
      </c>
      <c r="Q32" s="26" t="str">
        <f t="shared" si="26"/>
        <v>0</v>
      </c>
      <c r="R32" s="7" t="s">
        <v>71</v>
      </c>
      <c r="S32" s="8" t="s">
        <v>66</v>
      </c>
      <c r="T32" s="21" t="str">
        <f>MID(I28,5,1)</f>
        <v>0</v>
      </c>
      <c r="U32" s="26" t="str">
        <f t="shared" si="27"/>
        <v>0</v>
      </c>
      <c r="V32" s="7" t="s">
        <v>71</v>
      </c>
      <c r="W32" s="8" t="s">
        <v>66</v>
      </c>
      <c r="X32" s="21" t="str">
        <f>MID(J28,5,1)</f>
        <v>0</v>
      </c>
      <c r="Y32" s="26" t="str">
        <f t="shared" si="28"/>
        <v>0</v>
      </c>
      <c r="Z32" s="7" t="s">
        <v>71</v>
      </c>
      <c r="AA32" s="8" t="s">
        <v>66</v>
      </c>
      <c r="AB32" s="21" t="str">
        <f>MID(K28,5,1)</f>
        <v>0</v>
      </c>
      <c r="AC32" s="26" t="str">
        <f t="shared" si="29"/>
        <v>0</v>
      </c>
      <c r="AD32" s="7" t="s">
        <v>71</v>
      </c>
      <c r="AE32" s="8" t="s">
        <v>66</v>
      </c>
      <c r="AF32" s="400"/>
      <c r="AG32" s="381"/>
      <c r="AH32" s="381"/>
      <c r="AI32" s="401"/>
    </row>
    <row r="33" spans="3:37" x14ac:dyDescent="0.3">
      <c r="C33" s="7" t="s">
        <v>64</v>
      </c>
      <c r="D33" s="99" t="str">
        <f>HEX2BIN(D32,8)</f>
        <v>00000111</v>
      </c>
      <c r="E33" s="99" t="str">
        <f t="shared" ref="E33:G33" si="31">HEX2BIN(E32,8)</f>
        <v>00100110</v>
      </c>
      <c r="F33" s="99" t="str">
        <f t="shared" si="31"/>
        <v>00000001</v>
      </c>
      <c r="G33" s="99" t="str">
        <f t="shared" si="31"/>
        <v>00000011</v>
      </c>
      <c r="H33" s="29" t="str">
        <f>Q28&amp;Q29&amp;Q30&amp;Q31&amp;Q32&amp;Q33&amp;Q34&amp;Q35</f>
        <v>00000000</v>
      </c>
      <c r="I33" s="99" t="str">
        <f>U28&amp;U29&amp;U30&amp;U31&amp;U32&amp;U33&amp;U34&amp;U35</f>
        <v>00000000</v>
      </c>
      <c r="J33" s="29" t="str">
        <f>Y28&amp;Y29&amp;Y30&amp;Y31&amp;Y32&amp;Y33&amp;Y34&amp;Y35</f>
        <v>00000000</v>
      </c>
      <c r="K33" s="29" t="str">
        <f>AC28&amp;AC29&amp;AC30&amp;AC31&amp;AC32&amp;AC33&amp;AC34&amp;AC35</f>
        <v>00000000</v>
      </c>
      <c r="L33" s="99" t="str">
        <f>DEC2HEX(L34)</f>
        <v>31</v>
      </c>
      <c r="N33" s="8"/>
      <c r="P33" s="21" t="str">
        <f>MID(H28,6,1)</f>
        <v>0</v>
      </c>
      <c r="Q33" s="26" t="str">
        <f t="shared" si="26"/>
        <v>0</v>
      </c>
      <c r="R33" s="7" t="s">
        <v>72</v>
      </c>
      <c r="S33" s="8" t="s">
        <v>66</v>
      </c>
      <c r="T33" s="21" t="str">
        <f>MID(I28,6,1)</f>
        <v>0</v>
      </c>
      <c r="U33" s="26" t="str">
        <f t="shared" si="27"/>
        <v>0</v>
      </c>
      <c r="V33" s="7" t="s">
        <v>72</v>
      </c>
      <c r="W33" s="8" t="s">
        <v>66</v>
      </c>
      <c r="X33" s="21" t="str">
        <f>MID(J28,6,1)</f>
        <v>0</v>
      </c>
      <c r="Y33" s="26" t="str">
        <f t="shared" si="28"/>
        <v>0</v>
      </c>
      <c r="Z33" s="7" t="s">
        <v>72</v>
      </c>
      <c r="AA33" s="8" t="s">
        <v>66</v>
      </c>
      <c r="AB33" s="21" t="str">
        <f>MID(K28,6,1)</f>
        <v>0</v>
      </c>
      <c r="AC33" s="26" t="str">
        <f t="shared" si="29"/>
        <v>0</v>
      </c>
      <c r="AD33" s="7" t="s">
        <v>72</v>
      </c>
      <c r="AE33" s="8" t="s">
        <v>66</v>
      </c>
      <c r="AF33" s="400"/>
      <c r="AG33" s="381"/>
      <c r="AH33" s="381"/>
      <c r="AI33" s="401"/>
    </row>
    <row r="34" spans="3:37" x14ac:dyDescent="0.3">
      <c r="C34" s="7" t="s">
        <v>67</v>
      </c>
      <c r="D34" s="99">
        <f>HEX2DEC(D32)</f>
        <v>7</v>
      </c>
      <c r="E34" s="99">
        <f t="shared" ref="E34:K34" si="32">HEX2DEC(E32)</f>
        <v>38</v>
      </c>
      <c r="F34" s="99">
        <f t="shared" si="32"/>
        <v>1</v>
      </c>
      <c r="G34" s="99">
        <f t="shared" si="32"/>
        <v>3</v>
      </c>
      <c r="H34" s="99">
        <f t="shared" si="32"/>
        <v>0</v>
      </c>
      <c r="I34" s="99">
        <f t="shared" si="32"/>
        <v>0</v>
      </c>
      <c r="J34" s="99">
        <f t="shared" si="32"/>
        <v>0</v>
      </c>
      <c r="K34" s="99">
        <f t="shared" si="32"/>
        <v>0</v>
      </c>
      <c r="L34" s="99">
        <f>SUM(D34:K34)</f>
        <v>49</v>
      </c>
      <c r="N34" s="8"/>
      <c r="P34" s="21" t="str">
        <f>MID(H28,7,1)</f>
        <v>0</v>
      </c>
      <c r="Q34" s="26" t="str">
        <f t="shared" si="26"/>
        <v>0</v>
      </c>
      <c r="R34" s="7" t="s">
        <v>73</v>
      </c>
      <c r="S34" s="8" t="s">
        <v>66</v>
      </c>
      <c r="T34" s="21" t="str">
        <f>MID(I28,7,1)</f>
        <v>0</v>
      </c>
      <c r="U34" s="26" t="str">
        <f t="shared" si="27"/>
        <v>0</v>
      </c>
      <c r="V34" s="7" t="s">
        <v>73</v>
      </c>
      <c r="W34" s="8" t="s">
        <v>66</v>
      </c>
      <c r="X34" s="21" t="str">
        <f>MID(J28,7,1)</f>
        <v>0</v>
      </c>
      <c r="Y34" s="26" t="str">
        <f t="shared" si="28"/>
        <v>0</v>
      </c>
      <c r="Z34" s="7" t="s">
        <v>73</v>
      </c>
      <c r="AA34" s="8" t="s">
        <v>66</v>
      </c>
      <c r="AB34" s="21" t="str">
        <f>MID(K28,7,1)</f>
        <v>0</v>
      </c>
      <c r="AC34" s="26" t="str">
        <f t="shared" si="29"/>
        <v>0</v>
      </c>
      <c r="AD34" s="7" t="s">
        <v>73</v>
      </c>
      <c r="AE34" s="8" t="s">
        <v>66</v>
      </c>
      <c r="AF34" s="400"/>
      <c r="AG34" s="381"/>
      <c r="AH34" s="381"/>
      <c r="AI34" s="401"/>
    </row>
    <row r="35" spans="3:37" ht="15" thickBot="1" x14ac:dyDescent="0.35">
      <c r="C35" s="9" t="s">
        <v>1678</v>
      </c>
      <c r="D35" s="335" t="str">
        <f>D30</f>
        <v>07</v>
      </c>
      <c r="E35" s="335" t="str">
        <f t="shared" ref="E35:G35" si="33">E30</f>
        <v>26</v>
      </c>
      <c r="F35" s="335" t="str">
        <f t="shared" si="33"/>
        <v>G1</v>
      </c>
      <c r="G35" s="335" t="str">
        <f t="shared" si="33"/>
        <v>G3</v>
      </c>
      <c r="H35" s="10"/>
      <c r="I35" s="10"/>
      <c r="J35" s="10"/>
      <c r="K35" s="10"/>
      <c r="L35" s="10"/>
      <c r="M35" s="10"/>
      <c r="N35" s="11"/>
      <c r="P35" s="22" t="str">
        <f>MID(H28,8,1)</f>
        <v>0</v>
      </c>
      <c r="Q35" s="26" t="str">
        <f t="shared" si="26"/>
        <v>0</v>
      </c>
      <c r="R35" s="9" t="s">
        <v>74</v>
      </c>
      <c r="S35" s="11" t="s">
        <v>66</v>
      </c>
      <c r="T35" s="22" t="str">
        <f>MID(I28,8,1)</f>
        <v>0</v>
      </c>
      <c r="U35" s="26" t="str">
        <f t="shared" si="27"/>
        <v>0</v>
      </c>
      <c r="V35" s="9" t="s">
        <v>74</v>
      </c>
      <c r="W35" s="11" t="s">
        <v>66</v>
      </c>
      <c r="X35" s="22" t="str">
        <f>MID(J28,8,1)</f>
        <v>0</v>
      </c>
      <c r="Y35" s="26" t="str">
        <f t="shared" si="28"/>
        <v>0</v>
      </c>
      <c r="Z35" s="9" t="s">
        <v>74</v>
      </c>
      <c r="AA35" s="11" t="s">
        <v>66</v>
      </c>
      <c r="AB35" s="22" t="str">
        <f>MID(K28,8,1)</f>
        <v>0</v>
      </c>
      <c r="AC35" s="26" t="str">
        <f t="shared" si="29"/>
        <v>0</v>
      </c>
      <c r="AD35" s="9" t="s">
        <v>74</v>
      </c>
      <c r="AE35" s="11" t="s">
        <v>66</v>
      </c>
      <c r="AF35" s="402"/>
      <c r="AG35" s="403"/>
      <c r="AH35" s="403"/>
      <c r="AI35" s="404"/>
    </row>
    <row r="36" spans="3:37" ht="15" thickBot="1" x14ac:dyDescent="0.35">
      <c r="C36" s="4"/>
      <c r="D36" s="5"/>
      <c r="E36" s="5"/>
      <c r="F36" s="5"/>
      <c r="G36" s="5"/>
      <c r="H36" s="5"/>
      <c r="I36" s="5" t="s">
        <v>41</v>
      </c>
      <c r="J36" s="5"/>
      <c r="K36" s="5"/>
      <c r="L36" s="5"/>
      <c r="N36" s="6"/>
      <c r="P36" s="392" t="s">
        <v>106</v>
      </c>
      <c r="Q36" s="392"/>
      <c r="R36" s="392"/>
      <c r="S36" s="392"/>
      <c r="T36" s="392"/>
      <c r="U36" s="392"/>
      <c r="V36" s="392"/>
      <c r="W36" s="392"/>
      <c r="X36" s="1"/>
      <c r="Y36" s="1"/>
      <c r="Z36" s="1"/>
      <c r="AA36" s="1"/>
      <c r="AB36" s="1"/>
      <c r="AC36" s="1"/>
      <c r="AD36" s="1"/>
      <c r="AE36" s="1"/>
      <c r="AF36" s="1"/>
      <c r="AG36" s="1"/>
      <c r="AH36" s="1"/>
      <c r="AI36" s="1"/>
      <c r="AJ36" s="1"/>
      <c r="AK36" s="1"/>
    </row>
    <row r="37" spans="3:37" ht="15" thickBot="1" x14ac:dyDescent="0.35">
      <c r="C37" s="7"/>
      <c r="D37" s="393" t="s">
        <v>1523</v>
      </c>
      <c r="E37" s="393"/>
      <c r="F37" s="393"/>
      <c r="G37" s="393"/>
      <c r="H37" s="99" t="s">
        <v>44</v>
      </c>
      <c r="I37" s="99" t="s">
        <v>45</v>
      </c>
      <c r="N37" s="8"/>
      <c r="P37" s="394" t="s">
        <v>50</v>
      </c>
      <c r="Q37" s="395"/>
      <c r="R37" s="395"/>
      <c r="S37" s="396"/>
      <c r="T37" s="406" t="s">
        <v>107</v>
      </c>
      <c r="U37" s="407"/>
      <c r="V37" s="407"/>
      <c r="W37" s="408"/>
      <c r="X37" s="7"/>
    </row>
    <row r="38" spans="3:37" ht="15" thickBot="1" x14ac:dyDescent="0.35">
      <c r="C38" s="7" t="s">
        <v>56</v>
      </c>
      <c r="D38" s="12" t="s">
        <v>57</v>
      </c>
      <c r="E38" s="13" t="s">
        <v>100</v>
      </c>
      <c r="F38" s="13" t="s">
        <v>77</v>
      </c>
      <c r="G38" s="14" t="s">
        <v>59</v>
      </c>
      <c r="H38" s="321" t="str">
        <f>MID($A$8,8,2)</f>
        <v>00</v>
      </c>
      <c r="I38" s="319" t="str">
        <f>MID($A$8,10,2)</f>
        <v>30</v>
      </c>
      <c r="N38" s="8" t="s">
        <v>60</v>
      </c>
      <c r="P38" s="19" t="s">
        <v>60</v>
      </c>
      <c r="Q38" s="20" t="s">
        <v>61</v>
      </c>
      <c r="R38" t="s">
        <v>62</v>
      </c>
      <c r="S38" s="8"/>
      <c r="T38" s="400" t="s">
        <v>63</v>
      </c>
      <c r="U38" s="381"/>
      <c r="V38" s="381"/>
      <c r="W38" s="401"/>
      <c r="X38" s="7"/>
    </row>
    <row r="39" spans="3:37" ht="15" customHeight="1" x14ac:dyDescent="0.3">
      <c r="C39" s="7" t="s">
        <v>64</v>
      </c>
      <c r="D39" s="99" t="str">
        <f>HEX2BIN(D38,8)</f>
        <v>00000111</v>
      </c>
      <c r="E39" s="99" t="str">
        <f t="shared" ref="E39:H39" si="34">HEX2BIN(E38,8)</f>
        <v>00100110</v>
      </c>
      <c r="F39" s="99" t="str">
        <f t="shared" si="34"/>
        <v>00000010</v>
      </c>
      <c r="G39" s="99" t="str">
        <f t="shared" si="34"/>
        <v>00000001</v>
      </c>
      <c r="H39" s="99" t="str">
        <f t="shared" si="34"/>
        <v>00000000</v>
      </c>
      <c r="N39" s="8"/>
      <c r="P39" s="21" t="str">
        <f>MID(H39,1,1)</f>
        <v>0</v>
      </c>
      <c r="Q39" s="26" t="str">
        <f>P39</f>
        <v>0</v>
      </c>
      <c r="R39" s="7" t="s">
        <v>65</v>
      </c>
      <c r="S39" s="8" t="s">
        <v>66</v>
      </c>
      <c r="T39" s="400"/>
      <c r="U39" s="381"/>
      <c r="V39" s="381"/>
      <c r="W39" s="401"/>
      <c r="X39" s="7"/>
    </row>
    <row r="40" spans="3:37" x14ac:dyDescent="0.3">
      <c r="C40" s="7" t="s">
        <v>67</v>
      </c>
      <c r="D40" s="99">
        <f>HEX2DEC(D38)</f>
        <v>7</v>
      </c>
      <c r="E40" s="99">
        <f t="shared" ref="E40:H40" si="35">HEX2DEC(E38)</f>
        <v>38</v>
      </c>
      <c r="F40" s="99">
        <f t="shared" si="35"/>
        <v>2</v>
      </c>
      <c r="G40" s="99">
        <f t="shared" si="35"/>
        <v>1</v>
      </c>
      <c r="H40" s="99">
        <f t="shared" si="35"/>
        <v>0</v>
      </c>
      <c r="I40" s="99">
        <f>SUM(D40:H40)</f>
        <v>48</v>
      </c>
      <c r="N40" s="8"/>
      <c r="P40" s="21" t="str">
        <f>MID(H39,2,1)</f>
        <v>0</v>
      </c>
      <c r="Q40" s="26" t="str">
        <f t="shared" ref="Q40:Q46" si="36">P40</f>
        <v>0</v>
      </c>
      <c r="R40" s="7" t="s">
        <v>68</v>
      </c>
      <c r="S40" s="8" t="s">
        <v>66</v>
      </c>
      <c r="T40" s="400"/>
      <c r="U40" s="381"/>
      <c r="V40" s="381"/>
      <c r="W40" s="401"/>
      <c r="X40" s="7"/>
    </row>
    <row r="41" spans="3:37" x14ac:dyDescent="0.3">
      <c r="C41" s="7" t="s">
        <v>1678</v>
      </c>
      <c r="D41" s="333" t="str">
        <f>D38</f>
        <v>07</v>
      </c>
      <c r="E41" s="333" t="str">
        <f>E38</f>
        <v>26</v>
      </c>
      <c r="F41" s="99" t="str">
        <f>MID($A$8,4,2)</f>
        <v>G2</v>
      </c>
      <c r="G41" s="99" t="str">
        <f>MID($A$8,6,2)</f>
        <v>G1</v>
      </c>
      <c r="N41" s="8"/>
      <c r="P41" s="21" t="str">
        <f>MID(H39,3,1)</f>
        <v>0</v>
      </c>
      <c r="Q41" s="26" t="str">
        <f t="shared" si="36"/>
        <v>0</v>
      </c>
      <c r="R41" s="7" t="s">
        <v>69</v>
      </c>
      <c r="S41" s="8" t="s">
        <v>66</v>
      </c>
      <c r="T41" s="400"/>
      <c r="U41" s="381"/>
      <c r="V41" s="381"/>
      <c r="W41" s="401"/>
      <c r="X41" s="7"/>
    </row>
    <row r="42" spans="3:37" ht="15.75" customHeight="1" thickBot="1" x14ac:dyDescent="0.35">
      <c r="C42" s="7"/>
      <c r="N42" s="8"/>
      <c r="P42" s="21" t="str">
        <f>MID(H39,4,1)</f>
        <v>0</v>
      </c>
      <c r="Q42" s="26" t="str">
        <f t="shared" si="36"/>
        <v>0</v>
      </c>
      <c r="R42" s="7" t="s">
        <v>70</v>
      </c>
      <c r="S42" s="8" t="s">
        <v>66</v>
      </c>
      <c r="T42" s="400"/>
      <c r="U42" s="381"/>
      <c r="V42" s="381"/>
      <c r="W42" s="401"/>
      <c r="X42" s="7"/>
    </row>
    <row r="43" spans="3:37" ht="15" thickBot="1" x14ac:dyDescent="0.35">
      <c r="C43" s="7" t="s">
        <v>56</v>
      </c>
      <c r="D43" s="15" t="str">
        <f t="shared" ref="D43:G43" si="37">D38</f>
        <v>07</v>
      </c>
      <c r="E43" s="16" t="str">
        <f t="shared" si="37"/>
        <v>26</v>
      </c>
      <c r="F43" s="16" t="str">
        <f t="shared" si="37"/>
        <v>02</v>
      </c>
      <c r="G43" s="17" t="str">
        <f t="shared" si="37"/>
        <v>01</v>
      </c>
      <c r="H43" s="23" t="str">
        <f>BIN2HEX(H44,2)</f>
        <v>00</v>
      </c>
      <c r="I43" s="312" t="str">
        <f>IF(LEN(I44)&gt;2,MID(I44,2,2),I44)</f>
        <v>30</v>
      </c>
      <c r="N43" s="8" t="s">
        <v>61</v>
      </c>
      <c r="P43" s="21" t="str">
        <f>MID(H39,5,1)</f>
        <v>0</v>
      </c>
      <c r="Q43" s="26" t="str">
        <f t="shared" si="36"/>
        <v>0</v>
      </c>
      <c r="R43" s="7" t="s">
        <v>71</v>
      </c>
      <c r="S43" s="8" t="s">
        <v>66</v>
      </c>
      <c r="T43" s="400"/>
      <c r="U43" s="381"/>
      <c r="V43" s="381"/>
      <c r="W43" s="401"/>
      <c r="X43" s="7"/>
    </row>
    <row r="44" spans="3:37" x14ac:dyDescent="0.3">
      <c r="C44" s="7" t="s">
        <v>64</v>
      </c>
      <c r="D44" s="99" t="str">
        <f>HEX2BIN(D43,8)</f>
        <v>00000111</v>
      </c>
      <c r="E44" s="99" t="str">
        <f t="shared" ref="E44:G44" si="38">HEX2BIN(E43,8)</f>
        <v>00100110</v>
      </c>
      <c r="F44" s="99" t="str">
        <f t="shared" si="38"/>
        <v>00000010</v>
      </c>
      <c r="G44" s="99" t="str">
        <f t="shared" si="38"/>
        <v>00000001</v>
      </c>
      <c r="H44" s="29" t="str">
        <f>Q39&amp;Q40&amp;Q41&amp;Q42&amp;Q43&amp;Q44&amp;Q45&amp;Q46</f>
        <v>00000000</v>
      </c>
      <c r="I44" s="99" t="str">
        <f>DEC2HEX(I45)</f>
        <v>30</v>
      </c>
      <c r="N44" s="8"/>
      <c r="P44" s="21" t="str">
        <f>MID(H39,6,1)</f>
        <v>0</v>
      </c>
      <c r="Q44" s="26" t="str">
        <f t="shared" si="36"/>
        <v>0</v>
      </c>
      <c r="R44" s="7" t="s">
        <v>72</v>
      </c>
      <c r="S44" s="8" t="s">
        <v>66</v>
      </c>
      <c r="T44" s="400"/>
      <c r="U44" s="381"/>
      <c r="V44" s="381"/>
      <c r="W44" s="401"/>
      <c r="X44" s="7"/>
    </row>
    <row r="45" spans="3:37" x14ac:dyDescent="0.3">
      <c r="C45" s="7" t="s">
        <v>67</v>
      </c>
      <c r="D45" s="99">
        <f>HEX2DEC(D43)</f>
        <v>7</v>
      </c>
      <c r="E45" s="99">
        <f t="shared" ref="E45:H45" si="39">HEX2DEC(E43)</f>
        <v>38</v>
      </c>
      <c r="F45" s="99">
        <f t="shared" si="39"/>
        <v>2</v>
      </c>
      <c r="G45" s="99">
        <f t="shared" si="39"/>
        <v>1</v>
      </c>
      <c r="H45" s="99">
        <f t="shared" si="39"/>
        <v>0</v>
      </c>
      <c r="I45" s="99">
        <f>SUM(D45:H45)</f>
        <v>48</v>
      </c>
      <c r="J45" s="99"/>
      <c r="K45" s="99"/>
      <c r="L45" s="99"/>
      <c r="N45" s="8"/>
      <c r="P45" s="21" t="str">
        <f>MID(H39,7,1)</f>
        <v>0</v>
      </c>
      <c r="Q45" s="26" t="str">
        <f t="shared" si="36"/>
        <v>0</v>
      </c>
      <c r="R45" s="7" t="s">
        <v>73</v>
      </c>
      <c r="S45" s="8" t="s">
        <v>66</v>
      </c>
      <c r="T45" s="400"/>
      <c r="U45" s="381"/>
      <c r="V45" s="381"/>
      <c r="W45" s="401"/>
      <c r="X45" s="7"/>
    </row>
    <row r="46" spans="3:37" ht="15" thickBot="1" x14ac:dyDescent="0.35">
      <c r="C46" s="9" t="s">
        <v>1678</v>
      </c>
      <c r="D46" s="335" t="str">
        <f>D41</f>
        <v>07</v>
      </c>
      <c r="E46" s="335" t="str">
        <f t="shared" ref="E46:G46" si="40">E41</f>
        <v>26</v>
      </c>
      <c r="F46" s="335" t="str">
        <f t="shared" si="40"/>
        <v>G2</v>
      </c>
      <c r="G46" s="335" t="str">
        <f t="shared" si="40"/>
        <v>G1</v>
      </c>
      <c r="H46" s="10"/>
      <c r="I46" s="10"/>
      <c r="J46" s="10"/>
      <c r="K46" s="10"/>
      <c r="L46" s="10"/>
      <c r="M46" s="10"/>
      <c r="N46" s="11"/>
      <c r="P46" s="22" t="str">
        <f>MID(H39,8,1)</f>
        <v>0</v>
      </c>
      <c r="Q46" s="26" t="str">
        <f t="shared" si="36"/>
        <v>0</v>
      </c>
      <c r="R46" s="9" t="s">
        <v>74</v>
      </c>
      <c r="S46" s="11" t="s">
        <v>66</v>
      </c>
      <c r="T46" s="402"/>
      <c r="U46" s="403"/>
      <c r="V46" s="403"/>
      <c r="W46" s="404"/>
      <c r="X46" s="7"/>
    </row>
    <row r="47" spans="3:37" ht="15" thickBot="1" x14ac:dyDescent="0.35">
      <c r="C47" s="4"/>
      <c r="D47" s="5"/>
      <c r="E47" s="5"/>
      <c r="F47" s="5"/>
      <c r="G47" s="5"/>
      <c r="H47" s="5"/>
      <c r="I47" s="5" t="s">
        <v>41</v>
      </c>
      <c r="J47" s="5"/>
      <c r="K47" s="5"/>
      <c r="L47" s="5"/>
      <c r="N47" s="6"/>
      <c r="P47" s="392" t="s">
        <v>108</v>
      </c>
      <c r="Q47" s="392"/>
      <c r="R47" s="392"/>
      <c r="S47" s="392"/>
      <c r="T47" s="392"/>
      <c r="U47" s="392"/>
      <c r="V47" s="392"/>
      <c r="W47" s="392"/>
    </row>
    <row r="48" spans="3:37" ht="15" thickBot="1" x14ac:dyDescent="0.35">
      <c r="C48" s="7"/>
      <c r="D48" s="393" t="s">
        <v>1524</v>
      </c>
      <c r="E48" s="393"/>
      <c r="F48" s="393"/>
      <c r="G48" s="393"/>
      <c r="H48" s="99" t="s">
        <v>44</v>
      </c>
      <c r="I48" s="99" t="s">
        <v>45</v>
      </c>
      <c r="N48" s="8"/>
      <c r="P48" s="394" t="s">
        <v>50</v>
      </c>
      <c r="Q48" s="395"/>
      <c r="R48" s="395"/>
      <c r="S48" s="396"/>
      <c r="T48" s="406" t="s">
        <v>109</v>
      </c>
      <c r="U48" s="407"/>
      <c r="V48" s="407"/>
      <c r="W48" s="408"/>
    </row>
    <row r="49" spans="3:23" ht="15" thickBot="1" x14ac:dyDescent="0.35">
      <c r="C49" s="7" t="s">
        <v>56</v>
      </c>
      <c r="D49" s="12" t="s">
        <v>57</v>
      </c>
      <c r="E49" s="13" t="s">
        <v>100</v>
      </c>
      <c r="F49" s="13" t="s">
        <v>93</v>
      </c>
      <c r="G49" s="14" t="s">
        <v>59</v>
      </c>
      <c r="H49" s="321" t="str">
        <f>MID($A$10,8,2)</f>
        <v>00</v>
      </c>
      <c r="I49" s="319" t="str">
        <f>MID($A$10,10,2)</f>
        <v>31</v>
      </c>
      <c r="N49" s="8" t="s">
        <v>60</v>
      </c>
      <c r="P49" s="19" t="s">
        <v>60</v>
      </c>
      <c r="Q49" s="20" t="s">
        <v>61</v>
      </c>
      <c r="R49" t="s">
        <v>62</v>
      </c>
      <c r="S49" s="8"/>
      <c r="T49" s="400" t="s">
        <v>63</v>
      </c>
      <c r="U49" s="381"/>
      <c r="V49" s="381"/>
      <c r="W49" s="401"/>
    </row>
    <row r="50" spans="3:23" x14ac:dyDescent="0.3">
      <c r="C50" s="7" t="s">
        <v>64</v>
      </c>
      <c r="D50" s="99" t="str">
        <f>HEX2BIN(D49,8)</f>
        <v>00000111</v>
      </c>
      <c r="E50" s="99" t="str">
        <f t="shared" ref="E50:H50" si="41">HEX2BIN(E49,8)</f>
        <v>00100110</v>
      </c>
      <c r="F50" s="99" t="str">
        <f t="shared" si="41"/>
        <v>00000011</v>
      </c>
      <c r="G50" s="99" t="str">
        <f t="shared" si="41"/>
        <v>00000001</v>
      </c>
      <c r="H50" s="99" t="str">
        <f t="shared" si="41"/>
        <v>00000000</v>
      </c>
      <c r="N50" s="8"/>
      <c r="P50" s="21" t="str">
        <f>MID(H50,1,1)</f>
        <v>0</v>
      </c>
      <c r="Q50" s="26" t="str">
        <f>P50</f>
        <v>0</v>
      </c>
      <c r="R50" s="7" t="s">
        <v>65</v>
      </c>
      <c r="S50" s="8" t="s">
        <v>66</v>
      </c>
      <c r="T50" s="400"/>
      <c r="U50" s="381"/>
      <c r="V50" s="381"/>
      <c r="W50" s="401"/>
    </row>
    <row r="51" spans="3:23" x14ac:dyDescent="0.3">
      <c r="C51" s="7" t="s">
        <v>67</v>
      </c>
      <c r="D51" s="99">
        <f>HEX2DEC(D49)</f>
        <v>7</v>
      </c>
      <c r="E51" s="99">
        <f t="shared" ref="E51:H51" si="42">HEX2DEC(E49)</f>
        <v>38</v>
      </c>
      <c r="F51" s="99">
        <f t="shared" si="42"/>
        <v>3</v>
      </c>
      <c r="G51" s="99">
        <f t="shared" si="42"/>
        <v>1</v>
      </c>
      <c r="H51" s="99">
        <f t="shared" si="42"/>
        <v>0</v>
      </c>
      <c r="I51" s="99">
        <f>SUM(D51:H51)</f>
        <v>49</v>
      </c>
      <c r="N51" s="8"/>
      <c r="P51" s="21" t="str">
        <f>MID(H50,2,1)</f>
        <v>0</v>
      </c>
      <c r="Q51" s="26" t="str">
        <f t="shared" ref="Q51:Q57" si="43">P51</f>
        <v>0</v>
      </c>
      <c r="R51" s="7" t="s">
        <v>68</v>
      </c>
      <c r="S51" s="8" t="s">
        <v>66</v>
      </c>
      <c r="T51" s="400"/>
      <c r="U51" s="381"/>
      <c r="V51" s="381"/>
      <c r="W51" s="401"/>
    </row>
    <row r="52" spans="3:23" x14ac:dyDescent="0.3">
      <c r="C52" s="7" t="s">
        <v>1678</v>
      </c>
      <c r="D52" s="333" t="str">
        <f>D49</f>
        <v>07</v>
      </c>
      <c r="E52" s="333" t="str">
        <f>E49</f>
        <v>26</v>
      </c>
      <c r="F52" s="99" t="str">
        <f>MID($A$10,4,2)</f>
        <v>G3</v>
      </c>
      <c r="G52" s="99" t="str">
        <f>MID($A$10,6,2)</f>
        <v>G1</v>
      </c>
      <c r="N52" s="8"/>
      <c r="P52" s="21" t="str">
        <f>MID(H50,3,1)</f>
        <v>0</v>
      </c>
      <c r="Q52" s="26" t="str">
        <f t="shared" si="43"/>
        <v>0</v>
      </c>
      <c r="R52" s="7" t="s">
        <v>69</v>
      </c>
      <c r="S52" s="8" t="s">
        <v>66</v>
      </c>
      <c r="T52" s="400"/>
      <c r="U52" s="381"/>
      <c r="V52" s="381"/>
      <c r="W52" s="401"/>
    </row>
    <row r="53" spans="3:23" ht="15" thickBot="1" x14ac:dyDescent="0.35">
      <c r="C53" s="7"/>
      <c r="N53" s="8"/>
      <c r="P53" s="21" t="str">
        <f>MID(H50,4,1)</f>
        <v>0</v>
      </c>
      <c r="Q53" s="26" t="str">
        <f t="shared" si="43"/>
        <v>0</v>
      </c>
      <c r="R53" s="7" t="s">
        <v>70</v>
      </c>
      <c r="S53" s="8" t="s">
        <v>66</v>
      </c>
      <c r="T53" s="400"/>
      <c r="U53" s="381"/>
      <c r="V53" s="381"/>
      <c r="W53" s="401"/>
    </row>
    <row r="54" spans="3:23" ht="15" thickBot="1" x14ac:dyDescent="0.35">
      <c r="C54" s="7" t="s">
        <v>56</v>
      </c>
      <c r="D54" s="15" t="str">
        <f t="shared" ref="D54:G54" si="44">D49</f>
        <v>07</v>
      </c>
      <c r="E54" s="16" t="str">
        <f t="shared" si="44"/>
        <v>26</v>
      </c>
      <c r="F54" s="16" t="str">
        <f t="shared" si="44"/>
        <v>03</v>
      </c>
      <c r="G54" s="17" t="str">
        <f t="shared" si="44"/>
        <v>01</v>
      </c>
      <c r="H54" s="23" t="str">
        <f>BIN2HEX(H55,2)</f>
        <v>00</v>
      </c>
      <c r="I54" s="312" t="str">
        <f>IF(LEN(I55)&gt;2,MID(I55,2,2),I55)</f>
        <v>31</v>
      </c>
      <c r="N54" s="8" t="s">
        <v>61</v>
      </c>
      <c r="P54" s="21" t="str">
        <f>MID(H50,5,1)</f>
        <v>0</v>
      </c>
      <c r="Q54" s="26" t="str">
        <f t="shared" si="43"/>
        <v>0</v>
      </c>
      <c r="R54" s="7" t="s">
        <v>71</v>
      </c>
      <c r="S54" s="8" t="s">
        <v>66</v>
      </c>
      <c r="T54" s="400"/>
      <c r="U54" s="381"/>
      <c r="V54" s="381"/>
      <c r="W54" s="401"/>
    </row>
    <row r="55" spans="3:23" x14ac:dyDescent="0.3">
      <c r="C55" s="7" t="s">
        <v>64</v>
      </c>
      <c r="D55" s="99" t="str">
        <f>HEX2BIN(D54,8)</f>
        <v>00000111</v>
      </c>
      <c r="E55" s="99" t="str">
        <f t="shared" ref="E55:G55" si="45">HEX2BIN(E54,8)</f>
        <v>00100110</v>
      </c>
      <c r="F55" s="99" t="str">
        <f t="shared" si="45"/>
        <v>00000011</v>
      </c>
      <c r="G55" s="99" t="str">
        <f t="shared" si="45"/>
        <v>00000001</v>
      </c>
      <c r="H55" s="29" t="str">
        <f>Q50&amp;Q51&amp;Q52&amp;Q53&amp;Q54&amp;Q55&amp;Q56&amp;Q57</f>
        <v>00000000</v>
      </c>
      <c r="I55" s="99" t="str">
        <f>DEC2HEX(I56)</f>
        <v>31</v>
      </c>
      <c r="N55" s="8"/>
      <c r="P55" s="21" t="str">
        <f>MID(H50,6,1)</f>
        <v>0</v>
      </c>
      <c r="Q55" s="26" t="str">
        <f t="shared" si="43"/>
        <v>0</v>
      </c>
      <c r="R55" s="7" t="s">
        <v>72</v>
      </c>
      <c r="S55" s="8" t="s">
        <v>66</v>
      </c>
      <c r="T55" s="400"/>
      <c r="U55" s="381"/>
      <c r="V55" s="381"/>
      <c r="W55" s="401"/>
    </row>
    <row r="56" spans="3:23" x14ac:dyDescent="0.3">
      <c r="C56" s="7" t="s">
        <v>67</v>
      </c>
      <c r="D56" s="99">
        <f>HEX2DEC(D54)</f>
        <v>7</v>
      </c>
      <c r="E56" s="99">
        <f t="shared" ref="E56:H56" si="46">HEX2DEC(E54)</f>
        <v>38</v>
      </c>
      <c r="F56" s="99">
        <f t="shared" si="46"/>
        <v>3</v>
      </c>
      <c r="G56" s="99">
        <f t="shared" si="46"/>
        <v>1</v>
      </c>
      <c r="H56" s="99">
        <f t="shared" si="46"/>
        <v>0</v>
      </c>
      <c r="I56" s="99">
        <f>SUM(D56:H56)</f>
        <v>49</v>
      </c>
      <c r="J56" s="99"/>
      <c r="K56" s="99"/>
      <c r="L56" s="99"/>
      <c r="N56" s="8"/>
      <c r="P56" s="21" t="str">
        <f>MID(H50,7,1)</f>
        <v>0</v>
      </c>
      <c r="Q56" s="26" t="str">
        <f t="shared" si="43"/>
        <v>0</v>
      </c>
      <c r="R56" s="7" t="s">
        <v>73</v>
      </c>
      <c r="S56" s="8" t="s">
        <v>66</v>
      </c>
      <c r="T56" s="400"/>
      <c r="U56" s="381"/>
      <c r="V56" s="381"/>
      <c r="W56" s="401"/>
    </row>
    <row r="57" spans="3:23" ht="15" thickBot="1" x14ac:dyDescent="0.35">
      <c r="C57" s="9" t="s">
        <v>1678</v>
      </c>
      <c r="D57" s="335" t="str">
        <f>D52</f>
        <v>07</v>
      </c>
      <c r="E57" s="335" t="str">
        <f t="shared" ref="E57:G57" si="47">E52</f>
        <v>26</v>
      </c>
      <c r="F57" s="335" t="str">
        <f t="shared" si="47"/>
        <v>G3</v>
      </c>
      <c r="G57" s="335" t="str">
        <f t="shared" si="47"/>
        <v>G1</v>
      </c>
      <c r="H57" s="10"/>
      <c r="I57" s="10"/>
      <c r="J57" s="10"/>
      <c r="K57" s="10"/>
      <c r="L57" s="10"/>
      <c r="M57" s="10"/>
      <c r="N57" s="11"/>
      <c r="P57" s="22" t="str">
        <f>MID(H50,8,1)</f>
        <v>0</v>
      </c>
      <c r="Q57" s="26" t="str">
        <f t="shared" si="43"/>
        <v>0</v>
      </c>
      <c r="R57" s="9" t="s">
        <v>74</v>
      </c>
      <c r="S57" s="11" t="s">
        <v>66</v>
      </c>
      <c r="T57" s="402"/>
      <c r="U57" s="403"/>
      <c r="V57" s="403"/>
      <c r="W57" s="404"/>
    </row>
    <row r="58" spans="3:23" ht="15" thickBot="1" x14ac:dyDescent="0.35">
      <c r="C58" s="4"/>
      <c r="D58" s="5"/>
      <c r="E58" s="5"/>
      <c r="F58" s="5"/>
      <c r="G58" s="5"/>
      <c r="H58" s="5"/>
      <c r="I58" s="5" t="s">
        <v>41</v>
      </c>
      <c r="J58" s="5"/>
      <c r="K58" s="5"/>
      <c r="L58" s="5"/>
      <c r="N58" s="6"/>
      <c r="P58" s="392" t="s">
        <v>110</v>
      </c>
      <c r="Q58" s="392"/>
      <c r="R58" s="392"/>
      <c r="S58" s="392"/>
      <c r="T58" s="392"/>
      <c r="U58" s="392"/>
      <c r="V58" s="392"/>
      <c r="W58" s="392"/>
    </row>
    <row r="59" spans="3:23" ht="15" thickBot="1" x14ac:dyDescent="0.35">
      <c r="C59" s="7"/>
      <c r="D59" s="393" t="s">
        <v>1525</v>
      </c>
      <c r="E59" s="393"/>
      <c r="F59" s="393"/>
      <c r="G59" s="393"/>
      <c r="H59" s="99" t="s">
        <v>44</v>
      </c>
      <c r="I59" s="99" t="s">
        <v>45</v>
      </c>
      <c r="N59" s="8"/>
      <c r="P59" s="394" t="s">
        <v>50</v>
      </c>
      <c r="Q59" s="395"/>
      <c r="R59" s="395"/>
      <c r="S59" s="396"/>
      <c r="T59" s="406" t="s">
        <v>107</v>
      </c>
      <c r="U59" s="407"/>
      <c r="V59" s="407"/>
      <c r="W59" s="408"/>
    </row>
    <row r="60" spans="3:23" ht="15" thickBot="1" x14ac:dyDescent="0.35">
      <c r="C60" s="7" t="s">
        <v>56</v>
      </c>
      <c r="D60" s="12" t="s">
        <v>57</v>
      </c>
      <c r="E60" s="13" t="s">
        <v>100</v>
      </c>
      <c r="F60" s="13" t="s">
        <v>111</v>
      </c>
      <c r="G60" s="14" t="s">
        <v>59</v>
      </c>
      <c r="H60" s="321" t="str">
        <f>MID($A$12,8,2)</f>
        <v>00</v>
      </c>
      <c r="I60" s="319" t="str">
        <f>MID($A$12,10,2)</f>
        <v>32</v>
      </c>
      <c r="N60" s="8" t="s">
        <v>60</v>
      </c>
      <c r="P60" s="19" t="s">
        <v>60</v>
      </c>
      <c r="Q60" s="20" t="s">
        <v>61</v>
      </c>
      <c r="R60" t="s">
        <v>62</v>
      </c>
      <c r="S60" s="8"/>
      <c r="T60" s="400" t="s">
        <v>63</v>
      </c>
      <c r="U60" s="381"/>
      <c r="V60" s="381"/>
      <c r="W60" s="401"/>
    </row>
    <row r="61" spans="3:23" x14ac:dyDescent="0.3">
      <c r="C61" s="7" t="s">
        <v>64</v>
      </c>
      <c r="D61" s="99" t="str">
        <f>HEX2BIN(D60,8)</f>
        <v>00000111</v>
      </c>
      <c r="E61" s="99" t="str">
        <f t="shared" ref="E61:H61" si="48">HEX2BIN(E60,8)</f>
        <v>00100110</v>
      </c>
      <c r="F61" s="99" t="str">
        <f t="shared" si="48"/>
        <v>00000100</v>
      </c>
      <c r="G61" s="99" t="str">
        <f t="shared" si="48"/>
        <v>00000001</v>
      </c>
      <c r="H61" s="99" t="str">
        <f t="shared" si="48"/>
        <v>00000000</v>
      </c>
      <c r="N61" s="8"/>
      <c r="P61" s="21" t="str">
        <f>MID(H61,1,1)</f>
        <v>0</v>
      </c>
      <c r="Q61" s="26" t="str">
        <f>P61</f>
        <v>0</v>
      </c>
      <c r="R61" s="7" t="s">
        <v>65</v>
      </c>
      <c r="S61" s="8" t="s">
        <v>66</v>
      </c>
      <c r="T61" s="400"/>
      <c r="U61" s="381"/>
      <c r="V61" s="381"/>
      <c r="W61" s="401"/>
    </row>
    <row r="62" spans="3:23" x14ac:dyDescent="0.3">
      <c r="C62" s="7" t="s">
        <v>67</v>
      </c>
      <c r="D62" s="99">
        <f>HEX2DEC(D60)</f>
        <v>7</v>
      </c>
      <c r="E62" s="99">
        <f t="shared" ref="E62:H62" si="49">HEX2DEC(E60)</f>
        <v>38</v>
      </c>
      <c r="F62" s="99">
        <f t="shared" si="49"/>
        <v>4</v>
      </c>
      <c r="G62" s="99">
        <f t="shared" si="49"/>
        <v>1</v>
      </c>
      <c r="H62" s="99">
        <f t="shared" si="49"/>
        <v>0</v>
      </c>
      <c r="I62" s="99">
        <f>SUM(D62:H62)</f>
        <v>50</v>
      </c>
      <c r="N62" s="8"/>
      <c r="P62" s="21" t="str">
        <f>MID(H61,2,1)</f>
        <v>0</v>
      </c>
      <c r="Q62" s="26" t="str">
        <f t="shared" ref="Q62:Q68" si="50">P62</f>
        <v>0</v>
      </c>
      <c r="R62" s="7" t="s">
        <v>68</v>
      </c>
      <c r="S62" s="8" t="s">
        <v>66</v>
      </c>
      <c r="T62" s="400"/>
      <c r="U62" s="381"/>
      <c r="V62" s="381"/>
      <c r="W62" s="401"/>
    </row>
    <row r="63" spans="3:23" x14ac:dyDescent="0.3">
      <c r="C63" s="7" t="s">
        <v>1678</v>
      </c>
      <c r="D63" s="333" t="str">
        <f>D60</f>
        <v>07</v>
      </c>
      <c r="E63" s="333" t="str">
        <f>E60</f>
        <v>26</v>
      </c>
      <c r="F63" s="99" t="str">
        <f>MID($A$12,4,2)</f>
        <v>G4</v>
      </c>
      <c r="G63" s="99" t="str">
        <f>MID($A$12,6,2)</f>
        <v>G1</v>
      </c>
      <c r="N63" s="8"/>
      <c r="P63" s="21" t="str">
        <f>MID(H61,3,1)</f>
        <v>0</v>
      </c>
      <c r="Q63" s="26" t="str">
        <f t="shared" si="50"/>
        <v>0</v>
      </c>
      <c r="R63" s="7" t="s">
        <v>69</v>
      </c>
      <c r="S63" s="8" t="s">
        <v>66</v>
      </c>
      <c r="T63" s="400"/>
      <c r="U63" s="381"/>
      <c r="V63" s="381"/>
      <c r="W63" s="401"/>
    </row>
    <row r="64" spans="3:23" ht="15" thickBot="1" x14ac:dyDescent="0.35">
      <c r="C64" s="7"/>
      <c r="N64" s="8"/>
      <c r="P64" s="21" t="str">
        <f>MID(H61,4,1)</f>
        <v>0</v>
      </c>
      <c r="Q64" s="26" t="str">
        <f t="shared" si="50"/>
        <v>0</v>
      </c>
      <c r="R64" s="7" t="s">
        <v>70</v>
      </c>
      <c r="S64" s="8" t="s">
        <v>66</v>
      </c>
      <c r="T64" s="400"/>
      <c r="U64" s="381"/>
      <c r="V64" s="381"/>
      <c r="W64" s="401"/>
    </row>
    <row r="65" spans="3:23" ht="15" thickBot="1" x14ac:dyDescent="0.35">
      <c r="C65" s="7" t="s">
        <v>56</v>
      </c>
      <c r="D65" s="15" t="str">
        <f t="shared" ref="D65:G65" si="51">D60</f>
        <v>07</v>
      </c>
      <c r="E65" s="16" t="str">
        <f t="shared" si="51"/>
        <v>26</v>
      </c>
      <c r="F65" s="16" t="str">
        <f t="shared" si="51"/>
        <v>04</v>
      </c>
      <c r="G65" s="17" t="str">
        <f t="shared" si="51"/>
        <v>01</v>
      </c>
      <c r="H65" s="23" t="str">
        <f>BIN2HEX(H66,2)</f>
        <v>00</v>
      </c>
      <c r="I65" s="312" t="str">
        <f>IF(LEN(I66)&gt;2,MID(I66,2,2),I66)</f>
        <v>32</v>
      </c>
      <c r="N65" s="8" t="s">
        <v>61</v>
      </c>
      <c r="P65" s="21" t="str">
        <f>MID(H61,5,1)</f>
        <v>0</v>
      </c>
      <c r="Q65" s="26" t="str">
        <f t="shared" si="50"/>
        <v>0</v>
      </c>
      <c r="R65" s="7" t="s">
        <v>71</v>
      </c>
      <c r="S65" s="8" t="s">
        <v>66</v>
      </c>
      <c r="T65" s="400"/>
      <c r="U65" s="381"/>
      <c r="V65" s="381"/>
      <c r="W65" s="401"/>
    </row>
    <row r="66" spans="3:23" x14ac:dyDescent="0.3">
      <c r="C66" s="7" t="s">
        <v>64</v>
      </c>
      <c r="D66" s="99" t="str">
        <f>HEX2BIN(D65,8)</f>
        <v>00000111</v>
      </c>
      <c r="E66" s="99" t="str">
        <f t="shared" ref="E66:G66" si="52">HEX2BIN(E65,8)</f>
        <v>00100110</v>
      </c>
      <c r="F66" s="99" t="str">
        <f t="shared" si="52"/>
        <v>00000100</v>
      </c>
      <c r="G66" s="99" t="str">
        <f t="shared" si="52"/>
        <v>00000001</v>
      </c>
      <c r="H66" s="29" t="str">
        <f>Q61&amp;Q62&amp;Q63&amp;Q64&amp;Q65&amp;Q66&amp;Q67&amp;Q68</f>
        <v>00000000</v>
      </c>
      <c r="I66" s="99" t="str">
        <f>DEC2HEX(I67)</f>
        <v>32</v>
      </c>
      <c r="N66" s="8"/>
      <c r="P66" s="21" t="str">
        <f>MID(H61,6,1)</f>
        <v>0</v>
      </c>
      <c r="Q66" s="26" t="str">
        <f t="shared" si="50"/>
        <v>0</v>
      </c>
      <c r="R66" s="7" t="s">
        <v>72</v>
      </c>
      <c r="S66" s="8" t="s">
        <v>66</v>
      </c>
      <c r="T66" s="400"/>
      <c r="U66" s="381"/>
      <c r="V66" s="381"/>
      <c r="W66" s="401"/>
    </row>
    <row r="67" spans="3:23" x14ac:dyDescent="0.3">
      <c r="C67" s="7" t="s">
        <v>67</v>
      </c>
      <c r="D67" s="99">
        <f>HEX2DEC(D65)</f>
        <v>7</v>
      </c>
      <c r="E67" s="99">
        <f t="shared" ref="E67:H67" si="53">HEX2DEC(E65)</f>
        <v>38</v>
      </c>
      <c r="F67" s="99">
        <f t="shared" si="53"/>
        <v>4</v>
      </c>
      <c r="G67" s="99">
        <f t="shared" si="53"/>
        <v>1</v>
      </c>
      <c r="H67" s="99">
        <f t="shared" si="53"/>
        <v>0</v>
      </c>
      <c r="I67" s="99">
        <f>SUM(D67:H67)</f>
        <v>50</v>
      </c>
      <c r="J67" s="99"/>
      <c r="K67" s="99"/>
      <c r="L67" s="99"/>
      <c r="N67" s="8"/>
      <c r="P67" s="21" t="str">
        <f>MID(H61,7,1)</f>
        <v>0</v>
      </c>
      <c r="Q67" s="26" t="str">
        <f t="shared" si="50"/>
        <v>0</v>
      </c>
      <c r="R67" s="7" t="s">
        <v>73</v>
      </c>
      <c r="S67" s="8" t="s">
        <v>66</v>
      </c>
      <c r="T67" s="400"/>
      <c r="U67" s="381"/>
      <c r="V67" s="381"/>
      <c r="W67" s="401"/>
    </row>
    <row r="68" spans="3:23" ht="15" thickBot="1" x14ac:dyDescent="0.35">
      <c r="C68" s="9" t="s">
        <v>1678</v>
      </c>
      <c r="D68" s="335" t="str">
        <f>D63</f>
        <v>07</v>
      </c>
      <c r="E68" s="335" t="str">
        <f t="shared" ref="E68:G68" si="54">E63</f>
        <v>26</v>
      </c>
      <c r="F68" s="335" t="str">
        <f t="shared" si="54"/>
        <v>G4</v>
      </c>
      <c r="G68" s="335" t="str">
        <f t="shared" si="54"/>
        <v>G1</v>
      </c>
      <c r="H68" s="10"/>
      <c r="I68" s="10"/>
      <c r="J68" s="10"/>
      <c r="K68" s="10"/>
      <c r="L68" s="10"/>
      <c r="M68" s="10"/>
      <c r="N68" s="11"/>
      <c r="P68" s="22" t="str">
        <f>MID(H61,8,1)</f>
        <v>0</v>
      </c>
      <c r="Q68" s="26" t="str">
        <f t="shared" si="50"/>
        <v>0</v>
      </c>
      <c r="R68" s="9" t="s">
        <v>74</v>
      </c>
      <c r="S68" s="11" t="s">
        <v>66</v>
      </c>
      <c r="T68" s="402"/>
      <c r="U68" s="403"/>
      <c r="V68" s="403"/>
      <c r="W68" s="404"/>
    </row>
    <row r="69" spans="3:23" ht="15" thickBot="1" x14ac:dyDescent="0.35">
      <c r="C69" s="4"/>
      <c r="D69" s="5"/>
      <c r="E69" s="5"/>
      <c r="F69" s="5"/>
      <c r="G69" s="5"/>
      <c r="H69" s="5"/>
      <c r="I69" s="5" t="s">
        <v>41</v>
      </c>
      <c r="J69" s="5"/>
      <c r="K69" s="5"/>
      <c r="L69" s="5"/>
      <c r="N69" s="6"/>
      <c r="P69" s="392" t="s">
        <v>112</v>
      </c>
      <c r="Q69" s="392"/>
      <c r="R69" s="392"/>
      <c r="S69" s="392"/>
      <c r="T69" s="392"/>
      <c r="U69" s="392"/>
      <c r="V69" s="392"/>
      <c r="W69" s="392"/>
    </row>
    <row r="70" spans="3:23" ht="15" thickBot="1" x14ac:dyDescent="0.35">
      <c r="C70" s="7"/>
      <c r="D70" s="393" t="s">
        <v>1526</v>
      </c>
      <c r="E70" s="393"/>
      <c r="F70" s="393"/>
      <c r="G70" s="393"/>
      <c r="H70" s="99" t="s">
        <v>44</v>
      </c>
      <c r="I70" s="99" t="s">
        <v>45</v>
      </c>
      <c r="N70" s="8"/>
      <c r="P70" s="394" t="s">
        <v>50</v>
      </c>
      <c r="Q70" s="395"/>
      <c r="R70" s="395"/>
      <c r="S70" s="396"/>
      <c r="T70" s="406" t="s">
        <v>107</v>
      </c>
      <c r="U70" s="407"/>
      <c r="V70" s="407"/>
      <c r="W70" s="408"/>
    </row>
    <row r="71" spans="3:23" ht="15" thickBot="1" x14ac:dyDescent="0.35">
      <c r="C71" s="7" t="s">
        <v>56</v>
      </c>
      <c r="D71" s="12" t="s">
        <v>57</v>
      </c>
      <c r="E71" s="13" t="s">
        <v>100</v>
      </c>
      <c r="F71" s="13" t="s">
        <v>113</v>
      </c>
      <c r="G71" s="14" t="s">
        <v>59</v>
      </c>
      <c r="H71" s="321" t="str">
        <f>MID($A$14,8,2)</f>
        <v>00</v>
      </c>
      <c r="I71" s="319" t="str">
        <f>MID($A$14,10,2)</f>
        <v>33</v>
      </c>
      <c r="N71" s="8" t="s">
        <v>60</v>
      </c>
      <c r="P71" s="19" t="s">
        <v>60</v>
      </c>
      <c r="Q71" s="20" t="s">
        <v>61</v>
      </c>
      <c r="R71" t="s">
        <v>62</v>
      </c>
      <c r="S71" s="8"/>
      <c r="T71" s="400" t="s">
        <v>63</v>
      </c>
      <c r="U71" s="381"/>
      <c r="V71" s="381"/>
      <c r="W71" s="401"/>
    </row>
    <row r="72" spans="3:23" x14ac:dyDescent="0.3">
      <c r="C72" s="7" t="s">
        <v>64</v>
      </c>
      <c r="D72" s="99" t="str">
        <f>HEX2BIN(D71,8)</f>
        <v>00000111</v>
      </c>
      <c r="E72" s="99" t="str">
        <f t="shared" ref="E72:H72" si="55">HEX2BIN(E71,8)</f>
        <v>00100110</v>
      </c>
      <c r="F72" s="99" t="str">
        <f t="shared" si="55"/>
        <v>00000101</v>
      </c>
      <c r="G72" s="99" t="str">
        <f t="shared" si="55"/>
        <v>00000001</v>
      </c>
      <c r="H72" s="99" t="str">
        <f t="shared" si="55"/>
        <v>00000000</v>
      </c>
      <c r="N72" s="8"/>
      <c r="P72" s="21" t="str">
        <f>MID(H72,1,1)</f>
        <v>0</v>
      </c>
      <c r="Q72" s="26" t="str">
        <f>P72</f>
        <v>0</v>
      </c>
      <c r="R72" s="7" t="s">
        <v>65</v>
      </c>
      <c r="S72" s="8" t="s">
        <v>66</v>
      </c>
      <c r="T72" s="400"/>
      <c r="U72" s="381"/>
      <c r="V72" s="381"/>
      <c r="W72" s="401"/>
    </row>
    <row r="73" spans="3:23" x14ac:dyDescent="0.3">
      <c r="C73" s="7" t="s">
        <v>67</v>
      </c>
      <c r="D73" s="99">
        <f>HEX2DEC(D71)</f>
        <v>7</v>
      </c>
      <c r="E73" s="99">
        <f t="shared" ref="E73:H73" si="56">HEX2DEC(E71)</f>
        <v>38</v>
      </c>
      <c r="F73" s="99">
        <f t="shared" si="56"/>
        <v>5</v>
      </c>
      <c r="G73" s="99">
        <f t="shared" si="56"/>
        <v>1</v>
      </c>
      <c r="H73" s="99">
        <f t="shared" si="56"/>
        <v>0</v>
      </c>
      <c r="I73" s="99">
        <f>SUM(D73:H73)</f>
        <v>51</v>
      </c>
      <c r="N73" s="8"/>
      <c r="P73" s="21" t="str">
        <f>MID(H72,2,1)</f>
        <v>0</v>
      </c>
      <c r="Q73" s="26" t="str">
        <f t="shared" ref="Q73:Q79" si="57">P73</f>
        <v>0</v>
      </c>
      <c r="R73" s="7" t="s">
        <v>68</v>
      </c>
      <c r="S73" s="8" t="s">
        <v>66</v>
      </c>
      <c r="T73" s="400"/>
      <c r="U73" s="381"/>
      <c r="V73" s="381"/>
      <c r="W73" s="401"/>
    </row>
    <row r="74" spans="3:23" x14ac:dyDescent="0.3">
      <c r="C74" s="7" t="s">
        <v>1678</v>
      </c>
      <c r="D74" s="333" t="str">
        <f>D71</f>
        <v>07</v>
      </c>
      <c r="E74" s="333" t="str">
        <f>E71</f>
        <v>26</v>
      </c>
      <c r="F74" s="99" t="str">
        <f>MID($A$14,4,2)</f>
        <v>G5</v>
      </c>
      <c r="G74" s="99" t="str">
        <f>MID($A$14,6,2)</f>
        <v>G1</v>
      </c>
      <c r="N74" s="8"/>
      <c r="P74" s="21" t="str">
        <f>MID(H72,3,1)</f>
        <v>0</v>
      </c>
      <c r="Q74" s="26" t="str">
        <f t="shared" si="57"/>
        <v>0</v>
      </c>
      <c r="R74" s="7" t="s">
        <v>69</v>
      </c>
      <c r="S74" s="8" t="s">
        <v>66</v>
      </c>
      <c r="T74" s="400"/>
      <c r="U74" s="381"/>
      <c r="V74" s="381"/>
      <c r="W74" s="401"/>
    </row>
    <row r="75" spans="3:23" ht="15" thickBot="1" x14ac:dyDescent="0.35">
      <c r="C75" s="7"/>
      <c r="N75" s="8"/>
      <c r="P75" s="21" t="str">
        <f>MID(H72,4,1)</f>
        <v>0</v>
      </c>
      <c r="Q75" s="26" t="str">
        <f t="shared" si="57"/>
        <v>0</v>
      </c>
      <c r="R75" s="7" t="s">
        <v>70</v>
      </c>
      <c r="S75" s="8" t="s">
        <v>66</v>
      </c>
      <c r="T75" s="400"/>
      <c r="U75" s="381"/>
      <c r="V75" s="381"/>
      <c r="W75" s="401"/>
    </row>
    <row r="76" spans="3:23" ht="15" thickBot="1" x14ac:dyDescent="0.35">
      <c r="C76" s="7" t="s">
        <v>56</v>
      </c>
      <c r="D76" s="15" t="str">
        <f t="shared" ref="D76:G76" si="58">D71</f>
        <v>07</v>
      </c>
      <c r="E76" s="16" t="str">
        <f t="shared" si="58"/>
        <v>26</v>
      </c>
      <c r="F76" s="16" t="str">
        <f t="shared" si="58"/>
        <v>05</v>
      </c>
      <c r="G76" s="17" t="str">
        <f t="shared" si="58"/>
        <v>01</v>
      </c>
      <c r="H76" s="23" t="str">
        <f>BIN2HEX(H77,2)</f>
        <v>00</v>
      </c>
      <c r="I76" s="312" t="str">
        <f>IF(LEN(I77)&gt;2,MID(I77,2,2),I77)</f>
        <v>33</v>
      </c>
      <c r="N76" s="8" t="s">
        <v>61</v>
      </c>
      <c r="P76" s="21" t="str">
        <f>MID(H72,5,1)</f>
        <v>0</v>
      </c>
      <c r="Q76" s="26" t="str">
        <f t="shared" si="57"/>
        <v>0</v>
      </c>
      <c r="R76" s="7" t="s">
        <v>71</v>
      </c>
      <c r="S76" s="8" t="s">
        <v>66</v>
      </c>
      <c r="T76" s="400"/>
      <c r="U76" s="381"/>
      <c r="V76" s="381"/>
      <c r="W76" s="401"/>
    </row>
    <row r="77" spans="3:23" x14ac:dyDescent="0.3">
      <c r="C77" s="7" t="s">
        <v>64</v>
      </c>
      <c r="D77" s="99" t="str">
        <f>HEX2BIN(D76,8)</f>
        <v>00000111</v>
      </c>
      <c r="E77" s="99" t="str">
        <f t="shared" ref="E77:G77" si="59">HEX2BIN(E76,8)</f>
        <v>00100110</v>
      </c>
      <c r="F77" s="99" t="str">
        <f t="shared" si="59"/>
        <v>00000101</v>
      </c>
      <c r="G77" s="99" t="str">
        <f t="shared" si="59"/>
        <v>00000001</v>
      </c>
      <c r="H77" s="29" t="str">
        <f>Q72&amp;Q73&amp;Q74&amp;Q75&amp;Q76&amp;Q77&amp;Q78&amp;Q79</f>
        <v>00000000</v>
      </c>
      <c r="I77" s="99" t="str">
        <f>DEC2HEX(I78)</f>
        <v>33</v>
      </c>
      <c r="N77" s="8"/>
      <c r="P77" s="21" t="str">
        <f>MID(H72,6,1)</f>
        <v>0</v>
      </c>
      <c r="Q77" s="26" t="str">
        <f t="shared" si="57"/>
        <v>0</v>
      </c>
      <c r="R77" s="7" t="s">
        <v>72</v>
      </c>
      <c r="S77" s="8" t="s">
        <v>66</v>
      </c>
      <c r="T77" s="400"/>
      <c r="U77" s="381"/>
      <c r="V77" s="381"/>
      <c r="W77" s="401"/>
    </row>
    <row r="78" spans="3:23" x14ac:dyDescent="0.3">
      <c r="C78" s="7" t="s">
        <v>67</v>
      </c>
      <c r="D78" s="99">
        <f>HEX2DEC(D76)</f>
        <v>7</v>
      </c>
      <c r="E78" s="99">
        <f t="shared" ref="E78:H78" si="60">HEX2DEC(E76)</f>
        <v>38</v>
      </c>
      <c r="F78" s="99">
        <f t="shared" si="60"/>
        <v>5</v>
      </c>
      <c r="G78" s="99">
        <f t="shared" si="60"/>
        <v>1</v>
      </c>
      <c r="H78" s="99">
        <f t="shared" si="60"/>
        <v>0</v>
      </c>
      <c r="I78" s="99">
        <f>SUM(D78:H78)</f>
        <v>51</v>
      </c>
      <c r="J78" s="99"/>
      <c r="K78" s="99"/>
      <c r="L78" s="99"/>
      <c r="N78" s="8"/>
      <c r="P78" s="21" t="str">
        <f>MID(H72,7,1)</f>
        <v>0</v>
      </c>
      <c r="Q78" s="26" t="str">
        <f t="shared" si="57"/>
        <v>0</v>
      </c>
      <c r="R78" s="7" t="s">
        <v>73</v>
      </c>
      <c r="S78" s="8" t="s">
        <v>66</v>
      </c>
      <c r="T78" s="400"/>
      <c r="U78" s="381"/>
      <c r="V78" s="381"/>
      <c r="W78" s="401"/>
    </row>
    <row r="79" spans="3:23" ht="15" thickBot="1" x14ac:dyDescent="0.35">
      <c r="C79" s="9" t="s">
        <v>1678</v>
      </c>
      <c r="D79" s="335" t="str">
        <f>D74</f>
        <v>07</v>
      </c>
      <c r="E79" s="335" t="str">
        <f t="shared" ref="E79:G79" si="61">E74</f>
        <v>26</v>
      </c>
      <c r="F79" s="335" t="str">
        <f t="shared" si="61"/>
        <v>G5</v>
      </c>
      <c r="G79" s="335" t="str">
        <f t="shared" si="61"/>
        <v>G1</v>
      </c>
      <c r="H79" s="10"/>
      <c r="I79" s="10"/>
      <c r="J79" s="10"/>
      <c r="K79" s="10"/>
      <c r="L79" s="10"/>
      <c r="M79" s="10"/>
      <c r="N79" s="11"/>
      <c r="P79" s="22" t="str">
        <f>MID(H72,8,1)</f>
        <v>0</v>
      </c>
      <c r="Q79" s="26" t="str">
        <f t="shared" si="57"/>
        <v>0</v>
      </c>
      <c r="R79" s="9" t="s">
        <v>74</v>
      </c>
      <c r="S79" s="11" t="s">
        <v>66</v>
      </c>
      <c r="T79" s="402"/>
      <c r="U79" s="403"/>
      <c r="V79" s="403"/>
      <c r="W79" s="404"/>
    </row>
  </sheetData>
  <mergeCells count="52">
    <mergeCell ref="A1:B1"/>
    <mergeCell ref="T71:W79"/>
    <mergeCell ref="D59:G59"/>
    <mergeCell ref="P59:S59"/>
    <mergeCell ref="T59:W59"/>
    <mergeCell ref="T60:W68"/>
    <mergeCell ref="P69:W69"/>
    <mergeCell ref="D70:G70"/>
    <mergeCell ref="P70:S70"/>
    <mergeCell ref="T70:W70"/>
    <mergeCell ref="P58:W58"/>
    <mergeCell ref="T38:W46"/>
    <mergeCell ref="P47:W47"/>
    <mergeCell ref="D48:G48"/>
    <mergeCell ref="P48:S48"/>
    <mergeCell ref="T48:W48"/>
    <mergeCell ref="T49:W57"/>
    <mergeCell ref="AJ16:AK24"/>
    <mergeCell ref="P25:AK25"/>
    <mergeCell ref="D26:G26"/>
    <mergeCell ref="P26:S26"/>
    <mergeCell ref="T26:W26"/>
    <mergeCell ref="X26:AA26"/>
    <mergeCell ref="AB26:AE26"/>
    <mergeCell ref="AF26:AI26"/>
    <mergeCell ref="AF27:AI35"/>
    <mergeCell ref="D37:G37"/>
    <mergeCell ref="P37:S37"/>
    <mergeCell ref="T37:W37"/>
    <mergeCell ref="P36:W36"/>
    <mergeCell ref="AJ5:AK13"/>
    <mergeCell ref="P14:AK14"/>
    <mergeCell ref="D15:G15"/>
    <mergeCell ref="P15:S15"/>
    <mergeCell ref="T15:W15"/>
    <mergeCell ref="X15:AA15"/>
    <mergeCell ref="AB15:AE15"/>
    <mergeCell ref="AF15:AI15"/>
    <mergeCell ref="AJ15:AK15"/>
    <mergeCell ref="AA6:AA7"/>
    <mergeCell ref="AA8:AA13"/>
    <mergeCell ref="S11:S12"/>
    <mergeCell ref="C1:AK1"/>
    <mergeCell ref="C2:E2"/>
    <mergeCell ref="P3:AK3"/>
    <mergeCell ref="D4:G4"/>
    <mergeCell ref="P4:S4"/>
    <mergeCell ref="T4:W4"/>
    <mergeCell ref="X4:AA4"/>
    <mergeCell ref="AB4:AE4"/>
    <mergeCell ref="AF4:AI4"/>
    <mergeCell ref="AJ4:AK4"/>
  </mergeCells>
  <conditionalFormatting sqref="B3:B14">
    <cfRule type="expression" dxfId="350" priority="1">
      <formula>IF(A3&lt;&gt;B3,1,0)</formula>
    </cfRule>
    <cfRule type="containsText" dxfId="349" priority="2" operator="containsText" text=";Block">
      <formula>NOT(ISERROR(SEARCH(";Block",B3)))</formula>
    </cfRule>
    <cfRule type="beginsWith" dxfId="348" priority="3" operator="beginsWith" text="72601">
      <formula>LEFT(B3,LEN("72601"))="72601"</formula>
    </cfRule>
    <cfRule type="beginsWith" dxfId="347" priority="4" operator="beginsWith" text="726G1">
      <formula>LEFT(B3,LEN("726G1"))="726G1"</formula>
    </cfRule>
    <cfRule type="beginsWith" dxfId="346" priority="5" operator="beginsWith" text="72602">
      <formula>LEFT(B3,LEN("72602"))="72602"</formula>
    </cfRule>
    <cfRule type="beginsWith" dxfId="345" priority="6" operator="beginsWith" text="726G2">
      <formula>LEFT(B3,LEN("726G2"))="726G2"</formula>
    </cfRule>
    <cfRule type="beginsWith" dxfId="344" priority="7" operator="beginsWith" text="72603">
      <formula>LEFT(B3,LEN("72603"))="72603"</formula>
    </cfRule>
    <cfRule type="beginsWith" dxfId="343" priority="8" operator="beginsWith" text="726G3">
      <formula>LEFT(B3,LEN("726G3"))="726G3"</formula>
    </cfRule>
    <cfRule type="beginsWith" dxfId="342" priority="9" operator="beginsWith" text="72604">
      <formula>LEFT(B3,LEN("72604"))="72604"</formula>
    </cfRule>
    <cfRule type="beginsWith" dxfId="341" priority="10" operator="beginsWith" text="726G4">
      <formula>LEFT(B3,LEN("726G4"))="726G4"</formula>
    </cfRule>
    <cfRule type="beginsWith" dxfId="340" priority="11" operator="beginsWith" text="72605">
      <formula>LEFT(B3,LEN("72605"))="72605"</formula>
    </cfRule>
    <cfRule type="beginsWith" dxfId="339" priority="12" operator="beginsWith" text="726G5">
      <formula>LEFT(B3,LEN("726G5"))="726G5"</formula>
    </cfRule>
  </conditionalFormatting>
  <conditionalFormatting sqref="Q6:Q13 U28:U29">
    <cfRule type="expression" dxfId="338" priority="29">
      <formula>Q6:Q13&lt;&gt;P6:P13</formula>
    </cfRule>
  </conditionalFormatting>
  <conditionalFormatting sqref="Q17:Q24">
    <cfRule type="expression" dxfId="337" priority="24">
      <formula>Q17:Q24&lt;&gt;P17:P24</formula>
    </cfRule>
  </conditionalFormatting>
  <conditionalFormatting sqref="Q28:Q35">
    <cfRule type="expression" dxfId="336" priority="17">
      <formula>Q28:Q35&lt;&gt;P28:P35</formula>
    </cfRule>
  </conditionalFormatting>
  <conditionalFormatting sqref="Q39:Q46">
    <cfRule type="expression" dxfId="335" priority="16">
      <formula>Q39:Q46&lt;&gt;P39:P46</formula>
    </cfRule>
  </conditionalFormatting>
  <conditionalFormatting sqref="Q50:Q57">
    <cfRule type="expression" dxfId="334" priority="15">
      <formula>Q50:Q57&lt;&gt;P50:P57</formula>
    </cfRule>
  </conditionalFormatting>
  <conditionalFormatting sqref="Q61:Q68">
    <cfRule type="expression" dxfId="333" priority="14">
      <formula>Q61:Q68&lt;&gt;P61:P68</formula>
    </cfRule>
  </conditionalFormatting>
  <conditionalFormatting sqref="Q72:Q79">
    <cfRule type="expression" dxfId="332" priority="13">
      <formula>Q72:Q79&lt;&gt;P72:P79</formula>
    </cfRule>
  </conditionalFormatting>
  <conditionalFormatting sqref="U6:U13">
    <cfRule type="expression" dxfId="331" priority="28">
      <formula>U6:U13&lt;&gt;T6:T13</formula>
    </cfRule>
  </conditionalFormatting>
  <conditionalFormatting sqref="U17:U24">
    <cfRule type="expression" dxfId="330" priority="23">
      <formula>U17:U24&lt;&gt;T17:T24</formula>
    </cfRule>
  </conditionalFormatting>
  <conditionalFormatting sqref="U30:U35">
    <cfRule type="expression" dxfId="329" priority="30">
      <formula>U30:U36&lt;&gt;T30:T36</formula>
    </cfRule>
  </conditionalFormatting>
  <conditionalFormatting sqref="Y6:Y13">
    <cfRule type="expression" dxfId="328" priority="27">
      <formula>Y6:Y13&lt;&gt;X6:X13</formula>
    </cfRule>
  </conditionalFormatting>
  <conditionalFormatting sqref="Y17:Y24">
    <cfRule type="expression" dxfId="327" priority="22">
      <formula>Y17:Y24&lt;&gt;X17:X24</formula>
    </cfRule>
  </conditionalFormatting>
  <conditionalFormatting sqref="Y28:Y35">
    <cfRule type="expression" dxfId="326" priority="18">
      <formula>Y28:Y35&lt;&gt;X28:X35</formula>
    </cfRule>
  </conditionalFormatting>
  <conditionalFormatting sqref="AC6:AC13">
    <cfRule type="expression" dxfId="325" priority="26">
      <formula>AC6:AC13&lt;&gt;AB6:AB13</formula>
    </cfRule>
  </conditionalFormatting>
  <conditionalFormatting sqref="AC17:AC24">
    <cfRule type="expression" dxfId="324" priority="21">
      <formula>AC17:AC24&lt;&gt;AB17:AB24</formula>
    </cfRule>
  </conditionalFormatting>
  <conditionalFormatting sqref="AC28:AC35">
    <cfRule type="expression" dxfId="323" priority="19">
      <formula>AC28:AC35&lt;&gt;AB28:AB35</formula>
    </cfRule>
  </conditionalFormatting>
  <conditionalFormatting sqref="AG6:AG13">
    <cfRule type="expression" dxfId="322" priority="25">
      <formula>AG6:AG13&lt;&gt;AF6:AF13</formula>
    </cfRule>
  </conditionalFormatting>
  <conditionalFormatting sqref="AG17:AG24">
    <cfRule type="expression" dxfId="321" priority="20">
      <formula>AG17:AG24&lt;&gt;AF17:AF24</formula>
    </cfRule>
  </conditionalFormatting>
  <dataValidations disablePrompts="1" count="1">
    <dataValidation type="whole" allowBlank="1" showInputMessage="1" showErrorMessage="1" errorTitle="Wrong Value" error="This is a Binary value, which can be either 0 or 1." sqref="AG6:AG13 U28:U35 Y17:Y24 AC17:AC24 Q39:Q46 AG17:AG24 Y28:Y35 U17:U24 AC28:AC35 AC6:AC13 Q17:Q24 U6:U13 Q28:Q35 Y6:Y13 Q6:Q13 Q50:Q57 Q61:Q68 Q72:Q79" xr:uid="{00000000-0002-0000-0400-000000000000}">
      <formula1>0</formula1>
      <formula2>1</formula2>
    </dataValidation>
  </dataValidations>
  <hyperlinks>
    <hyperlink ref="C1" r:id="rId1" xr:uid="{00000000-0004-0000-0400-000000000000}"/>
  </hyperlinks>
  <pageMargins left="0.7" right="0.7" top="0.75" bottom="0.75" header="0.3" footer="0.3"/>
  <pageSetup paperSize="9" orientation="portrait" horizontalDpi="360" verticalDpi="360"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46"/>
  <sheetViews>
    <sheetView zoomScaleNormal="100" workbookViewId="0">
      <selection activeCell="A3" sqref="A3"/>
    </sheetView>
  </sheetViews>
  <sheetFormatPr defaultRowHeight="14.4" x14ac:dyDescent="0.3"/>
  <cols>
    <col min="1" max="1" width="20.88671875" bestFit="1" customWidth="1"/>
    <col min="2" max="2" width="20.5546875" bestFit="1" customWidth="1"/>
    <col min="3" max="3" width="4.5546875" bestFit="1" customWidth="1"/>
    <col min="4" max="5" width="9" bestFit="1" customWidth="1"/>
    <col min="14" max="14" width="5.6640625" bestFit="1" customWidth="1"/>
    <col min="15" max="15" width="1.6640625" customWidth="1"/>
    <col min="16" max="16" width="5.44140625" bestFit="1" customWidth="1"/>
    <col min="17" max="17" width="5.33203125" bestFit="1" customWidth="1"/>
    <col min="18" max="18" width="3.44140625" bestFit="1" customWidth="1"/>
    <col min="19" max="19" width="19.44140625" customWidth="1"/>
    <col min="20" max="20" width="5.44140625" bestFit="1" customWidth="1"/>
    <col min="21" max="21" width="5.33203125" bestFit="1" customWidth="1"/>
    <col min="22" max="22" width="3.44140625" customWidth="1"/>
    <col min="23" max="23" width="20" customWidth="1"/>
    <col min="24" max="24" width="5.44140625" bestFit="1" customWidth="1"/>
    <col min="25" max="25" width="5.33203125" bestFit="1" customWidth="1"/>
    <col min="26" max="26" width="3.44140625" customWidth="1"/>
    <col min="27" max="27" width="19.33203125" bestFit="1" customWidth="1"/>
    <col min="28" max="28" width="5.44140625" bestFit="1" customWidth="1"/>
    <col min="29" max="29" width="5.33203125" bestFit="1" customWidth="1"/>
    <col min="30" max="30" width="3.44140625" customWidth="1"/>
    <col min="31" max="31" width="19.33203125" bestFit="1" customWidth="1"/>
    <col min="32" max="32" width="5.44140625" bestFit="1" customWidth="1"/>
    <col min="33" max="33" width="5.33203125" bestFit="1" customWidth="1"/>
    <col min="34" max="34" width="3.44140625" customWidth="1"/>
    <col min="35" max="35" width="19.44140625" customWidth="1"/>
  </cols>
  <sheetData>
    <row r="1" spans="1:37" x14ac:dyDescent="0.3">
      <c r="A1" s="398" t="s">
        <v>1240</v>
      </c>
      <c r="B1" s="399"/>
      <c r="C1" s="383" t="s">
        <v>354</v>
      </c>
      <c r="D1" s="381"/>
      <c r="E1" s="381"/>
      <c r="F1" s="381"/>
      <c r="G1" s="381"/>
      <c r="H1" s="381"/>
      <c r="I1" s="381"/>
      <c r="J1" s="381"/>
      <c r="K1" s="381"/>
      <c r="L1" s="381"/>
      <c r="M1" s="381"/>
      <c r="N1" s="381"/>
      <c r="O1" s="381"/>
      <c r="P1" s="381"/>
      <c r="Q1" s="381"/>
      <c r="R1" s="381"/>
      <c r="S1" s="381"/>
      <c r="T1" s="381"/>
      <c r="U1" s="381"/>
      <c r="V1" s="381"/>
      <c r="W1" s="381"/>
      <c r="X1" s="381"/>
      <c r="Y1" s="381"/>
      <c r="Z1" s="381"/>
      <c r="AA1" s="381"/>
      <c r="AB1" s="381"/>
      <c r="AC1" s="381"/>
      <c r="AD1" s="381"/>
      <c r="AE1" s="381"/>
      <c r="AF1" s="381"/>
      <c r="AG1" s="381"/>
      <c r="AH1" s="381"/>
      <c r="AI1" s="381"/>
      <c r="AJ1" s="381"/>
      <c r="AK1" s="381"/>
    </row>
    <row r="2" spans="1:37" ht="15" thickBot="1" x14ac:dyDescent="0.35">
      <c r="A2" s="268" t="s">
        <v>1241</v>
      </c>
      <c r="B2" s="269" t="s">
        <v>1242</v>
      </c>
      <c r="C2" s="391" t="s">
        <v>40</v>
      </c>
      <c r="D2" s="391"/>
      <c r="E2" s="391"/>
    </row>
    <row r="3" spans="1:37" ht="15" thickBot="1" x14ac:dyDescent="0.35">
      <c r="A3" s="270" t="s">
        <v>1243</v>
      </c>
      <c r="B3" s="87" t="s">
        <v>1243</v>
      </c>
      <c r="C3" s="4"/>
      <c r="D3" s="5"/>
      <c r="E3" s="5"/>
      <c r="F3" s="5"/>
      <c r="G3" s="5"/>
      <c r="H3" s="5"/>
      <c r="I3" s="5"/>
      <c r="J3" s="5"/>
      <c r="K3" s="5"/>
      <c r="L3" s="5"/>
      <c r="M3" s="5" t="s">
        <v>41</v>
      </c>
      <c r="N3" s="6"/>
      <c r="P3" s="392" t="s">
        <v>114</v>
      </c>
      <c r="Q3" s="392"/>
      <c r="R3" s="392"/>
      <c r="S3" s="392"/>
      <c r="T3" s="392"/>
      <c r="U3" s="392"/>
      <c r="V3" s="392"/>
      <c r="W3" s="392"/>
      <c r="X3" s="392"/>
      <c r="Y3" s="392"/>
      <c r="Z3" s="392"/>
      <c r="AA3" s="392"/>
      <c r="AB3" s="392"/>
      <c r="AC3" s="392"/>
      <c r="AD3" s="392"/>
      <c r="AE3" s="392"/>
      <c r="AF3" s="405"/>
      <c r="AG3" s="405"/>
      <c r="AH3" s="405"/>
      <c r="AI3" s="405"/>
      <c r="AJ3" s="392"/>
      <c r="AK3" s="392"/>
    </row>
    <row r="4" spans="1:37" ht="15" thickBot="1" x14ac:dyDescent="0.35">
      <c r="A4" s="270" t="s">
        <v>1847</v>
      </c>
      <c r="B4" s="87" t="str">
        <f>RIGHT(D13,1)&amp;E13&amp;F13&amp;G13&amp;H10&amp;I10&amp;J10&amp;K10&amp;L10&amp;M10</f>
        <v>731G1G100000000003A</v>
      </c>
      <c r="C4" s="7"/>
      <c r="D4" s="393" t="s">
        <v>115</v>
      </c>
      <c r="E4" s="393"/>
      <c r="F4" s="393"/>
      <c r="G4" s="393"/>
      <c r="H4" s="99" t="s">
        <v>44</v>
      </c>
      <c r="I4" s="99" t="s">
        <v>45</v>
      </c>
      <c r="J4" s="99" t="s">
        <v>46</v>
      </c>
      <c r="K4" s="99" t="s">
        <v>47</v>
      </c>
      <c r="L4" s="99" t="s">
        <v>48</v>
      </c>
      <c r="M4" s="99" t="s">
        <v>49</v>
      </c>
      <c r="N4" s="8"/>
      <c r="P4" s="394" t="s">
        <v>50</v>
      </c>
      <c r="Q4" s="395"/>
      <c r="R4" s="395"/>
      <c r="S4" s="396"/>
      <c r="T4" s="394" t="s">
        <v>51</v>
      </c>
      <c r="U4" s="395"/>
      <c r="V4" s="395"/>
      <c r="W4" s="396"/>
      <c r="X4" s="394" t="s">
        <v>52</v>
      </c>
      <c r="Y4" s="395"/>
      <c r="Z4" s="395"/>
      <c r="AA4" s="396"/>
      <c r="AB4" s="394" t="s">
        <v>53</v>
      </c>
      <c r="AC4" s="395"/>
      <c r="AD4" s="395"/>
      <c r="AE4" s="395"/>
      <c r="AF4" s="452" t="s">
        <v>97</v>
      </c>
      <c r="AG4" s="453"/>
      <c r="AH4" s="453"/>
      <c r="AI4" s="454"/>
      <c r="AJ4" s="395" t="s">
        <v>55</v>
      </c>
      <c r="AK4" s="396"/>
    </row>
    <row r="5" spans="1:37" ht="15" thickBot="1" x14ac:dyDescent="0.35">
      <c r="A5" s="270" t="s">
        <v>1848</v>
      </c>
      <c r="B5" s="87" t="str">
        <f>RIGHT(D24,1)&amp;E24&amp;F24&amp;G24&amp;H21&amp;I21&amp;J21&amp;K21&amp;L21&amp;M21</f>
        <v>731G1G200000000003B</v>
      </c>
      <c r="C5" s="7" t="s">
        <v>56</v>
      </c>
      <c r="D5" s="12" t="s">
        <v>57</v>
      </c>
      <c r="E5" s="13" t="s">
        <v>116</v>
      </c>
      <c r="F5" s="13" t="s">
        <v>59</v>
      </c>
      <c r="G5" s="14" t="s">
        <v>59</v>
      </c>
      <c r="H5" s="338" t="str">
        <f>MID($A$4,8,2)</f>
        <v>00</v>
      </c>
      <c r="I5" s="317" t="str">
        <f>MID($A$4,10,2)</f>
        <v>00</v>
      </c>
      <c r="J5" s="317" t="str">
        <f>MID($A$4,12,2)</f>
        <v>00</v>
      </c>
      <c r="K5" s="317" t="str">
        <f>MID($A$4,14,2)</f>
        <v>00</v>
      </c>
      <c r="L5" s="318" t="str">
        <f>MID($A$4,16,2)</f>
        <v>00</v>
      </c>
      <c r="M5" s="319" t="str">
        <f>MID($A$4,18,2)</f>
        <v>3A</v>
      </c>
      <c r="N5" s="8" t="s">
        <v>60</v>
      </c>
      <c r="P5" s="19" t="s">
        <v>60</v>
      </c>
      <c r="Q5" s="20" t="s">
        <v>61</v>
      </c>
      <c r="R5" t="s">
        <v>62</v>
      </c>
      <c r="S5" s="8"/>
      <c r="T5" s="19" t="s">
        <v>60</v>
      </c>
      <c r="U5" s="20" t="s">
        <v>61</v>
      </c>
      <c r="V5" t="s">
        <v>62</v>
      </c>
      <c r="W5" s="8"/>
      <c r="X5" s="19" t="s">
        <v>60</v>
      </c>
      <c r="Y5" s="20" t="s">
        <v>61</v>
      </c>
      <c r="Z5" t="s">
        <v>62</v>
      </c>
      <c r="AA5" s="8"/>
      <c r="AB5" s="19" t="s">
        <v>60</v>
      </c>
      <c r="AC5" s="20" t="s">
        <v>61</v>
      </c>
      <c r="AD5" t="s">
        <v>62</v>
      </c>
      <c r="AF5" s="349" t="s">
        <v>60</v>
      </c>
      <c r="AG5" s="20" t="s">
        <v>61</v>
      </c>
      <c r="AH5" t="s">
        <v>62</v>
      </c>
      <c r="AI5" s="350"/>
      <c r="AJ5" s="395" t="s">
        <v>63</v>
      </c>
      <c r="AK5" s="396"/>
    </row>
    <row r="6" spans="1:37" x14ac:dyDescent="0.3">
      <c r="A6" s="270" t="s">
        <v>1849</v>
      </c>
      <c r="B6" s="87" t="str">
        <f>RIGHT(D35,1)&amp;E35&amp;F35&amp;G35&amp;H32&amp;I32&amp;J32&amp;K32</f>
        <v>731G1G30000003C</v>
      </c>
      <c r="C6" s="7" t="s">
        <v>64</v>
      </c>
      <c r="D6" s="99" t="str">
        <f t="shared" ref="D6:E6" si="0">HEX2BIN(D5,8)</f>
        <v>00000111</v>
      </c>
      <c r="E6" s="99" t="str">
        <f t="shared" si="0"/>
        <v>00110001</v>
      </c>
      <c r="F6" s="99" t="str">
        <f>HEX2BIN(F5,8)</f>
        <v>00000001</v>
      </c>
      <c r="G6" s="99" t="str">
        <f t="shared" ref="G6:L6" si="1">HEX2BIN(G5,8)</f>
        <v>00000001</v>
      </c>
      <c r="H6" s="99" t="str">
        <f t="shared" si="1"/>
        <v>00000000</v>
      </c>
      <c r="I6" s="99" t="str">
        <f t="shared" si="1"/>
        <v>00000000</v>
      </c>
      <c r="J6" s="99" t="str">
        <f t="shared" si="1"/>
        <v>00000000</v>
      </c>
      <c r="K6" s="99" t="str">
        <f t="shared" si="1"/>
        <v>00000000</v>
      </c>
      <c r="L6" s="99" t="str">
        <f t="shared" si="1"/>
        <v>00000000</v>
      </c>
      <c r="M6" s="99"/>
      <c r="N6" s="8"/>
      <c r="P6" s="21" t="str">
        <f>MID(H6,1,1)</f>
        <v>0</v>
      </c>
      <c r="Q6" s="26" t="str">
        <f>P6</f>
        <v>0</v>
      </c>
      <c r="R6" s="7" t="s">
        <v>65</v>
      </c>
      <c r="S6" s="438" t="s">
        <v>1674</v>
      </c>
      <c r="T6" s="21" t="str">
        <f>MID(I6,1,1)</f>
        <v>0</v>
      </c>
      <c r="U6" s="26" t="str">
        <f t="shared" ref="U6:U13" si="2">T6</f>
        <v>0</v>
      </c>
      <c r="V6" s="7" t="s">
        <v>65</v>
      </c>
      <c r="W6" s="292" t="s">
        <v>1326</v>
      </c>
      <c r="X6" s="21" t="str">
        <f>MID(J6,1,1)</f>
        <v>0</v>
      </c>
      <c r="Y6" s="26" t="str">
        <f>X6</f>
        <v>0</v>
      </c>
      <c r="Z6" s="7" t="s">
        <v>65</v>
      </c>
      <c r="AA6" s="366" t="s">
        <v>1666</v>
      </c>
      <c r="AB6" s="21" t="str">
        <f>MID(K6,1,1)</f>
        <v>0</v>
      </c>
      <c r="AC6" s="26" t="str">
        <f>AB6</f>
        <v>0</v>
      </c>
      <c r="AD6" s="7" t="s">
        <v>65</v>
      </c>
      <c r="AE6" s="442" t="s">
        <v>1361</v>
      </c>
      <c r="AF6" s="351" t="str">
        <f>MID(L6,1,1)</f>
        <v>0</v>
      </c>
      <c r="AG6" s="26" t="str">
        <f>AF6</f>
        <v>0</v>
      </c>
      <c r="AH6" s="7" t="s">
        <v>65</v>
      </c>
      <c r="AI6" s="352" t="s">
        <v>1363</v>
      </c>
      <c r="AJ6" s="381"/>
      <c r="AK6" s="401"/>
    </row>
    <row r="7" spans="1:37" x14ac:dyDescent="0.3">
      <c r="A7" s="270" t="s">
        <v>1244</v>
      </c>
      <c r="B7" s="87" t="s">
        <v>1244</v>
      </c>
      <c r="C7" s="7" t="s">
        <v>67</v>
      </c>
      <c r="D7" s="99">
        <f>HEX2DEC(D5)</f>
        <v>7</v>
      </c>
      <c r="E7" s="99">
        <f t="shared" ref="E7:L7" si="3">HEX2DEC(E5)</f>
        <v>49</v>
      </c>
      <c r="F7" s="99">
        <f t="shared" si="3"/>
        <v>1</v>
      </c>
      <c r="G7" s="99">
        <f t="shared" si="3"/>
        <v>1</v>
      </c>
      <c r="H7" s="99">
        <f t="shared" si="3"/>
        <v>0</v>
      </c>
      <c r="I7" s="99">
        <f t="shared" si="3"/>
        <v>0</v>
      </c>
      <c r="J7" s="99">
        <f t="shared" si="3"/>
        <v>0</v>
      </c>
      <c r="K7" s="99">
        <f t="shared" si="3"/>
        <v>0</v>
      </c>
      <c r="L7" s="99">
        <f t="shared" si="3"/>
        <v>0</v>
      </c>
      <c r="M7" s="99">
        <f>SUM(D7:L7)</f>
        <v>58</v>
      </c>
      <c r="N7" s="8"/>
      <c r="P7" s="21" t="str">
        <f>MID(H6,2,1)</f>
        <v>0</v>
      </c>
      <c r="Q7" s="26" t="str">
        <f t="shared" ref="Q7:Q13" si="4">P7</f>
        <v>0</v>
      </c>
      <c r="R7" s="7" t="s">
        <v>68</v>
      </c>
      <c r="S7" s="439"/>
      <c r="T7" s="21" t="str">
        <f>MID(I6,2,1)</f>
        <v>0</v>
      </c>
      <c r="U7" s="26" t="str">
        <f t="shared" si="2"/>
        <v>0</v>
      </c>
      <c r="V7" s="7" t="s">
        <v>68</v>
      </c>
      <c r="W7" s="293" t="s">
        <v>1356</v>
      </c>
      <c r="X7" s="21" t="str">
        <f>MID(J6,2,1)</f>
        <v>0</v>
      </c>
      <c r="Y7" s="26" t="str">
        <f t="shared" ref="Y7:Y13" si="5">X7</f>
        <v>0</v>
      </c>
      <c r="Z7" s="7" t="s">
        <v>68</v>
      </c>
      <c r="AA7" s="285" t="s">
        <v>1358</v>
      </c>
      <c r="AB7" s="21" t="str">
        <f>MID(K6,2,1)</f>
        <v>0</v>
      </c>
      <c r="AC7" s="26" t="str">
        <f t="shared" ref="AC7:AC13" si="6">AB7</f>
        <v>0</v>
      </c>
      <c r="AD7" s="7" t="s">
        <v>68</v>
      </c>
      <c r="AE7" s="443"/>
      <c r="AF7" s="351" t="str">
        <f>MID(L6,2,1)</f>
        <v>0</v>
      </c>
      <c r="AG7" s="26" t="str">
        <f t="shared" ref="AG7:AG13" si="7">AF7</f>
        <v>0</v>
      </c>
      <c r="AH7" s="7" t="s">
        <v>68</v>
      </c>
      <c r="AI7" s="353" t="s">
        <v>1689</v>
      </c>
      <c r="AJ7" s="381"/>
      <c r="AK7" s="401"/>
    </row>
    <row r="8" spans="1:37" x14ac:dyDescent="0.3">
      <c r="A8" s="272" t="s">
        <v>1850</v>
      </c>
      <c r="B8" s="87" t="str">
        <f>RIGHT(D46,1)&amp;E46&amp;F46&amp;G46&amp;H43&amp;I43&amp;J43&amp;K43</f>
        <v>731G2G10000003B</v>
      </c>
      <c r="C8" s="7" t="s">
        <v>1678</v>
      </c>
      <c r="D8" s="333" t="str">
        <f>D5</f>
        <v>07</v>
      </c>
      <c r="E8" s="333" t="str">
        <f>E5</f>
        <v>31</v>
      </c>
      <c r="F8" s="99" t="str">
        <f>MID($A$4,4,2)</f>
        <v>G1</v>
      </c>
      <c r="G8" s="99" t="str">
        <f>MID($A$4,6,2)</f>
        <v>G1</v>
      </c>
      <c r="N8" s="8"/>
      <c r="P8" s="21" t="str">
        <f>MID(H6,3,1)</f>
        <v>0</v>
      </c>
      <c r="Q8" s="26" t="str">
        <f t="shared" si="4"/>
        <v>0</v>
      </c>
      <c r="R8" s="7" t="s">
        <v>69</v>
      </c>
      <c r="S8" s="439"/>
      <c r="T8" s="21" t="str">
        <f>MID(I6,3,1)</f>
        <v>0</v>
      </c>
      <c r="U8" s="26" t="str">
        <f t="shared" si="2"/>
        <v>0</v>
      </c>
      <c r="V8" s="7" t="s">
        <v>69</v>
      </c>
      <c r="W8" s="332" t="s">
        <v>1675</v>
      </c>
      <c r="X8" s="21" t="str">
        <f>MID(J6,3,1)</f>
        <v>0</v>
      </c>
      <c r="Y8" s="26" t="str">
        <f t="shared" si="5"/>
        <v>0</v>
      </c>
      <c r="Z8" s="7" t="s">
        <v>69</v>
      </c>
      <c r="AA8" s="285" t="s">
        <v>1359</v>
      </c>
      <c r="AB8" s="21" t="str">
        <f>MID(K6,3,1)</f>
        <v>0</v>
      </c>
      <c r="AC8" s="26" t="str">
        <f t="shared" si="6"/>
        <v>0</v>
      </c>
      <c r="AD8" s="7" t="s">
        <v>69</v>
      </c>
      <c r="AE8" s="443"/>
      <c r="AF8" s="351" t="str">
        <f>MID(L6,3,1)</f>
        <v>0</v>
      </c>
      <c r="AG8" s="26" t="str">
        <f t="shared" si="7"/>
        <v>0</v>
      </c>
      <c r="AH8" s="7" t="s">
        <v>69</v>
      </c>
      <c r="AI8" s="350" t="s">
        <v>66</v>
      </c>
      <c r="AJ8" s="381"/>
      <c r="AK8" s="401"/>
    </row>
    <row r="9" spans="1:37" ht="15" thickBot="1" x14ac:dyDescent="0.35">
      <c r="C9" s="7"/>
      <c r="N9" s="8"/>
      <c r="P9" s="21" t="str">
        <f>MID(H6,4,1)</f>
        <v>0</v>
      </c>
      <c r="Q9" s="26" t="str">
        <f t="shared" si="4"/>
        <v>0</v>
      </c>
      <c r="R9" s="7" t="s">
        <v>70</v>
      </c>
      <c r="S9" s="440"/>
      <c r="T9" s="21" t="str">
        <f>MID(I6,4,1)</f>
        <v>0</v>
      </c>
      <c r="U9" s="26" t="str">
        <f t="shared" si="2"/>
        <v>0</v>
      </c>
      <c r="V9" s="7" t="s">
        <v>70</v>
      </c>
      <c r="W9" s="330" t="s">
        <v>1676</v>
      </c>
      <c r="X9" s="21" t="str">
        <f>MID(J6,4,1)</f>
        <v>0</v>
      </c>
      <c r="Y9" s="26" t="str">
        <f t="shared" si="5"/>
        <v>0</v>
      </c>
      <c r="Z9" s="7" t="s">
        <v>70</v>
      </c>
      <c r="AA9" s="365" t="s">
        <v>1776</v>
      </c>
      <c r="AB9" s="21" t="str">
        <f>MID(K6,4,1)</f>
        <v>0</v>
      </c>
      <c r="AC9" s="26" t="str">
        <f t="shared" si="6"/>
        <v>0</v>
      </c>
      <c r="AD9" s="7" t="s">
        <v>70</v>
      </c>
      <c r="AE9" s="345" t="s">
        <v>1357</v>
      </c>
      <c r="AF9" s="351" t="str">
        <f>MID(L6,4,1)</f>
        <v>0</v>
      </c>
      <c r="AG9" s="26" t="str">
        <f t="shared" si="7"/>
        <v>0</v>
      </c>
      <c r="AH9" s="7" t="s">
        <v>70</v>
      </c>
      <c r="AI9" s="353" t="s">
        <v>1690</v>
      </c>
      <c r="AJ9" s="381"/>
      <c r="AK9" s="401"/>
    </row>
    <row r="10" spans="1:37" ht="15" thickBot="1" x14ac:dyDescent="0.35">
      <c r="C10" s="7" t="s">
        <v>56</v>
      </c>
      <c r="D10" s="15" t="str">
        <f>D5</f>
        <v>07</v>
      </c>
      <c r="E10" s="16" t="str">
        <f>E5</f>
        <v>31</v>
      </c>
      <c r="F10" s="16" t="str">
        <f>F5</f>
        <v>01</v>
      </c>
      <c r="G10" s="17" t="str">
        <f>G5</f>
        <v>01</v>
      </c>
      <c r="H10" s="23" t="str">
        <f>BIN2HEX(H11,2)</f>
        <v>00</v>
      </c>
      <c r="I10" s="25" t="str">
        <f t="shared" ref="I10:L10" si="8">BIN2HEX(I11,2)</f>
        <v>00</v>
      </c>
      <c r="J10" s="24" t="str">
        <f t="shared" si="8"/>
        <v>00</v>
      </c>
      <c r="K10" s="2" t="str">
        <f t="shared" si="8"/>
        <v>00</v>
      </c>
      <c r="L10" s="18" t="str">
        <f t="shared" si="8"/>
        <v>00</v>
      </c>
      <c r="M10" s="3" t="str">
        <f>IF(LEN(M11)&gt;2,MID(M11,2,2),M11)</f>
        <v>3A</v>
      </c>
      <c r="N10" s="8" t="s">
        <v>61</v>
      </c>
      <c r="P10" s="21" t="str">
        <f>MID(H6,5,1)</f>
        <v>0</v>
      </c>
      <c r="Q10" s="26" t="str">
        <f t="shared" si="4"/>
        <v>0</v>
      </c>
      <c r="R10" s="7" t="s">
        <v>71</v>
      </c>
      <c r="S10" s="289" t="s">
        <v>1355</v>
      </c>
      <c r="T10" s="21" t="str">
        <f>MID(I6,5,1)</f>
        <v>0</v>
      </c>
      <c r="U10" s="26" t="str">
        <f t="shared" si="2"/>
        <v>0</v>
      </c>
      <c r="V10" s="7" t="s">
        <v>71</v>
      </c>
      <c r="W10" s="441" t="s">
        <v>1665</v>
      </c>
      <c r="X10" s="21" t="str">
        <f>MID(J6,5,1)</f>
        <v>0</v>
      </c>
      <c r="Y10" s="26" t="str">
        <f t="shared" si="5"/>
        <v>0</v>
      </c>
      <c r="Z10" s="7" t="s">
        <v>71</v>
      </c>
      <c r="AA10" s="285" t="s">
        <v>1360</v>
      </c>
      <c r="AB10" s="21" t="str">
        <f>MID(K6,5,1)</f>
        <v>0</v>
      </c>
      <c r="AC10" s="26" t="str">
        <f t="shared" si="6"/>
        <v>0</v>
      </c>
      <c r="AD10" s="7" t="s">
        <v>71</v>
      </c>
      <c r="AE10" s="346" t="s">
        <v>1326</v>
      </c>
      <c r="AF10" s="351" t="str">
        <f>MID(L6,5,1)</f>
        <v>0</v>
      </c>
      <c r="AG10" s="26" t="str">
        <f t="shared" si="7"/>
        <v>0</v>
      </c>
      <c r="AH10" s="7" t="s">
        <v>71</v>
      </c>
      <c r="AI10" s="350" t="s">
        <v>66</v>
      </c>
      <c r="AJ10" s="381"/>
      <c r="AK10" s="401"/>
    </row>
    <row r="11" spans="1:37" x14ac:dyDescent="0.3">
      <c r="C11" s="7" t="s">
        <v>64</v>
      </c>
      <c r="D11" s="99" t="str">
        <f>HEX2BIN(D10,8)</f>
        <v>00000111</v>
      </c>
      <c r="E11" s="99" t="str">
        <f t="shared" ref="E11:G11" si="9">HEX2BIN(E10,8)</f>
        <v>00110001</v>
      </c>
      <c r="F11" s="99" t="str">
        <f t="shared" si="9"/>
        <v>00000001</v>
      </c>
      <c r="G11" s="99" t="str">
        <f t="shared" si="9"/>
        <v>00000001</v>
      </c>
      <c r="H11" s="29" t="str">
        <f>Q6&amp;Q7&amp;Q8&amp;Q9&amp;Q10&amp;Q11&amp;Q12&amp;Q13</f>
        <v>00000000</v>
      </c>
      <c r="I11" s="99" t="str">
        <f>U6&amp;U7&amp;U8&amp;U9&amp;U10&amp;U11&amp;U12&amp;U13</f>
        <v>00000000</v>
      </c>
      <c r="J11" s="29" t="str">
        <f>Y6&amp;Y7&amp;Y8&amp;Y9&amp;Y10&amp;Y11&amp;Y12&amp;Y13</f>
        <v>00000000</v>
      </c>
      <c r="K11" s="29" t="str">
        <f>AC6&amp;AC7&amp;AC8&amp;AC9&amp;AC10&amp;AC11&amp;AC12&amp;AC13</f>
        <v>00000000</v>
      </c>
      <c r="L11" s="99" t="str">
        <f>AG6&amp;AG7&amp;AG8&amp;AG9&amp;AG10&amp;AG11&amp;AG12&amp;AG13</f>
        <v>00000000</v>
      </c>
      <c r="M11" s="99" t="str">
        <f>DEC2HEX(M12)</f>
        <v>3A</v>
      </c>
      <c r="N11" s="8"/>
      <c r="P11" s="21" t="str">
        <f>MID(H6,6,1)</f>
        <v>0</v>
      </c>
      <c r="Q11" s="26" t="str">
        <f t="shared" si="4"/>
        <v>0</v>
      </c>
      <c r="R11" s="7" t="s">
        <v>72</v>
      </c>
      <c r="S11" s="289" t="s">
        <v>1687</v>
      </c>
      <c r="T11" s="21" t="str">
        <f>MID(I6,6,1)</f>
        <v>0</v>
      </c>
      <c r="U11" s="26" t="str">
        <f t="shared" si="2"/>
        <v>0</v>
      </c>
      <c r="V11" s="7" t="s">
        <v>72</v>
      </c>
      <c r="W11" s="439"/>
      <c r="X11" s="21" t="str">
        <f>MID(J6,6,1)</f>
        <v>0</v>
      </c>
      <c r="Y11" s="26" t="str">
        <f t="shared" si="5"/>
        <v>0</v>
      </c>
      <c r="Z11" s="7" t="s">
        <v>72</v>
      </c>
      <c r="AA11" s="365" t="s">
        <v>1777</v>
      </c>
      <c r="AB11" s="21" t="str">
        <f>MID(K6,6,1)</f>
        <v>0</v>
      </c>
      <c r="AC11" s="26" t="str">
        <f t="shared" si="6"/>
        <v>0</v>
      </c>
      <c r="AD11" s="7" t="s">
        <v>72</v>
      </c>
      <c r="AE11" s="347" t="s">
        <v>1362</v>
      </c>
      <c r="AF11" s="351" t="str">
        <f>MID(L6,6,1)</f>
        <v>0</v>
      </c>
      <c r="AG11" s="26" t="str">
        <f t="shared" si="7"/>
        <v>0</v>
      </c>
      <c r="AH11" s="7" t="s">
        <v>72</v>
      </c>
      <c r="AI11" s="350" t="s">
        <v>66</v>
      </c>
      <c r="AJ11" s="381"/>
      <c r="AK11" s="401"/>
    </row>
    <row r="12" spans="1:37" ht="15" customHeight="1" x14ac:dyDescent="0.3">
      <c r="C12" s="7" t="s">
        <v>67</v>
      </c>
      <c r="D12" s="99">
        <f>HEX2DEC(D10)</f>
        <v>7</v>
      </c>
      <c r="E12" s="99">
        <f t="shared" ref="E12:L12" si="10">HEX2DEC(E10)</f>
        <v>49</v>
      </c>
      <c r="F12" s="99">
        <f t="shared" si="10"/>
        <v>1</v>
      </c>
      <c r="G12" s="99">
        <f t="shared" si="10"/>
        <v>1</v>
      </c>
      <c r="H12" s="99">
        <f t="shared" si="10"/>
        <v>0</v>
      </c>
      <c r="I12" s="99">
        <f>HEX2DEC(I10)</f>
        <v>0</v>
      </c>
      <c r="J12" s="99">
        <f t="shared" si="10"/>
        <v>0</v>
      </c>
      <c r="K12" s="99">
        <f t="shared" si="10"/>
        <v>0</v>
      </c>
      <c r="L12" s="99">
        <f t="shared" si="10"/>
        <v>0</v>
      </c>
      <c r="M12" s="99">
        <f>SUM(D12:L12)</f>
        <v>58</v>
      </c>
      <c r="N12" s="8"/>
      <c r="P12" s="21" t="str">
        <f>MID(H6,7,1)</f>
        <v>0</v>
      </c>
      <c r="Q12" s="26" t="str">
        <f t="shared" si="4"/>
        <v>0</v>
      </c>
      <c r="R12" s="7" t="s">
        <v>73</v>
      </c>
      <c r="S12" s="290" t="s">
        <v>1356</v>
      </c>
      <c r="T12" s="21" t="str">
        <f>MID(I6,7,1)</f>
        <v>0</v>
      </c>
      <c r="U12" s="26" t="str">
        <f t="shared" si="2"/>
        <v>0</v>
      </c>
      <c r="V12" s="7" t="s">
        <v>73</v>
      </c>
      <c r="W12" s="439"/>
      <c r="X12" s="21" t="str">
        <f>MID(J6,7,1)</f>
        <v>0</v>
      </c>
      <c r="Y12" s="26" t="str">
        <f t="shared" si="5"/>
        <v>0</v>
      </c>
      <c r="Z12" s="7" t="s">
        <v>73</v>
      </c>
      <c r="AA12" s="343" t="s">
        <v>1688</v>
      </c>
      <c r="AB12" s="21" t="str">
        <f>MID(K6,7,1)</f>
        <v>0</v>
      </c>
      <c r="AC12" s="26" t="str">
        <f t="shared" si="6"/>
        <v>0</v>
      </c>
      <c r="AD12" s="7" t="s">
        <v>73</v>
      </c>
      <c r="AE12" s="346" t="s">
        <v>1326</v>
      </c>
      <c r="AF12" s="351" t="str">
        <f>MID(L6,7,1)</f>
        <v>0</v>
      </c>
      <c r="AG12" s="26" t="str">
        <f t="shared" si="7"/>
        <v>0</v>
      </c>
      <c r="AH12" s="7" t="s">
        <v>73</v>
      </c>
      <c r="AI12" s="350" t="s">
        <v>66</v>
      </c>
      <c r="AJ12" s="381"/>
      <c r="AK12" s="401"/>
    </row>
    <row r="13" spans="1:37" ht="15" thickBot="1" x14ac:dyDescent="0.35">
      <c r="C13" s="9" t="s">
        <v>1678</v>
      </c>
      <c r="D13" s="335" t="str">
        <f>D8</f>
        <v>07</v>
      </c>
      <c r="E13" s="335" t="str">
        <f t="shared" ref="E13:G13" si="11">E8</f>
        <v>31</v>
      </c>
      <c r="F13" s="335" t="str">
        <f t="shared" si="11"/>
        <v>G1</v>
      </c>
      <c r="G13" s="335" t="str">
        <f t="shared" si="11"/>
        <v>G1</v>
      </c>
      <c r="H13" s="10"/>
      <c r="I13" s="10"/>
      <c r="J13" s="10"/>
      <c r="K13" s="10"/>
      <c r="L13" s="10"/>
      <c r="M13" s="10"/>
      <c r="N13" s="11"/>
      <c r="P13" s="22" t="str">
        <f>MID(H6,8,1)</f>
        <v>0</v>
      </c>
      <c r="Q13" s="55" t="str">
        <f t="shared" si="4"/>
        <v>0</v>
      </c>
      <c r="R13" s="9" t="s">
        <v>74</v>
      </c>
      <c r="S13" s="291" t="s">
        <v>1356</v>
      </c>
      <c r="T13" s="22" t="str">
        <f>MID(I6,8,1)</f>
        <v>0</v>
      </c>
      <c r="U13" s="55" t="str">
        <f t="shared" si="2"/>
        <v>0</v>
      </c>
      <c r="V13" s="9" t="s">
        <v>74</v>
      </c>
      <c r="W13" s="295" t="s">
        <v>1357</v>
      </c>
      <c r="X13" s="22" t="str">
        <f>MID(J6,8,1)</f>
        <v>0</v>
      </c>
      <c r="Y13" s="55" t="str">
        <f t="shared" si="5"/>
        <v>0</v>
      </c>
      <c r="Z13" s="9" t="s">
        <v>74</v>
      </c>
      <c r="AA13" s="300" t="s">
        <v>1326</v>
      </c>
      <c r="AB13" s="22" t="str">
        <f>MID(K6,8,1)</f>
        <v>0</v>
      </c>
      <c r="AC13" s="55" t="str">
        <f t="shared" si="6"/>
        <v>0</v>
      </c>
      <c r="AD13" s="9" t="s">
        <v>74</v>
      </c>
      <c r="AE13" s="348" t="s">
        <v>1326</v>
      </c>
      <c r="AF13" s="354" t="str">
        <f>MID(L6,8,1)</f>
        <v>0</v>
      </c>
      <c r="AG13" s="355" t="str">
        <f t="shared" si="7"/>
        <v>0</v>
      </c>
      <c r="AH13" s="356" t="s">
        <v>74</v>
      </c>
      <c r="AI13" s="357" t="s">
        <v>1691</v>
      </c>
      <c r="AJ13" s="403"/>
      <c r="AK13" s="404"/>
    </row>
    <row r="14" spans="1:37" ht="15" thickBot="1" x14ac:dyDescent="0.35">
      <c r="C14" s="4"/>
      <c r="D14" s="5"/>
      <c r="E14" s="5"/>
      <c r="F14" s="5"/>
      <c r="G14" s="5"/>
      <c r="H14" s="5"/>
      <c r="I14" s="5"/>
      <c r="J14" s="5"/>
      <c r="K14" s="5"/>
      <c r="L14" s="5"/>
      <c r="M14" s="5" t="s">
        <v>41</v>
      </c>
      <c r="N14" s="6"/>
      <c r="P14" s="392" t="s">
        <v>117</v>
      </c>
      <c r="Q14" s="392"/>
      <c r="R14" s="392"/>
      <c r="S14" s="392"/>
      <c r="T14" s="392"/>
      <c r="U14" s="392"/>
      <c r="V14" s="392"/>
      <c r="W14" s="392"/>
      <c r="X14" s="392"/>
      <c r="Y14" s="392"/>
      <c r="Z14" s="392"/>
      <c r="AA14" s="392"/>
      <c r="AB14" s="392"/>
      <c r="AC14" s="392"/>
      <c r="AD14" s="392"/>
      <c r="AE14" s="392"/>
      <c r="AF14" s="392"/>
      <c r="AG14" s="392"/>
      <c r="AH14" s="392"/>
      <c r="AI14" s="392"/>
      <c r="AJ14" s="392"/>
      <c r="AK14" s="392"/>
    </row>
    <row r="15" spans="1:37" ht="15" thickBot="1" x14ac:dyDescent="0.35">
      <c r="C15" s="7"/>
      <c r="D15" s="393" t="s">
        <v>118</v>
      </c>
      <c r="E15" s="393"/>
      <c r="F15" s="393"/>
      <c r="G15" s="393"/>
      <c r="H15" s="99" t="s">
        <v>44</v>
      </c>
      <c r="I15" s="99" t="s">
        <v>45</v>
      </c>
      <c r="J15" s="99" t="s">
        <v>46</v>
      </c>
      <c r="K15" s="99" t="s">
        <v>47</v>
      </c>
      <c r="L15" s="99" t="s">
        <v>48</v>
      </c>
      <c r="M15" s="99" t="s">
        <v>49</v>
      </c>
      <c r="N15" s="8"/>
      <c r="P15" s="394" t="s">
        <v>50</v>
      </c>
      <c r="Q15" s="395"/>
      <c r="R15" s="395"/>
      <c r="S15" s="396"/>
      <c r="T15" s="394" t="s">
        <v>51</v>
      </c>
      <c r="U15" s="395"/>
      <c r="V15" s="395"/>
      <c r="W15" s="396"/>
      <c r="X15" s="394" t="s">
        <v>52</v>
      </c>
      <c r="Y15" s="395"/>
      <c r="Z15" s="395"/>
      <c r="AA15" s="396"/>
      <c r="AB15" s="394" t="s">
        <v>53</v>
      </c>
      <c r="AC15" s="395"/>
      <c r="AD15" s="395"/>
      <c r="AE15" s="396"/>
      <c r="AF15" s="394" t="s">
        <v>97</v>
      </c>
      <c r="AG15" s="395"/>
      <c r="AH15" s="395"/>
      <c r="AI15" s="396"/>
      <c r="AJ15" s="394" t="s">
        <v>55</v>
      </c>
      <c r="AK15" s="396"/>
    </row>
    <row r="16" spans="1:37" ht="15" thickBot="1" x14ac:dyDescent="0.35">
      <c r="C16" s="7" t="s">
        <v>56</v>
      </c>
      <c r="D16" s="12" t="s">
        <v>57</v>
      </c>
      <c r="E16" s="13" t="s">
        <v>116</v>
      </c>
      <c r="F16" s="13" t="s">
        <v>59</v>
      </c>
      <c r="G16" s="14" t="s">
        <v>77</v>
      </c>
      <c r="H16" s="316" t="str">
        <f>MID($A$5,8,2)</f>
        <v>00</v>
      </c>
      <c r="I16" s="317" t="str">
        <f>MID($A$5,10,2)</f>
        <v>00</v>
      </c>
      <c r="J16" s="317" t="str">
        <f>MID($A$5,12,2)</f>
        <v>00</v>
      </c>
      <c r="K16" s="317" t="str">
        <f>MID($A$5,14,2)</f>
        <v>00</v>
      </c>
      <c r="L16" s="318" t="str">
        <f>MID($A$5,16,2)</f>
        <v>00</v>
      </c>
      <c r="M16" s="319" t="str">
        <f>MID($A$5,18,2)</f>
        <v>3B</v>
      </c>
      <c r="N16" s="8" t="s">
        <v>60</v>
      </c>
      <c r="P16" s="19" t="s">
        <v>60</v>
      </c>
      <c r="Q16" s="20" t="s">
        <v>61</v>
      </c>
      <c r="R16" t="s">
        <v>62</v>
      </c>
      <c r="S16" s="8"/>
      <c r="T16" s="19" t="s">
        <v>60</v>
      </c>
      <c r="U16" s="20" t="s">
        <v>61</v>
      </c>
      <c r="V16" t="s">
        <v>62</v>
      </c>
      <c r="W16" s="8"/>
      <c r="X16" s="19" t="s">
        <v>60</v>
      </c>
      <c r="Y16" s="20" t="s">
        <v>61</v>
      </c>
      <c r="Z16" t="s">
        <v>62</v>
      </c>
      <c r="AA16" s="8"/>
      <c r="AB16" s="19" t="s">
        <v>60</v>
      </c>
      <c r="AC16" s="20" t="s">
        <v>61</v>
      </c>
      <c r="AD16" t="s">
        <v>62</v>
      </c>
      <c r="AE16" s="8"/>
      <c r="AF16" s="19" t="s">
        <v>60</v>
      </c>
      <c r="AG16" s="20" t="s">
        <v>61</v>
      </c>
      <c r="AH16" t="s">
        <v>62</v>
      </c>
      <c r="AJ16" s="394" t="s">
        <v>63</v>
      </c>
      <c r="AK16" s="396"/>
    </row>
    <row r="17" spans="3:37" x14ac:dyDescent="0.3">
      <c r="C17" s="7" t="s">
        <v>64</v>
      </c>
      <c r="D17" s="99" t="str">
        <f>HEX2BIN(D16,8)</f>
        <v>00000111</v>
      </c>
      <c r="E17" s="99" t="str">
        <f t="shared" ref="E17:L17" si="12">HEX2BIN(E16,8)</f>
        <v>00110001</v>
      </c>
      <c r="F17" s="99" t="str">
        <f t="shared" si="12"/>
        <v>00000001</v>
      </c>
      <c r="G17" s="99" t="str">
        <f t="shared" si="12"/>
        <v>00000010</v>
      </c>
      <c r="H17" s="99" t="str">
        <f t="shared" si="12"/>
        <v>00000000</v>
      </c>
      <c r="I17" s="99" t="str">
        <f t="shared" si="12"/>
        <v>00000000</v>
      </c>
      <c r="J17" s="99" t="str">
        <f t="shared" si="12"/>
        <v>00000000</v>
      </c>
      <c r="K17" s="99" t="str">
        <f t="shared" si="12"/>
        <v>00000000</v>
      </c>
      <c r="L17" s="99" t="str">
        <f t="shared" si="12"/>
        <v>00000000</v>
      </c>
      <c r="N17" s="8"/>
      <c r="P17" s="21" t="str">
        <f>MID(H17,1,1)</f>
        <v>0</v>
      </c>
      <c r="Q17" s="26" t="str">
        <f>P17</f>
        <v>0</v>
      </c>
      <c r="R17" s="7" t="s">
        <v>65</v>
      </c>
      <c r="S17" s="8" t="s">
        <v>66</v>
      </c>
      <c r="T17" s="21" t="str">
        <f>MID(I17,1,1)</f>
        <v>0</v>
      </c>
      <c r="U17" s="26" t="str">
        <f>T17</f>
        <v>0</v>
      </c>
      <c r="V17" s="7" t="s">
        <v>65</v>
      </c>
      <c r="W17" s="292" t="s">
        <v>1326</v>
      </c>
      <c r="X17" s="21" t="str">
        <f>MID(J17,1,1)</f>
        <v>0</v>
      </c>
      <c r="Y17" s="26" t="str">
        <f>X17</f>
        <v>0</v>
      </c>
      <c r="Z17" s="7" t="s">
        <v>65</v>
      </c>
      <c r="AA17" s="8" t="s">
        <v>66</v>
      </c>
      <c r="AB17" s="21" t="str">
        <f>MID(K17,1,1)</f>
        <v>0</v>
      </c>
      <c r="AC17" s="26" t="str">
        <f>AB17</f>
        <v>0</v>
      </c>
      <c r="AD17" s="7" t="s">
        <v>65</v>
      </c>
      <c r="AE17" s="8" t="s">
        <v>66</v>
      </c>
      <c r="AF17" s="21" t="str">
        <f>MID(L17,1,1)</f>
        <v>0</v>
      </c>
      <c r="AG17" s="26" t="str">
        <f>AF17</f>
        <v>0</v>
      </c>
      <c r="AH17" s="7" t="s">
        <v>65</v>
      </c>
      <c r="AI17" s="417" t="s">
        <v>1370</v>
      </c>
      <c r="AJ17" s="400"/>
      <c r="AK17" s="401"/>
    </row>
    <row r="18" spans="3:37" x14ac:dyDescent="0.3">
      <c r="C18" s="7" t="s">
        <v>67</v>
      </c>
      <c r="D18" s="99">
        <f>HEX2DEC(D16)</f>
        <v>7</v>
      </c>
      <c r="E18" s="99">
        <f t="shared" ref="E18:L18" si="13">HEX2DEC(E16)</f>
        <v>49</v>
      </c>
      <c r="F18" s="99">
        <f t="shared" si="13"/>
        <v>1</v>
      </c>
      <c r="G18" s="99">
        <f t="shared" si="13"/>
        <v>2</v>
      </c>
      <c r="H18" s="99">
        <f t="shared" si="13"/>
        <v>0</v>
      </c>
      <c r="I18" s="99">
        <f t="shared" si="13"/>
        <v>0</v>
      </c>
      <c r="J18" s="99">
        <f t="shared" si="13"/>
        <v>0</v>
      </c>
      <c r="K18" s="99">
        <f t="shared" si="13"/>
        <v>0</v>
      </c>
      <c r="L18" s="99">
        <f t="shared" si="13"/>
        <v>0</v>
      </c>
      <c r="M18" s="99">
        <f>SUM(D18:L18)</f>
        <v>59</v>
      </c>
      <c r="N18" s="8"/>
      <c r="P18" s="21" t="str">
        <f>MID(H17,2,1)</f>
        <v>0</v>
      </c>
      <c r="Q18" s="26" t="str">
        <f t="shared" ref="Q18:Q24" si="14">P18</f>
        <v>0</v>
      </c>
      <c r="R18" s="7" t="s">
        <v>68</v>
      </c>
      <c r="S18" s="285" t="s">
        <v>1364</v>
      </c>
      <c r="T18" s="21" t="str">
        <f>MID(I17,2,1)</f>
        <v>0</v>
      </c>
      <c r="U18" s="26" t="str">
        <f t="shared" ref="U18:U24" si="15">T18</f>
        <v>0</v>
      </c>
      <c r="V18" s="7" t="s">
        <v>68</v>
      </c>
      <c r="W18" s="292" t="s">
        <v>1326</v>
      </c>
      <c r="X18" s="21" t="str">
        <f>MID(J17,2,1)</f>
        <v>0</v>
      </c>
      <c r="Y18" s="26" t="str">
        <f t="shared" ref="Y18:Y24" si="16">X18</f>
        <v>0</v>
      </c>
      <c r="Z18" s="7" t="s">
        <v>68</v>
      </c>
      <c r="AA18" s="8" t="s">
        <v>66</v>
      </c>
      <c r="AB18" s="21" t="str">
        <f>MID(K17,2,1)</f>
        <v>0</v>
      </c>
      <c r="AC18" s="26" t="str">
        <f t="shared" ref="AC18:AC24" si="17">AB18</f>
        <v>0</v>
      </c>
      <c r="AD18" s="7" t="s">
        <v>68</v>
      </c>
      <c r="AE18" s="414" t="s">
        <v>1369</v>
      </c>
      <c r="AF18" s="21" t="str">
        <f>MID(L17,2,1)</f>
        <v>0</v>
      </c>
      <c r="AG18" s="26" t="str">
        <f t="shared" ref="AG18:AG24" si="18">AF18</f>
        <v>0</v>
      </c>
      <c r="AH18" s="7" t="s">
        <v>68</v>
      </c>
      <c r="AI18" s="418"/>
      <c r="AJ18" s="400"/>
      <c r="AK18" s="401"/>
    </row>
    <row r="19" spans="3:37" x14ac:dyDescent="0.3">
      <c r="C19" s="7" t="s">
        <v>1678</v>
      </c>
      <c r="D19" s="333" t="str">
        <f>D16</f>
        <v>07</v>
      </c>
      <c r="E19" s="333" t="str">
        <f>E16</f>
        <v>31</v>
      </c>
      <c r="F19" s="99" t="str">
        <f>MID($A$5,4,2)</f>
        <v>G1</v>
      </c>
      <c r="G19" s="99" t="str">
        <f>MID($A$5,6,2)</f>
        <v>G2</v>
      </c>
      <c r="N19" s="8"/>
      <c r="P19" s="21" t="str">
        <f>MID(H17,3,1)</f>
        <v>0</v>
      </c>
      <c r="Q19" s="26" t="str">
        <f t="shared" si="14"/>
        <v>0</v>
      </c>
      <c r="R19" s="7" t="s">
        <v>69</v>
      </c>
      <c r="S19" s="8" t="s">
        <v>66</v>
      </c>
      <c r="T19" s="21" t="str">
        <f>MID(I17,3,1)</f>
        <v>0</v>
      </c>
      <c r="U19" s="26" t="str">
        <f t="shared" si="15"/>
        <v>0</v>
      </c>
      <c r="V19" s="7" t="s">
        <v>69</v>
      </c>
      <c r="W19" s="292" t="s">
        <v>1326</v>
      </c>
      <c r="X19" s="21" t="str">
        <f>MID(J17,3,1)</f>
        <v>0</v>
      </c>
      <c r="Y19" s="26" t="str">
        <f t="shared" si="16"/>
        <v>0</v>
      </c>
      <c r="Z19" s="7" t="s">
        <v>69</v>
      </c>
      <c r="AA19" s="447" t="s">
        <v>1715</v>
      </c>
      <c r="AB19" s="21" t="str">
        <f>MID(K17,3,1)</f>
        <v>0</v>
      </c>
      <c r="AC19" s="26" t="str">
        <f t="shared" si="17"/>
        <v>0</v>
      </c>
      <c r="AD19" s="7" t="s">
        <v>69</v>
      </c>
      <c r="AE19" s="415"/>
      <c r="AF19" s="21" t="str">
        <f>MID(L17,3,1)</f>
        <v>0</v>
      </c>
      <c r="AG19" s="26" t="str">
        <f t="shared" si="18"/>
        <v>0</v>
      </c>
      <c r="AH19" s="7" t="s">
        <v>69</v>
      </c>
      <c r="AI19" s="418"/>
      <c r="AJ19" s="400"/>
      <c r="AK19" s="401"/>
    </row>
    <row r="20" spans="3:37" ht="15" thickBot="1" x14ac:dyDescent="0.35">
      <c r="C20" s="7"/>
      <c r="N20" s="8"/>
      <c r="P20" s="21" t="str">
        <f>MID(H17,4,1)</f>
        <v>0</v>
      </c>
      <c r="Q20" s="26" t="str">
        <f t="shared" si="14"/>
        <v>0</v>
      </c>
      <c r="R20" s="7" t="s">
        <v>70</v>
      </c>
      <c r="S20" s="294" t="s">
        <v>1365</v>
      </c>
      <c r="T20" s="21" t="str">
        <f>MID(I17,4,1)</f>
        <v>0</v>
      </c>
      <c r="U20" s="26" t="str">
        <f t="shared" si="15"/>
        <v>0</v>
      </c>
      <c r="V20" s="7" t="s">
        <v>70</v>
      </c>
      <c r="W20" s="292" t="s">
        <v>1326</v>
      </c>
      <c r="X20" s="21" t="str">
        <f>MID(J17,4,1)</f>
        <v>0</v>
      </c>
      <c r="Y20" s="26" t="str">
        <f t="shared" si="16"/>
        <v>0</v>
      </c>
      <c r="Z20" s="7" t="s">
        <v>70</v>
      </c>
      <c r="AA20" s="415"/>
      <c r="AB20" s="21" t="str">
        <f>MID(K17,4,1)</f>
        <v>0</v>
      </c>
      <c r="AC20" s="26" t="str">
        <f t="shared" si="17"/>
        <v>0</v>
      </c>
      <c r="AD20" s="7" t="s">
        <v>70</v>
      </c>
      <c r="AE20" s="415"/>
      <c r="AF20" s="21" t="str">
        <f>MID(L17,4,1)</f>
        <v>0</v>
      </c>
      <c r="AG20" s="26" t="str">
        <f t="shared" si="18"/>
        <v>0</v>
      </c>
      <c r="AH20" s="7" t="s">
        <v>70</v>
      </c>
      <c r="AI20" s="419"/>
      <c r="AJ20" s="400"/>
      <c r="AK20" s="401"/>
    </row>
    <row r="21" spans="3:37" ht="15" thickBot="1" x14ac:dyDescent="0.35">
      <c r="C21" s="7" t="s">
        <v>56</v>
      </c>
      <c r="D21" s="15" t="str">
        <f t="shared" ref="D21:G21" si="19">D16</f>
        <v>07</v>
      </c>
      <c r="E21" s="16" t="str">
        <f t="shared" si="19"/>
        <v>31</v>
      </c>
      <c r="F21" s="16" t="str">
        <f t="shared" si="19"/>
        <v>01</v>
      </c>
      <c r="G21" s="17" t="str">
        <f t="shared" si="19"/>
        <v>02</v>
      </c>
      <c r="H21" s="23" t="str">
        <f>BIN2HEX(H22,2)</f>
        <v>00</v>
      </c>
      <c r="I21" s="25" t="str">
        <f t="shared" ref="I21:L21" si="20">BIN2HEX(I22,2)</f>
        <v>00</v>
      </c>
      <c r="J21" s="24" t="str">
        <f t="shared" si="20"/>
        <v>00</v>
      </c>
      <c r="K21" s="2" t="str">
        <f t="shared" si="20"/>
        <v>00</v>
      </c>
      <c r="L21" s="18" t="str">
        <f t="shared" si="20"/>
        <v>00</v>
      </c>
      <c r="M21" s="3" t="str">
        <f>IF(LEN(M22)&gt;2,MID(M22,2,2),M22)</f>
        <v>3B</v>
      </c>
      <c r="N21" s="8" t="s">
        <v>61</v>
      </c>
      <c r="P21" s="21" t="str">
        <f>MID(H17,5,1)</f>
        <v>0</v>
      </c>
      <c r="Q21" s="26" t="str">
        <f t="shared" si="14"/>
        <v>0</v>
      </c>
      <c r="R21" s="7" t="s">
        <v>71</v>
      </c>
      <c r="S21" s="444" t="s">
        <v>1366</v>
      </c>
      <c r="T21" s="21" t="str">
        <f>MID(I17,5,1)</f>
        <v>0</v>
      </c>
      <c r="U21" s="26" t="str">
        <f t="shared" si="15"/>
        <v>0</v>
      </c>
      <c r="V21" s="7" t="s">
        <v>71</v>
      </c>
      <c r="W21" s="285" t="s">
        <v>1367</v>
      </c>
      <c r="X21" s="21" t="str">
        <f>MID(J17,5,1)</f>
        <v>0</v>
      </c>
      <c r="Y21" s="26" t="str">
        <f t="shared" si="16"/>
        <v>0</v>
      </c>
      <c r="Z21" s="7" t="s">
        <v>71</v>
      </c>
      <c r="AA21" s="415"/>
      <c r="AB21" s="21" t="str">
        <f>MID(K17,5,1)</f>
        <v>0</v>
      </c>
      <c r="AC21" s="26" t="str">
        <f t="shared" si="17"/>
        <v>0</v>
      </c>
      <c r="AD21" s="7" t="s">
        <v>71</v>
      </c>
      <c r="AE21" s="415"/>
      <c r="AF21" s="21" t="str">
        <f>MID(L17,5,1)</f>
        <v>0</v>
      </c>
      <c r="AG21" s="26" t="str">
        <f t="shared" si="18"/>
        <v>0</v>
      </c>
      <c r="AH21" s="7" t="s">
        <v>71</v>
      </c>
      <c r="AI21" s="292" t="s">
        <v>1326</v>
      </c>
      <c r="AJ21" s="400"/>
      <c r="AK21" s="401"/>
    </row>
    <row r="22" spans="3:37" x14ac:dyDescent="0.3">
      <c r="C22" s="7" t="s">
        <v>64</v>
      </c>
      <c r="D22" s="99" t="str">
        <f>HEX2BIN(D21,8)</f>
        <v>00000111</v>
      </c>
      <c r="E22" s="99" t="str">
        <f t="shared" ref="E22:G22" si="21">HEX2BIN(E21,8)</f>
        <v>00110001</v>
      </c>
      <c r="F22" s="99" t="str">
        <f t="shared" si="21"/>
        <v>00000001</v>
      </c>
      <c r="G22" s="99" t="str">
        <f t="shared" si="21"/>
        <v>00000010</v>
      </c>
      <c r="H22" s="29" t="str">
        <f>Q17&amp;Q18&amp;Q19&amp;Q20&amp;Q21&amp;Q22&amp;Q23&amp;Q24</f>
        <v>00000000</v>
      </c>
      <c r="I22" s="99" t="str">
        <f>U17&amp;U18&amp;U19&amp;U20&amp;U21&amp;U22&amp;U23&amp;U24</f>
        <v>00000000</v>
      </c>
      <c r="J22" s="29" t="str">
        <f>Y17&amp;Y18&amp;Y19&amp;Y20&amp;Y21&amp;Y22&amp;Y23&amp;Y24</f>
        <v>00000000</v>
      </c>
      <c r="K22" s="29" t="str">
        <f>AC17&amp;AC18&amp;AC19&amp;AC20&amp;AC21&amp;AC22&amp;AC23&amp;AC24</f>
        <v>00000000</v>
      </c>
      <c r="L22" s="99" t="str">
        <f>AG17&amp;AG18&amp;AG19&amp;AG20&amp;AG21&amp;AG22&amp;AG23&amp;AG24</f>
        <v>00000000</v>
      </c>
      <c r="M22" s="99" t="str">
        <f>DEC2HEX(M23)</f>
        <v>3B</v>
      </c>
      <c r="N22" s="8"/>
      <c r="P22" s="21" t="str">
        <f>MID(H17,6,1)</f>
        <v>0</v>
      </c>
      <c r="Q22" s="26" t="str">
        <f t="shared" si="14"/>
        <v>0</v>
      </c>
      <c r="R22" s="7" t="s">
        <v>72</v>
      </c>
      <c r="S22" s="445"/>
      <c r="T22" s="21" t="str">
        <f>MID(I17,6,1)</f>
        <v>0</v>
      </c>
      <c r="U22" s="26" t="str">
        <f t="shared" si="15"/>
        <v>0</v>
      </c>
      <c r="V22" s="7" t="s">
        <v>72</v>
      </c>
      <c r="W22" s="296" t="s">
        <v>1368</v>
      </c>
      <c r="X22" s="21" t="str">
        <f>MID(J17,6,1)</f>
        <v>0</v>
      </c>
      <c r="Y22" s="26" t="str">
        <f t="shared" si="16"/>
        <v>0</v>
      </c>
      <c r="Z22" s="7" t="s">
        <v>72</v>
      </c>
      <c r="AA22" s="415"/>
      <c r="AB22" s="21" t="str">
        <f>MID(K17,6,1)</f>
        <v>0</v>
      </c>
      <c r="AC22" s="26" t="str">
        <f t="shared" si="17"/>
        <v>0</v>
      </c>
      <c r="AD22" s="7" t="s">
        <v>72</v>
      </c>
      <c r="AE22" s="415"/>
      <c r="AF22" s="21" t="str">
        <f>MID(L17,6,1)</f>
        <v>0</v>
      </c>
      <c r="AG22" s="26" t="str">
        <f t="shared" si="18"/>
        <v>0</v>
      </c>
      <c r="AH22" s="7" t="s">
        <v>72</v>
      </c>
      <c r="AI22" s="292" t="s">
        <v>1326</v>
      </c>
      <c r="AJ22" s="400"/>
      <c r="AK22" s="401"/>
    </row>
    <row r="23" spans="3:37" x14ac:dyDescent="0.3">
      <c r="C23" s="7" t="s">
        <v>67</v>
      </c>
      <c r="D23" s="99">
        <f>HEX2DEC(D21)</f>
        <v>7</v>
      </c>
      <c r="E23" s="99">
        <f t="shared" ref="E23:L23" si="22">HEX2DEC(E21)</f>
        <v>49</v>
      </c>
      <c r="F23" s="99">
        <f t="shared" si="22"/>
        <v>1</v>
      </c>
      <c r="G23" s="99">
        <f t="shared" si="22"/>
        <v>2</v>
      </c>
      <c r="H23" s="99">
        <f t="shared" si="22"/>
        <v>0</v>
      </c>
      <c r="I23" s="99">
        <f t="shared" si="22"/>
        <v>0</v>
      </c>
      <c r="J23" s="99">
        <f t="shared" si="22"/>
        <v>0</v>
      </c>
      <c r="K23" s="99">
        <f t="shared" si="22"/>
        <v>0</v>
      </c>
      <c r="L23" s="99">
        <f t="shared" si="22"/>
        <v>0</v>
      </c>
      <c r="M23" s="99">
        <f>SUM(D23:L23)</f>
        <v>59</v>
      </c>
      <c r="N23" s="8"/>
      <c r="P23" s="21" t="str">
        <f>MID(H17,7,1)</f>
        <v>0</v>
      </c>
      <c r="Q23" s="26" t="str">
        <f t="shared" si="14"/>
        <v>0</v>
      </c>
      <c r="R23" s="7" t="s">
        <v>73</v>
      </c>
      <c r="S23" s="445"/>
      <c r="T23" s="21" t="str">
        <f>MID(I17,7,1)</f>
        <v>0</v>
      </c>
      <c r="U23" s="26" t="str">
        <f t="shared" si="15"/>
        <v>0</v>
      </c>
      <c r="V23" s="7" t="s">
        <v>73</v>
      </c>
      <c r="W23" s="8" t="s">
        <v>66</v>
      </c>
      <c r="X23" s="21" t="str">
        <f>MID(J17,7,1)</f>
        <v>0</v>
      </c>
      <c r="Y23" s="26" t="str">
        <f t="shared" si="16"/>
        <v>0</v>
      </c>
      <c r="Z23" s="7" t="s">
        <v>73</v>
      </c>
      <c r="AA23" s="415"/>
      <c r="AB23" s="21" t="str">
        <f>MID(K17,7,1)</f>
        <v>0</v>
      </c>
      <c r="AC23" s="26" t="str">
        <f t="shared" si="17"/>
        <v>0</v>
      </c>
      <c r="AD23" s="7" t="s">
        <v>73</v>
      </c>
      <c r="AE23" s="415"/>
      <c r="AF23" s="21" t="str">
        <f>MID(L17,7,1)</f>
        <v>0</v>
      </c>
      <c r="AG23" s="26" t="str">
        <f t="shared" si="18"/>
        <v>0</v>
      </c>
      <c r="AH23" s="7" t="s">
        <v>73</v>
      </c>
      <c r="AI23" s="292" t="s">
        <v>1326</v>
      </c>
      <c r="AJ23" s="400"/>
      <c r="AK23" s="401"/>
    </row>
    <row r="24" spans="3:37" ht="15" thickBot="1" x14ac:dyDescent="0.35">
      <c r="C24" s="9" t="s">
        <v>1678</v>
      </c>
      <c r="D24" s="335" t="str">
        <f>D19</f>
        <v>07</v>
      </c>
      <c r="E24" s="335" t="str">
        <f t="shared" ref="E24:G24" si="23">E19</f>
        <v>31</v>
      </c>
      <c r="F24" s="335" t="str">
        <f t="shared" si="23"/>
        <v>G1</v>
      </c>
      <c r="G24" s="335" t="str">
        <f t="shared" si="23"/>
        <v>G2</v>
      </c>
      <c r="H24" s="10"/>
      <c r="I24" s="10"/>
      <c r="J24" s="10"/>
      <c r="K24" s="10"/>
      <c r="L24" s="10"/>
      <c r="M24" s="10"/>
      <c r="N24" s="11"/>
      <c r="P24" s="22" t="str">
        <f>MID(H17,8,1)</f>
        <v>0</v>
      </c>
      <c r="Q24" s="55" t="str">
        <f t="shared" si="14"/>
        <v>0</v>
      </c>
      <c r="R24" s="9" t="s">
        <v>74</v>
      </c>
      <c r="S24" s="446"/>
      <c r="T24" s="22" t="str">
        <f>MID(I17,8,1)</f>
        <v>0</v>
      </c>
      <c r="U24" s="55" t="str">
        <f t="shared" si="15"/>
        <v>0</v>
      </c>
      <c r="V24" s="9" t="s">
        <v>74</v>
      </c>
      <c r="W24" s="287" t="s">
        <v>1367</v>
      </c>
      <c r="X24" s="22" t="str">
        <f>MID(J17,8,1)</f>
        <v>0</v>
      </c>
      <c r="Y24" s="55" t="str">
        <f t="shared" si="16"/>
        <v>0</v>
      </c>
      <c r="Z24" s="9" t="s">
        <v>74</v>
      </c>
      <c r="AA24" s="416"/>
      <c r="AB24" s="22" t="str">
        <f>MID(K17,8,1)</f>
        <v>0</v>
      </c>
      <c r="AC24" s="55" t="str">
        <f t="shared" si="17"/>
        <v>0</v>
      </c>
      <c r="AD24" s="9" t="s">
        <v>74</v>
      </c>
      <c r="AE24" s="416"/>
      <c r="AF24" s="22" t="str">
        <f>MID(L17,8,1)</f>
        <v>0</v>
      </c>
      <c r="AG24" s="55" t="str">
        <f t="shared" si="18"/>
        <v>0</v>
      </c>
      <c r="AH24" s="9" t="s">
        <v>74</v>
      </c>
      <c r="AI24" s="300" t="s">
        <v>1326</v>
      </c>
      <c r="AJ24" s="402"/>
      <c r="AK24" s="404"/>
    </row>
    <row r="25" spans="3:37" ht="15" thickBot="1" x14ac:dyDescent="0.35">
      <c r="C25" s="4"/>
      <c r="D25" s="5"/>
      <c r="E25" s="5"/>
      <c r="F25" s="5"/>
      <c r="G25" s="5"/>
      <c r="H25" s="5"/>
      <c r="I25" s="5"/>
      <c r="J25" s="5"/>
      <c r="K25" s="5" t="s">
        <v>41</v>
      </c>
      <c r="N25" s="6"/>
      <c r="P25" s="392" t="s">
        <v>119</v>
      </c>
      <c r="Q25" s="392"/>
      <c r="R25" s="392"/>
      <c r="S25" s="392"/>
      <c r="T25" s="392"/>
      <c r="U25" s="392"/>
      <c r="V25" s="392"/>
      <c r="W25" s="392"/>
      <c r="X25" s="392"/>
      <c r="Y25" s="392"/>
      <c r="Z25" s="392"/>
      <c r="AA25" s="392"/>
      <c r="AB25" s="392"/>
      <c r="AC25" s="392"/>
      <c r="AD25" s="392"/>
      <c r="AE25" s="392"/>
      <c r="AF25" s="405"/>
      <c r="AG25" s="405"/>
      <c r="AH25" s="405"/>
      <c r="AI25" s="405"/>
      <c r="AJ25" s="405"/>
      <c r="AK25" s="405"/>
    </row>
    <row r="26" spans="3:37" ht="15" thickBot="1" x14ac:dyDescent="0.35">
      <c r="C26" s="7"/>
      <c r="D26" s="393" t="s">
        <v>120</v>
      </c>
      <c r="E26" s="393"/>
      <c r="F26" s="393"/>
      <c r="G26" s="393"/>
      <c r="H26" s="99" t="s">
        <v>44</v>
      </c>
      <c r="I26" s="99" t="s">
        <v>45</v>
      </c>
      <c r="J26" s="99" t="s">
        <v>46</v>
      </c>
      <c r="K26" s="99" t="s">
        <v>47</v>
      </c>
      <c r="N26" s="8"/>
      <c r="P26" s="394" t="s">
        <v>50</v>
      </c>
      <c r="Q26" s="395"/>
      <c r="R26" s="395"/>
      <c r="S26" s="396"/>
      <c r="T26" s="394" t="s">
        <v>51</v>
      </c>
      <c r="U26" s="395"/>
      <c r="V26" s="395"/>
      <c r="W26" s="396"/>
      <c r="X26" s="394" t="s">
        <v>52</v>
      </c>
      <c r="Y26" s="395"/>
      <c r="Z26" s="395"/>
      <c r="AA26" s="396"/>
      <c r="AB26" s="448" t="s">
        <v>121</v>
      </c>
      <c r="AC26" s="407"/>
      <c r="AD26" s="407"/>
      <c r="AE26" s="408"/>
      <c r="AF26" s="7"/>
    </row>
    <row r="27" spans="3:37" ht="15" thickBot="1" x14ac:dyDescent="0.35">
      <c r="C27" s="7" t="s">
        <v>56</v>
      </c>
      <c r="D27" s="12" t="s">
        <v>57</v>
      </c>
      <c r="E27" s="13" t="s">
        <v>116</v>
      </c>
      <c r="F27" s="13" t="s">
        <v>59</v>
      </c>
      <c r="G27" s="14" t="s">
        <v>93</v>
      </c>
      <c r="H27" s="316" t="str">
        <f>MID($A$6,8,2)</f>
        <v>00</v>
      </c>
      <c r="I27" s="317" t="str">
        <f>MID($A$6,10,2)</f>
        <v>00</v>
      </c>
      <c r="J27" s="320" t="str">
        <f>MID($A$6,12,2)</f>
        <v>00</v>
      </c>
      <c r="K27" s="319" t="str">
        <f>MID($A$6,14,2)</f>
        <v>3C</v>
      </c>
      <c r="N27" s="8" t="s">
        <v>60</v>
      </c>
      <c r="P27" s="19" t="s">
        <v>60</v>
      </c>
      <c r="Q27" s="20" t="s">
        <v>61</v>
      </c>
      <c r="R27" t="s">
        <v>62</v>
      </c>
      <c r="S27" s="45" t="s">
        <v>122</v>
      </c>
      <c r="T27" s="19" t="s">
        <v>60</v>
      </c>
      <c r="U27" s="20" t="s">
        <v>61</v>
      </c>
      <c r="V27" t="s">
        <v>62</v>
      </c>
      <c r="W27" s="8"/>
      <c r="X27" s="19" t="s">
        <v>60</v>
      </c>
      <c r="Y27" s="20" t="s">
        <v>61</v>
      </c>
      <c r="Z27" t="s">
        <v>62</v>
      </c>
      <c r="AA27" s="8"/>
      <c r="AB27" s="394"/>
      <c r="AC27" s="395"/>
      <c r="AD27" s="395"/>
      <c r="AE27" s="396"/>
    </row>
    <row r="28" spans="3:37" x14ac:dyDescent="0.3">
      <c r="C28" s="7" t="s">
        <v>64</v>
      </c>
      <c r="D28" s="99" t="str">
        <f>HEX2BIN(D27,8)</f>
        <v>00000111</v>
      </c>
      <c r="E28" s="99" t="str">
        <f t="shared" ref="E28:J28" si="24">HEX2BIN(E27,8)</f>
        <v>00110001</v>
      </c>
      <c r="F28" s="99" t="str">
        <f t="shared" si="24"/>
        <v>00000001</v>
      </c>
      <c r="G28" s="99" t="str">
        <f t="shared" si="24"/>
        <v>00000011</v>
      </c>
      <c r="H28" s="99" t="str">
        <f t="shared" si="24"/>
        <v>00000000</v>
      </c>
      <c r="I28" s="99" t="str">
        <f t="shared" si="24"/>
        <v>00000000</v>
      </c>
      <c r="J28" s="99" t="str">
        <f t="shared" si="24"/>
        <v>00000000</v>
      </c>
      <c r="K28" s="99"/>
      <c r="N28" s="8"/>
      <c r="P28" s="21" t="str">
        <f>MID(H28,1,1)</f>
        <v>0</v>
      </c>
      <c r="Q28" s="26" t="str">
        <f>P28</f>
        <v>0</v>
      </c>
      <c r="R28" s="7" t="s">
        <v>65</v>
      </c>
      <c r="S28" s="8" t="s">
        <v>66</v>
      </c>
      <c r="T28" s="21" t="str">
        <f>MID(I28,1,1)</f>
        <v>0</v>
      </c>
      <c r="U28" s="26" t="str">
        <f>T28</f>
        <v>0</v>
      </c>
      <c r="V28" s="7" t="s">
        <v>65</v>
      </c>
      <c r="W28" s="8" t="s">
        <v>66</v>
      </c>
      <c r="X28" s="21" t="str">
        <f>MID(J28,1,1)</f>
        <v>0</v>
      </c>
      <c r="Y28" s="26" t="str">
        <f>X28</f>
        <v>0</v>
      </c>
      <c r="Z28" s="7" t="s">
        <v>65</v>
      </c>
      <c r="AA28" s="8" t="s">
        <v>66</v>
      </c>
      <c r="AB28" s="400"/>
      <c r="AC28" s="381"/>
      <c r="AD28" s="381"/>
      <c r="AE28" s="401"/>
    </row>
    <row r="29" spans="3:37" x14ac:dyDescent="0.3">
      <c r="C29" s="7" t="s">
        <v>67</v>
      </c>
      <c r="D29" s="99">
        <f>HEX2DEC(D27)</f>
        <v>7</v>
      </c>
      <c r="E29" s="99">
        <f t="shared" ref="E29:J29" si="25">HEX2DEC(E27)</f>
        <v>49</v>
      </c>
      <c r="F29" s="99">
        <f t="shared" si="25"/>
        <v>1</v>
      </c>
      <c r="G29" s="99">
        <f t="shared" si="25"/>
        <v>3</v>
      </c>
      <c r="H29" s="99">
        <f t="shared" si="25"/>
        <v>0</v>
      </c>
      <c r="I29" s="99">
        <f t="shared" si="25"/>
        <v>0</v>
      </c>
      <c r="J29" s="99">
        <f t="shared" si="25"/>
        <v>0</v>
      </c>
      <c r="K29" s="99">
        <f>SUM(D29:J29)</f>
        <v>60</v>
      </c>
      <c r="N29" s="8"/>
      <c r="P29" s="21" t="str">
        <f>MID(H28,2,1)</f>
        <v>0</v>
      </c>
      <c r="Q29" s="26" t="str">
        <f t="shared" ref="Q29:Q35" si="26">P29</f>
        <v>0</v>
      </c>
      <c r="R29" s="7" t="s">
        <v>68</v>
      </c>
      <c r="S29" s="323" t="s">
        <v>1668</v>
      </c>
      <c r="T29" s="21" t="str">
        <f>MID(I28,2,1)</f>
        <v>0</v>
      </c>
      <c r="U29" s="26" t="str">
        <f t="shared" ref="U29:U35" si="27">T29</f>
        <v>0</v>
      </c>
      <c r="V29" s="7" t="s">
        <v>68</v>
      </c>
      <c r="W29" s="8" t="s">
        <v>66</v>
      </c>
      <c r="X29" s="21" t="str">
        <f>MID(J28,2,1)</f>
        <v>0</v>
      </c>
      <c r="Y29" s="26" t="str">
        <f t="shared" ref="Y29:Y35" si="28">X29</f>
        <v>0</v>
      </c>
      <c r="Z29" s="7" t="s">
        <v>68</v>
      </c>
      <c r="AA29" s="8" t="s">
        <v>66</v>
      </c>
      <c r="AB29" s="400"/>
      <c r="AC29" s="381"/>
      <c r="AD29" s="381"/>
      <c r="AE29" s="401"/>
    </row>
    <row r="30" spans="3:37" x14ac:dyDescent="0.3">
      <c r="C30" s="7" t="s">
        <v>1678</v>
      </c>
      <c r="D30" s="333" t="str">
        <f>D27</f>
        <v>07</v>
      </c>
      <c r="E30" s="333" t="str">
        <f>E27</f>
        <v>31</v>
      </c>
      <c r="F30" s="99" t="str">
        <f>MID($A$6,4,2)</f>
        <v>G1</v>
      </c>
      <c r="G30" s="99" t="str">
        <f>MID($A$6,6,2)</f>
        <v>G3</v>
      </c>
      <c r="N30" s="8"/>
      <c r="P30" s="21" t="str">
        <f>MID(H28,3,1)</f>
        <v>0</v>
      </c>
      <c r="Q30" s="26" t="str">
        <f t="shared" si="26"/>
        <v>0</v>
      </c>
      <c r="R30" s="7" t="s">
        <v>69</v>
      </c>
      <c r="S30" s="8" t="s">
        <v>66</v>
      </c>
      <c r="T30" s="21" t="str">
        <f>MID(I28,3,1)</f>
        <v>0</v>
      </c>
      <c r="U30" s="26" t="str">
        <f t="shared" si="27"/>
        <v>0</v>
      </c>
      <c r="V30" s="7" t="s">
        <v>69</v>
      </c>
      <c r="W30" s="292" t="s">
        <v>1692</v>
      </c>
      <c r="X30" s="21" t="str">
        <f>MID(J28,3,1)</f>
        <v>0</v>
      </c>
      <c r="Y30" s="26" t="str">
        <f t="shared" si="28"/>
        <v>0</v>
      </c>
      <c r="Z30" s="7" t="s">
        <v>69</v>
      </c>
      <c r="AA30" s="8" t="s">
        <v>66</v>
      </c>
      <c r="AB30" s="400"/>
      <c r="AC30" s="381"/>
      <c r="AD30" s="381"/>
      <c r="AE30" s="401"/>
    </row>
    <row r="31" spans="3:37" ht="15" thickBot="1" x14ac:dyDescent="0.35">
      <c r="C31" s="7"/>
      <c r="N31" s="8"/>
      <c r="P31" s="21" t="str">
        <f>MID(H28,4,1)</f>
        <v>0</v>
      </c>
      <c r="Q31" s="26" t="str">
        <f t="shared" si="26"/>
        <v>0</v>
      </c>
      <c r="R31" s="7" t="s">
        <v>70</v>
      </c>
      <c r="S31" s="113" t="s">
        <v>123</v>
      </c>
      <c r="T31" s="21" t="str">
        <f>MID(I28,4,1)</f>
        <v>0</v>
      </c>
      <c r="U31" s="26" t="str">
        <f t="shared" si="27"/>
        <v>0</v>
      </c>
      <c r="V31" s="7" t="s">
        <v>70</v>
      </c>
      <c r="W31" s="8" t="s">
        <v>66</v>
      </c>
      <c r="X31" s="21" t="str">
        <f>MID(J28,4,1)</f>
        <v>0</v>
      </c>
      <c r="Y31" s="26" t="str">
        <f t="shared" si="28"/>
        <v>0</v>
      </c>
      <c r="Z31" s="7" t="s">
        <v>70</v>
      </c>
      <c r="AA31" s="8" t="s">
        <v>66</v>
      </c>
      <c r="AB31" s="400"/>
      <c r="AC31" s="381"/>
      <c r="AD31" s="381"/>
      <c r="AE31" s="401"/>
    </row>
    <row r="32" spans="3:37" ht="15" thickBot="1" x14ac:dyDescent="0.35">
      <c r="C32" s="7" t="s">
        <v>56</v>
      </c>
      <c r="D32" s="15" t="str">
        <f>D27</f>
        <v>07</v>
      </c>
      <c r="E32" s="16" t="str">
        <f>E27</f>
        <v>31</v>
      </c>
      <c r="F32" s="16" t="str">
        <f>F27</f>
        <v>01</v>
      </c>
      <c r="G32" s="17" t="str">
        <f>G27</f>
        <v>03</v>
      </c>
      <c r="H32" s="23" t="str">
        <f>BIN2HEX(H33,2)</f>
        <v>00</v>
      </c>
      <c r="I32" s="25" t="str">
        <f t="shared" ref="I32:J32" si="29">BIN2HEX(I33,2)</f>
        <v>00</v>
      </c>
      <c r="J32" s="24" t="str">
        <f t="shared" si="29"/>
        <v>00</v>
      </c>
      <c r="K32" s="314" t="str">
        <f>IF(LEN(K33)&gt;2,MID(K33,2,2),K33)</f>
        <v>3C</v>
      </c>
      <c r="N32" s="8" t="s">
        <v>61</v>
      </c>
      <c r="P32" s="21" t="str">
        <f>MID(H28,5,1)</f>
        <v>0</v>
      </c>
      <c r="Q32" s="26" t="str">
        <f t="shared" si="26"/>
        <v>0</v>
      </c>
      <c r="R32" s="7" t="s">
        <v>71</v>
      </c>
      <c r="S32" s="8" t="s">
        <v>66</v>
      </c>
      <c r="T32" s="21" t="str">
        <f>MID(I28,5,1)</f>
        <v>0</v>
      </c>
      <c r="U32" s="26" t="str">
        <f t="shared" si="27"/>
        <v>0</v>
      </c>
      <c r="V32" s="7" t="s">
        <v>71</v>
      </c>
      <c r="W32" s="8" t="s">
        <v>66</v>
      </c>
      <c r="X32" s="21" t="str">
        <f>MID(J28,5,1)</f>
        <v>0</v>
      </c>
      <c r="Y32" s="26" t="str">
        <f t="shared" si="28"/>
        <v>0</v>
      </c>
      <c r="Z32" s="7" t="s">
        <v>71</v>
      </c>
      <c r="AA32" s="8" t="s">
        <v>66</v>
      </c>
      <c r="AB32" s="400"/>
      <c r="AC32" s="381"/>
      <c r="AD32" s="381"/>
      <c r="AE32" s="401"/>
    </row>
    <row r="33" spans="3:37" x14ac:dyDescent="0.3">
      <c r="C33" s="7" t="s">
        <v>64</v>
      </c>
      <c r="D33" s="99" t="str">
        <f>HEX2BIN(D32,8)</f>
        <v>00000111</v>
      </c>
      <c r="E33" s="99" t="str">
        <f t="shared" ref="E33:G33" si="30">HEX2BIN(E32,8)</f>
        <v>00110001</v>
      </c>
      <c r="F33" s="99" t="str">
        <f t="shared" si="30"/>
        <v>00000001</v>
      </c>
      <c r="G33" s="99" t="str">
        <f t="shared" si="30"/>
        <v>00000011</v>
      </c>
      <c r="H33" s="29" t="str">
        <f>Q28&amp;Q29&amp;Q30&amp;Q31&amp;Q32&amp;Q33&amp;Q34&amp;Q35</f>
        <v>00000000</v>
      </c>
      <c r="I33" s="99" t="str">
        <f>U28&amp;U29&amp;U30&amp;U31&amp;U32&amp;U33&amp;U34&amp;U35</f>
        <v>00000000</v>
      </c>
      <c r="J33" s="29" t="str">
        <f>Y28&amp;Y29&amp;Y30&amp;Y31&amp;Y32&amp;Y33&amp;Y34&amp;Y35</f>
        <v>00000000</v>
      </c>
      <c r="K33" s="99" t="str">
        <f>DEC2HEX(K34)</f>
        <v>3C</v>
      </c>
      <c r="N33" s="8"/>
      <c r="P33" s="21" t="str">
        <f>MID(H28,6,1)</f>
        <v>0</v>
      </c>
      <c r="Q33" s="26" t="str">
        <f t="shared" si="26"/>
        <v>0</v>
      </c>
      <c r="R33" s="7" t="s">
        <v>72</v>
      </c>
      <c r="S33" s="113" t="s">
        <v>123</v>
      </c>
      <c r="T33" s="21" t="str">
        <f>MID(I28,6,1)</f>
        <v>0</v>
      </c>
      <c r="U33" s="26" t="str">
        <f t="shared" si="27"/>
        <v>0</v>
      </c>
      <c r="V33" s="7" t="s">
        <v>72</v>
      </c>
      <c r="W33" s="8" t="s">
        <v>66</v>
      </c>
      <c r="X33" s="21" t="str">
        <f>MID(J28,6,1)</f>
        <v>0</v>
      </c>
      <c r="Y33" s="26" t="str">
        <f t="shared" si="28"/>
        <v>0</v>
      </c>
      <c r="Z33" s="7" t="s">
        <v>72</v>
      </c>
      <c r="AA33" s="8" t="s">
        <v>66</v>
      </c>
      <c r="AB33" s="400"/>
      <c r="AC33" s="381"/>
      <c r="AD33" s="381"/>
      <c r="AE33" s="401"/>
    </row>
    <row r="34" spans="3:37" x14ac:dyDescent="0.3">
      <c r="C34" s="7" t="s">
        <v>67</v>
      </c>
      <c r="D34" s="99">
        <f>HEX2DEC(D32)</f>
        <v>7</v>
      </c>
      <c r="E34" s="99">
        <f t="shared" ref="E34:J34" si="31">HEX2DEC(E32)</f>
        <v>49</v>
      </c>
      <c r="F34" s="99">
        <f t="shared" si="31"/>
        <v>1</v>
      </c>
      <c r="G34" s="99">
        <f t="shared" si="31"/>
        <v>3</v>
      </c>
      <c r="H34" s="99">
        <f t="shared" si="31"/>
        <v>0</v>
      </c>
      <c r="I34" s="99">
        <f t="shared" si="31"/>
        <v>0</v>
      </c>
      <c r="J34" s="99">
        <f t="shared" si="31"/>
        <v>0</v>
      </c>
      <c r="K34" s="99">
        <f>SUM(D34:J34)</f>
        <v>60</v>
      </c>
      <c r="N34" s="8"/>
      <c r="P34" s="21" t="str">
        <f>MID(H28,7,1)</f>
        <v>0</v>
      </c>
      <c r="Q34" s="26" t="str">
        <f t="shared" si="26"/>
        <v>0</v>
      </c>
      <c r="R34" s="7" t="s">
        <v>73</v>
      </c>
      <c r="S34" s="323" t="s">
        <v>1667</v>
      </c>
      <c r="T34" s="21" t="str">
        <f>MID(I28,7,1)</f>
        <v>0</v>
      </c>
      <c r="U34" s="26" t="str">
        <f t="shared" si="27"/>
        <v>0</v>
      </c>
      <c r="V34" s="7" t="s">
        <v>73</v>
      </c>
      <c r="W34" s="8" t="s">
        <v>66</v>
      </c>
      <c r="X34" s="21" t="str">
        <f>MID(J28,7,1)</f>
        <v>0</v>
      </c>
      <c r="Y34" s="26" t="str">
        <f t="shared" si="28"/>
        <v>0</v>
      </c>
      <c r="Z34" s="7" t="s">
        <v>73</v>
      </c>
      <c r="AA34" s="8" t="s">
        <v>66</v>
      </c>
      <c r="AB34" s="400"/>
      <c r="AC34" s="381"/>
      <c r="AD34" s="381"/>
      <c r="AE34" s="401"/>
    </row>
    <row r="35" spans="3:37" ht="15" thickBot="1" x14ac:dyDescent="0.35">
      <c r="C35" s="9" t="s">
        <v>1678</v>
      </c>
      <c r="D35" s="335" t="str">
        <f>D30</f>
        <v>07</v>
      </c>
      <c r="E35" s="335" t="str">
        <f t="shared" ref="E35:G35" si="32">E30</f>
        <v>31</v>
      </c>
      <c r="F35" s="335" t="str">
        <f t="shared" si="32"/>
        <v>G1</v>
      </c>
      <c r="G35" s="335" t="str">
        <f t="shared" si="32"/>
        <v>G3</v>
      </c>
      <c r="H35" s="10"/>
      <c r="I35" s="10"/>
      <c r="J35" s="10"/>
      <c r="K35" s="10"/>
      <c r="L35" s="10"/>
      <c r="M35" s="10"/>
      <c r="N35" s="11"/>
      <c r="P35" s="22" t="str">
        <f>MID(H28,8,1)</f>
        <v>0</v>
      </c>
      <c r="Q35" s="55" t="str">
        <f t="shared" si="26"/>
        <v>0</v>
      </c>
      <c r="R35" s="9" t="s">
        <v>74</v>
      </c>
      <c r="S35" s="11" t="s">
        <v>66</v>
      </c>
      <c r="T35" s="22" t="str">
        <f>MID(I28,8,1)</f>
        <v>0</v>
      </c>
      <c r="U35" s="55" t="str">
        <f t="shared" si="27"/>
        <v>0</v>
      </c>
      <c r="V35" s="9" t="s">
        <v>74</v>
      </c>
      <c r="W35" s="331" t="s">
        <v>1669</v>
      </c>
      <c r="X35" s="22" t="str">
        <f>MID(J28,8,1)</f>
        <v>0</v>
      </c>
      <c r="Y35" s="55" t="str">
        <f t="shared" si="28"/>
        <v>0</v>
      </c>
      <c r="Z35" s="9" t="s">
        <v>74</v>
      </c>
      <c r="AA35" s="11" t="s">
        <v>66</v>
      </c>
      <c r="AB35" s="402"/>
      <c r="AC35" s="403"/>
      <c r="AD35" s="403"/>
      <c r="AE35" s="404"/>
    </row>
    <row r="36" spans="3:37" ht="15" thickBot="1" x14ac:dyDescent="0.35">
      <c r="C36" s="4"/>
      <c r="D36" s="5"/>
      <c r="E36" s="5"/>
      <c r="F36" s="5"/>
      <c r="G36" s="5"/>
      <c r="H36" s="5"/>
      <c r="I36" s="5"/>
      <c r="J36" s="5"/>
      <c r="K36" s="5" t="s">
        <v>41</v>
      </c>
      <c r="N36" s="6"/>
      <c r="P36" s="392" t="s">
        <v>124</v>
      </c>
      <c r="Q36" s="392"/>
      <c r="R36" s="392"/>
      <c r="S36" s="392"/>
      <c r="T36" s="392"/>
      <c r="U36" s="392"/>
      <c r="V36" s="392"/>
      <c r="W36" s="392"/>
      <c r="X36" s="392"/>
      <c r="Y36" s="392"/>
      <c r="Z36" s="392"/>
      <c r="AA36" s="392"/>
      <c r="AB36" s="392"/>
      <c r="AC36" s="392"/>
      <c r="AD36" s="392"/>
      <c r="AE36" s="392"/>
      <c r="AF36" s="405"/>
      <c r="AG36" s="405"/>
      <c r="AH36" s="405"/>
      <c r="AI36" s="405"/>
      <c r="AJ36" s="405"/>
      <c r="AK36" s="405"/>
    </row>
    <row r="37" spans="3:37" ht="15" thickBot="1" x14ac:dyDescent="0.35">
      <c r="C37" s="7"/>
      <c r="D37" s="393" t="s">
        <v>125</v>
      </c>
      <c r="E37" s="393"/>
      <c r="F37" s="393"/>
      <c r="G37" s="393"/>
      <c r="H37" s="99" t="s">
        <v>44</v>
      </c>
      <c r="I37" s="99" t="s">
        <v>45</v>
      </c>
      <c r="J37" s="99" t="s">
        <v>46</v>
      </c>
      <c r="K37" s="99" t="s">
        <v>47</v>
      </c>
      <c r="N37" s="8"/>
      <c r="P37" s="394" t="s">
        <v>50</v>
      </c>
      <c r="Q37" s="395"/>
      <c r="R37" s="395"/>
      <c r="S37" s="396"/>
      <c r="T37" s="394" t="s">
        <v>51</v>
      </c>
      <c r="U37" s="395"/>
      <c r="V37" s="395"/>
      <c r="W37" s="396"/>
      <c r="X37" s="394" t="s">
        <v>52</v>
      </c>
      <c r="Y37" s="395"/>
      <c r="Z37" s="395"/>
      <c r="AA37" s="396"/>
      <c r="AB37" s="448" t="s">
        <v>126</v>
      </c>
      <c r="AC37" s="407"/>
      <c r="AD37" s="407"/>
      <c r="AE37" s="408"/>
      <c r="AF37" s="7"/>
    </row>
    <row r="38" spans="3:37" ht="15" thickBot="1" x14ac:dyDescent="0.35">
      <c r="C38" s="7" t="s">
        <v>56</v>
      </c>
      <c r="D38" s="12" t="s">
        <v>57</v>
      </c>
      <c r="E38" s="13" t="s">
        <v>116</v>
      </c>
      <c r="F38" s="13" t="s">
        <v>77</v>
      </c>
      <c r="G38" s="14" t="s">
        <v>59</v>
      </c>
      <c r="H38" s="316" t="str">
        <f>MID($A$8,8,2)</f>
        <v>00</v>
      </c>
      <c r="I38" s="317" t="str">
        <f>MID($A$8,10,2)</f>
        <v>00</v>
      </c>
      <c r="J38" s="320" t="str">
        <f>MID($A$8,12,2)</f>
        <v>00</v>
      </c>
      <c r="K38" s="319" t="str">
        <f>MID($A$8,14,2)</f>
        <v>3B</v>
      </c>
      <c r="N38" s="8" t="s">
        <v>60</v>
      </c>
      <c r="P38" s="19" t="s">
        <v>60</v>
      </c>
      <c r="Q38" s="20" t="s">
        <v>61</v>
      </c>
      <c r="R38" t="s">
        <v>62</v>
      </c>
      <c r="S38" s="45"/>
      <c r="T38" s="19" t="s">
        <v>60</v>
      </c>
      <c r="U38" s="20" t="s">
        <v>61</v>
      </c>
      <c r="V38" t="s">
        <v>62</v>
      </c>
      <c r="W38" s="8"/>
      <c r="X38" s="19" t="s">
        <v>60</v>
      </c>
      <c r="Y38" s="20" t="s">
        <v>61</v>
      </c>
      <c r="Z38" t="s">
        <v>62</v>
      </c>
      <c r="AA38" s="8"/>
      <c r="AB38" s="394"/>
      <c r="AC38" s="395"/>
      <c r="AD38" s="395"/>
      <c r="AE38" s="396"/>
    </row>
    <row r="39" spans="3:37" ht="15" customHeight="1" x14ac:dyDescent="0.3">
      <c r="C39" s="7" t="s">
        <v>64</v>
      </c>
      <c r="D39" s="99" t="str">
        <f>HEX2BIN(D38,8)</f>
        <v>00000111</v>
      </c>
      <c r="E39" s="99" t="str">
        <f t="shared" ref="E39:J39" si="33">HEX2BIN(E38,8)</f>
        <v>00110001</v>
      </c>
      <c r="F39" s="99" t="str">
        <f t="shared" si="33"/>
        <v>00000010</v>
      </c>
      <c r="G39" s="99" t="str">
        <f t="shared" si="33"/>
        <v>00000001</v>
      </c>
      <c r="H39" s="99" t="str">
        <f t="shared" si="33"/>
        <v>00000000</v>
      </c>
      <c r="I39" s="99" t="str">
        <f t="shared" si="33"/>
        <v>00000000</v>
      </c>
      <c r="J39" s="99" t="str">
        <f t="shared" si="33"/>
        <v>00000000</v>
      </c>
      <c r="K39" s="99"/>
      <c r="N39" s="8"/>
      <c r="P39" s="21" t="str">
        <f>MID(H39,1,1)</f>
        <v>0</v>
      </c>
      <c r="Q39" s="26" t="str">
        <f>P39</f>
        <v>0</v>
      </c>
      <c r="R39" s="7" t="s">
        <v>65</v>
      </c>
      <c r="S39" s="450" t="s">
        <v>1670</v>
      </c>
      <c r="T39" s="21" t="str">
        <f>MID(I39,1,1)</f>
        <v>0</v>
      </c>
      <c r="U39" s="26" t="str">
        <f>T39</f>
        <v>0</v>
      </c>
      <c r="V39" s="7" t="s">
        <v>65</v>
      </c>
      <c r="W39" s="8" t="s">
        <v>66</v>
      </c>
      <c r="X39" s="21" t="str">
        <f>MID(J39,1,1)</f>
        <v>0</v>
      </c>
      <c r="Y39" s="26" t="str">
        <f>X39</f>
        <v>0</v>
      </c>
      <c r="Z39" s="7" t="s">
        <v>65</v>
      </c>
      <c r="AA39" s="8" t="s">
        <v>66</v>
      </c>
      <c r="AB39" s="400"/>
      <c r="AC39" s="381"/>
      <c r="AD39" s="381"/>
      <c r="AE39" s="401"/>
    </row>
    <row r="40" spans="3:37" x14ac:dyDescent="0.3">
      <c r="C40" s="7" t="s">
        <v>67</v>
      </c>
      <c r="D40" s="99">
        <f>HEX2DEC(D38)</f>
        <v>7</v>
      </c>
      <c r="E40" s="99">
        <f t="shared" ref="E40:J40" si="34">HEX2DEC(E38)</f>
        <v>49</v>
      </c>
      <c r="F40" s="99">
        <f t="shared" si="34"/>
        <v>2</v>
      </c>
      <c r="G40" s="99">
        <f t="shared" si="34"/>
        <v>1</v>
      </c>
      <c r="H40" s="99">
        <f t="shared" si="34"/>
        <v>0</v>
      </c>
      <c r="I40" s="99">
        <f t="shared" si="34"/>
        <v>0</v>
      </c>
      <c r="J40" s="99">
        <f t="shared" si="34"/>
        <v>0</v>
      </c>
      <c r="K40" s="99">
        <f>SUM(D40:J40)</f>
        <v>59</v>
      </c>
      <c r="N40" s="8"/>
      <c r="P40" s="21" t="str">
        <f>MID(H39,2,1)</f>
        <v>0</v>
      </c>
      <c r="Q40" s="26" t="str">
        <f t="shared" ref="Q40:Q46" si="35">P40</f>
        <v>0</v>
      </c>
      <c r="R40" s="7" t="s">
        <v>68</v>
      </c>
      <c r="S40" s="423"/>
      <c r="T40" s="21" t="str">
        <f>MID(I39,2,1)</f>
        <v>0</v>
      </c>
      <c r="U40" s="26" t="str">
        <f t="shared" ref="U40:U46" si="36">T40</f>
        <v>0</v>
      </c>
      <c r="V40" s="7" t="s">
        <v>68</v>
      </c>
      <c r="W40" s="8" t="s">
        <v>66</v>
      </c>
      <c r="X40" s="21" t="str">
        <f>MID(J39,2,1)</f>
        <v>0</v>
      </c>
      <c r="Y40" s="26" t="str">
        <f t="shared" ref="Y40:Y46" si="37">X40</f>
        <v>0</v>
      </c>
      <c r="Z40" s="7" t="s">
        <v>68</v>
      </c>
      <c r="AA40" s="8" t="s">
        <v>66</v>
      </c>
      <c r="AB40" s="400"/>
      <c r="AC40" s="381"/>
      <c r="AD40" s="381"/>
      <c r="AE40" s="401"/>
    </row>
    <row r="41" spans="3:37" x14ac:dyDescent="0.3">
      <c r="C41" s="7" t="s">
        <v>1678</v>
      </c>
      <c r="D41" s="333" t="str">
        <f>D38</f>
        <v>07</v>
      </c>
      <c r="E41" s="333" t="str">
        <f>E38</f>
        <v>31</v>
      </c>
      <c r="F41" s="99" t="str">
        <f>MID($A$8,4,2)</f>
        <v>G2</v>
      </c>
      <c r="G41" s="99" t="str">
        <f>MID($A$8,6,2)</f>
        <v>G1</v>
      </c>
      <c r="N41" s="8"/>
      <c r="P41" s="21" t="str">
        <f>MID(H39,3,1)</f>
        <v>0</v>
      </c>
      <c r="Q41" s="26" t="str">
        <f t="shared" si="35"/>
        <v>0</v>
      </c>
      <c r="R41" s="7" t="s">
        <v>69</v>
      </c>
      <c r="S41" s="449" t="s">
        <v>1671</v>
      </c>
      <c r="T41" s="21" t="str">
        <f>MID(I39,3,1)</f>
        <v>0</v>
      </c>
      <c r="U41" s="26" t="str">
        <f t="shared" si="36"/>
        <v>0</v>
      </c>
      <c r="V41" s="7" t="s">
        <v>69</v>
      </c>
      <c r="W41" s="8" t="s">
        <v>66</v>
      </c>
      <c r="X41" s="21" t="str">
        <f>MID(J39,3,1)</f>
        <v>0</v>
      </c>
      <c r="Y41" s="26" t="str">
        <f t="shared" si="37"/>
        <v>0</v>
      </c>
      <c r="Z41" s="7" t="s">
        <v>69</v>
      </c>
      <c r="AA41" s="8" t="s">
        <v>66</v>
      </c>
      <c r="AB41" s="400"/>
      <c r="AC41" s="381"/>
      <c r="AD41" s="381"/>
      <c r="AE41" s="401"/>
    </row>
    <row r="42" spans="3:37" ht="15" thickBot="1" x14ac:dyDescent="0.35">
      <c r="C42" s="7"/>
      <c r="N42" s="8"/>
      <c r="P42" s="21" t="str">
        <f>MID(H39,4,1)</f>
        <v>0</v>
      </c>
      <c r="Q42" s="26" t="str">
        <f t="shared" si="35"/>
        <v>0</v>
      </c>
      <c r="R42" s="7" t="s">
        <v>70</v>
      </c>
      <c r="S42" s="423"/>
      <c r="T42" s="21" t="str">
        <f>MID(I39,4,1)</f>
        <v>0</v>
      </c>
      <c r="U42" s="26" t="str">
        <f t="shared" si="36"/>
        <v>0</v>
      </c>
      <c r="V42" s="7" t="s">
        <v>70</v>
      </c>
      <c r="W42" s="8" t="s">
        <v>66</v>
      </c>
      <c r="X42" s="21" t="str">
        <f>MID(J39,4,1)</f>
        <v>0</v>
      </c>
      <c r="Y42" s="26" t="str">
        <f t="shared" si="37"/>
        <v>0</v>
      </c>
      <c r="Z42" s="7" t="s">
        <v>70</v>
      </c>
      <c r="AA42" s="8" t="s">
        <v>66</v>
      </c>
      <c r="AB42" s="400"/>
      <c r="AC42" s="381"/>
      <c r="AD42" s="381"/>
      <c r="AE42" s="401"/>
    </row>
    <row r="43" spans="3:37" ht="15.75" customHeight="1" thickBot="1" x14ac:dyDescent="0.35">
      <c r="C43" s="7" t="s">
        <v>56</v>
      </c>
      <c r="D43" s="15" t="str">
        <f>D38</f>
        <v>07</v>
      </c>
      <c r="E43" s="16" t="str">
        <f>E38</f>
        <v>31</v>
      </c>
      <c r="F43" s="16" t="str">
        <f>F38</f>
        <v>02</v>
      </c>
      <c r="G43" s="17" t="str">
        <f>G38</f>
        <v>01</v>
      </c>
      <c r="H43" s="23" t="str">
        <f>BIN2HEX(H44,2)</f>
        <v>00</v>
      </c>
      <c r="I43" s="25" t="str">
        <f t="shared" ref="I43:J43" si="38">BIN2HEX(I44,2)</f>
        <v>00</v>
      </c>
      <c r="J43" s="24" t="str">
        <f t="shared" si="38"/>
        <v>00</v>
      </c>
      <c r="K43" s="314" t="str">
        <f>IF(LEN(K44)&gt;2,MID(K44,2,2),K44)</f>
        <v>3B</v>
      </c>
      <c r="N43" s="8" t="s">
        <v>61</v>
      </c>
      <c r="P43" s="21" t="str">
        <f>MID(H39,5,1)</f>
        <v>0</v>
      </c>
      <c r="Q43" s="26" t="str">
        <f t="shared" si="35"/>
        <v>0</v>
      </c>
      <c r="R43" s="7" t="s">
        <v>71</v>
      </c>
      <c r="S43" s="450" t="s">
        <v>1672</v>
      </c>
      <c r="T43" s="21" t="str">
        <f>MID(I39,5,1)</f>
        <v>0</v>
      </c>
      <c r="U43" s="26" t="str">
        <f t="shared" si="36"/>
        <v>0</v>
      </c>
      <c r="V43" s="7" t="s">
        <v>71</v>
      </c>
      <c r="W43" s="8" t="s">
        <v>66</v>
      </c>
      <c r="X43" s="21" t="str">
        <f>MID(J39,5,1)</f>
        <v>0</v>
      </c>
      <c r="Y43" s="26" t="str">
        <f t="shared" si="37"/>
        <v>0</v>
      </c>
      <c r="Z43" s="7" t="s">
        <v>71</v>
      </c>
      <c r="AA43" s="8" t="s">
        <v>66</v>
      </c>
      <c r="AB43" s="400"/>
      <c r="AC43" s="381"/>
      <c r="AD43" s="381"/>
      <c r="AE43" s="401"/>
    </row>
    <row r="44" spans="3:37" ht="15" customHeight="1" x14ac:dyDescent="0.3">
      <c r="C44" s="7" t="s">
        <v>64</v>
      </c>
      <c r="D44" s="99" t="str">
        <f>HEX2BIN(D43,8)</f>
        <v>00000111</v>
      </c>
      <c r="E44" s="99" t="str">
        <f t="shared" ref="E44:G44" si="39">HEX2BIN(E43,8)</f>
        <v>00110001</v>
      </c>
      <c r="F44" s="99" t="str">
        <f t="shared" si="39"/>
        <v>00000010</v>
      </c>
      <c r="G44" s="99" t="str">
        <f t="shared" si="39"/>
        <v>00000001</v>
      </c>
      <c r="H44" s="29" t="str">
        <f>Q39&amp;Q40&amp;Q41&amp;Q42&amp;Q43&amp;Q44&amp;Q45&amp;Q46</f>
        <v>00000000</v>
      </c>
      <c r="I44" s="99" t="str">
        <f>U39&amp;U40&amp;U41&amp;U42&amp;U43&amp;U44&amp;U45&amp;U46</f>
        <v>00000000</v>
      </c>
      <c r="J44" s="29" t="str">
        <f>Y39&amp;Y40&amp;Y41&amp;Y42&amp;Y43&amp;Y44&amp;Y45&amp;Y46</f>
        <v>00000000</v>
      </c>
      <c r="K44" s="99" t="str">
        <f>DEC2HEX(K45)</f>
        <v>3B</v>
      </c>
      <c r="N44" s="8"/>
      <c r="P44" s="21" t="str">
        <f>MID(H39,6,1)</f>
        <v>0</v>
      </c>
      <c r="Q44" s="26" t="str">
        <f t="shared" si="35"/>
        <v>0</v>
      </c>
      <c r="R44" s="7" t="s">
        <v>72</v>
      </c>
      <c r="S44" s="423"/>
      <c r="T44" s="21" t="str">
        <f>MID(I39,6,1)</f>
        <v>0</v>
      </c>
      <c r="U44" s="26" t="str">
        <f t="shared" si="36"/>
        <v>0</v>
      </c>
      <c r="V44" s="7" t="s">
        <v>72</v>
      </c>
      <c r="W44" s="450" t="s">
        <v>1673</v>
      </c>
      <c r="X44" s="21" t="str">
        <f>MID(J39,6,1)</f>
        <v>0</v>
      </c>
      <c r="Y44" s="26" t="str">
        <f t="shared" si="37"/>
        <v>0</v>
      </c>
      <c r="Z44" s="7" t="s">
        <v>72</v>
      </c>
      <c r="AA44" s="8" t="s">
        <v>66</v>
      </c>
      <c r="AB44" s="400"/>
      <c r="AC44" s="381"/>
      <c r="AD44" s="381"/>
      <c r="AE44" s="401"/>
    </row>
    <row r="45" spans="3:37" x14ac:dyDescent="0.3">
      <c r="C45" s="7" t="s">
        <v>67</v>
      </c>
      <c r="D45" s="99">
        <f>HEX2DEC(D43)</f>
        <v>7</v>
      </c>
      <c r="E45" s="99">
        <f t="shared" ref="E45:J45" si="40">HEX2DEC(E43)</f>
        <v>49</v>
      </c>
      <c r="F45" s="99">
        <f t="shared" si="40"/>
        <v>2</v>
      </c>
      <c r="G45" s="99">
        <f t="shared" si="40"/>
        <v>1</v>
      </c>
      <c r="H45" s="99">
        <f t="shared" si="40"/>
        <v>0</v>
      </c>
      <c r="I45" s="99">
        <f t="shared" si="40"/>
        <v>0</v>
      </c>
      <c r="J45" s="99">
        <f t="shared" si="40"/>
        <v>0</v>
      </c>
      <c r="K45" s="99">
        <f>SUM(D45:J45)</f>
        <v>59</v>
      </c>
      <c r="N45" s="8"/>
      <c r="P45" s="21" t="str">
        <f>MID(H39,7,1)</f>
        <v>0</v>
      </c>
      <c r="Q45" s="26" t="str">
        <f t="shared" si="35"/>
        <v>0</v>
      </c>
      <c r="R45" s="7" t="s">
        <v>73</v>
      </c>
      <c r="S45" s="8" t="s">
        <v>66</v>
      </c>
      <c r="T45" s="21" t="str">
        <f>MID(I39,7,1)</f>
        <v>0</v>
      </c>
      <c r="U45" s="26" t="str">
        <f t="shared" si="36"/>
        <v>0</v>
      </c>
      <c r="V45" s="7" t="s">
        <v>73</v>
      </c>
      <c r="W45" s="451"/>
      <c r="X45" s="21" t="str">
        <f>MID(J39,7,1)</f>
        <v>0</v>
      </c>
      <c r="Y45" s="26" t="str">
        <f t="shared" si="37"/>
        <v>0</v>
      </c>
      <c r="Z45" s="7" t="s">
        <v>73</v>
      </c>
      <c r="AA45" s="8" t="s">
        <v>66</v>
      </c>
      <c r="AB45" s="400"/>
      <c r="AC45" s="381"/>
      <c r="AD45" s="381"/>
      <c r="AE45" s="401"/>
    </row>
    <row r="46" spans="3:37" ht="15" thickBot="1" x14ac:dyDescent="0.35">
      <c r="C46" s="9" t="s">
        <v>1678</v>
      </c>
      <c r="D46" s="335" t="str">
        <f>D41</f>
        <v>07</v>
      </c>
      <c r="E46" s="335" t="str">
        <f t="shared" ref="E46:G46" si="41">E41</f>
        <v>31</v>
      </c>
      <c r="F46" s="335" t="str">
        <f t="shared" si="41"/>
        <v>G2</v>
      </c>
      <c r="G46" s="335" t="str">
        <f t="shared" si="41"/>
        <v>G1</v>
      </c>
      <c r="H46" s="10"/>
      <c r="I46" s="10"/>
      <c r="J46" s="10"/>
      <c r="K46" s="10"/>
      <c r="L46" s="10"/>
      <c r="M46" s="10"/>
      <c r="N46" s="11"/>
      <c r="P46" s="22" t="str">
        <f>MID(H39,8,1)</f>
        <v>0</v>
      </c>
      <c r="Q46" s="55" t="str">
        <f t="shared" si="35"/>
        <v>0</v>
      </c>
      <c r="R46" s="9" t="s">
        <v>74</v>
      </c>
      <c r="S46" s="11" t="s">
        <v>66</v>
      </c>
      <c r="T46" s="22" t="str">
        <f>MID(I39,8,1)</f>
        <v>0</v>
      </c>
      <c r="U46" s="55" t="str">
        <f t="shared" si="36"/>
        <v>0</v>
      </c>
      <c r="V46" s="9" t="s">
        <v>74</v>
      </c>
      <c r="W46" s="451"/>
      <c r="X46" s="22" t="str">
        <f>MID(J39,8,1)</f>
        <v>0</v>
      </c>
      <c r="Y46" s="55" t="str">
        <f t="shared" si="37"/>
        <v>0</v>
      </c>
      <c r="Z46" s="9" t="s">
        <v>74</v>
      </c>
      <c r="AA46" s="11" t="s">
        <v>66</v>
      </c>
      <c r="AB46" s="402"/>
      <c r="AC46" s="403"/>
      <c r="AD46" s="403"/>
      <c r="AE46" s="404"/>
    </row>
  </sheetData>
  <mergeCells count="46">
    <mergeCell ref="A1:B1"/>
    <mergeCell ref="AB38:AE46"/>
    <mergeCell ref="S41:S42"/>
    <mergeCell ref="P36:AK36"/>
    <mergeCell ref="D37:G37"/>
    <mergeCell ref="P37:S37"/>
    <mergeCell ref="T37:W37"/>
    <mergeCell ref="X37:AA37"/>
    <mergeCell ref="AB37:AE37"/>
    <mergeCell ref="S39:S40"/>
    <mergeCell ref="S43:S44"/>
    <mergeCell ref="W44:W46"/>
    <mergeCell ref="AJ5:AK13"/>
    <mergeCell ref="AJ16:AK24"/>
    <mergeCell ref="AB27:AE35"/>
    <mergeCell ref="AF4:AI4"/>
    <mergeCell ref="AJ4:AK4"/>
    <mergeCell ref="P3:AK3"/>
    <mergeCell ref="D4:G4"/>
    <mergeCell ref="P4:S4"/>
    <mergeCell ref="T4:W4"/>
    <mergeCell ref="X4:AA4"/>
    <mergeCell ref="AB4:AE4"/>
    <mergeCell ref="C1:AK1"/>
    <mergeCell ref="C2:E2"/>
    <mergeCell ref="P25:AK25"/>
    <mergeCell ref="D26:G26"/>
    <mergeCell ref="P26:S26"/>
    <mergeCell ref="T26:W26"/>
    <mergeCell ref="X26:AA26"/>
    <mergeCell ref="AB26:AE26"/>
    <mergeCell ref="P14:AK14"/>
    <mergeCell ref="D15:G15"/>
    <mergeCell ref="P15:S15"/>
    <mergeCell ref="T15:W15"/>
    <mergeCell ref="X15:AA15"/>
    <mergeCell ref="AB15:AE15"/>
    <mergeCell ref="AF15:AI15"/>
    <mergeCell ref="AJ15:AK15"/>
    <mergeCell ref="AI17:AI20"/>
    <mergeCell ref="S6:S9"/>
    <mergeCell ref="W10:W12"/>
    <mergeCell ref="AE6:AE8"/>
    <mergeCell ref="S21:S24"/>
    <mergeCell ref="AA19:AA24"/>
    <mergeCell ref="AE18:AE24"/>
  </mergeCells>
  <conditionalFormatting sqref="B3:B8">
    <cfRule type="expression" dxfId="320" priority="1">
      <formula>IF(A3&lt;&gt;B3,1,0)</formula>
    </cfRule>
    <cfRule type="containsText" dxfId="319" priority="2" operator="containsText" text=";Block">
      <formula>NOT(ISERROR(SEARCH(";Block",B3)))</formula>
    </cfRule>
    <cfRule type="beginsWith" dxfId="318" priority="3" operator="beginsWith" text="73101">
      <formula>LEFT(B3,LEN("73101"))="73101"</formula>
    </cfRule>
    <cfRule type="beginsWith" dxfId="317" priority="4" operator="beginsWith" text="731G1">
      <formula>LEFT(B3,LEN("731G1"))="731G1"</formula>
    </cfRule>
    <cfRule type="beginsWith" dxfId="316" priority="5" operator="beginsWith" text="73102">
      <formula>LEFT(B3,LEN("73102"))="73102"</formula>
    </cfRule>
    <cfRule type="beginsWith" dxfId="315" priority="6" operator="beginsWith" text="731G2">
      <formula>LEFT(B3,LEN("731G2"))="731G2"</formula>
    </cfRule>
  </conditionalFormatting>
  <conditionalFormatting sqref="Q6:Q13">
    <cfRule type="expression" dxfId="314" priority="28">
      <formula>Q6:Q13&lt;&gt;P6:P13</formula>
    </cfRule>
  </conditionalFormatting>
  <conditionalFormatting sqref="Q17:Q24">
    <cfRule type="expression" dxfId="313" priority="19">
      <formula>Q17:Q24&lt;&gt;P17:P24</formula>
    </cfRule>
  </conditionalFormatting>
  <conditionalFormatting sqref="Q28:Q35">
    <cfRule type="expression" dxfId="312" priority="18">
      <formula>Q28:Q35&lt;&gt;P28:P35</formula>
    </cfRule>
  </conditionalFormatting>
  <conditionalFormatting sqref="Q39:Q46">
    <cfRule type="expression" dxfId="311" priority="15">
      <formula>Q39:Q46&lt;&gt;P39:P46</formula>
    </cfRule>
  </conditionalFormatting>
  <conditionalFormatting sqref="U6:U13">
    <cfRule type="expression" dxfId="310" priority="27">
      <formula>U6:U13&lt;&gt;T6:T13</formula>
    </cfRule>
  </conditionalFormatting>
  <conditionalFormatting sqref="U17:U24">
    <cfRule type="expression" dxfId="309" priority="20">
      <formula>U17:U24&lt;&gt;T17:T24</formula>
    </cfRule>
  </conditionalFormatting>
  <conditionalFormatting sqref="U28:U35">
    <cfRule type="expression" dxfId="308" priority="17">
      <formula>U28:U35&lt;&gt;T28:T35</formula>
    </cfRule>
  </conditionalFormatting>
  <conditionalFormatting sqref="U39:U46">
    <cfRule type="expression" dxfId="307" priority="14">
      <formula>U39:U46&lt;&gt;T39:T46</formula>
    </cfRule>
  </conditionalFormatting>
  <conditionalFormatting sqref="Y6:Y13">
    <cfRule type="expression" dxfId="306" priority="26">
      <formula>Y6:Y13&lt;&gt;X6:X13</formula>
    </cfRule>
  </conditionalFormatting>
  <conditionalFormatting sqref="Y17:Y24">
    <cfRule type="expression" dxfId="305" priority="21">
      <formula>Y17:Y24&lt;&gt;X17:X24</formula>
    </cfRule>
  </conditionalFormatting>
  <conditionalFormatting sqref="Y28:Y35">
    <cfRule type="expression" dxfId="304" priority="16">
      <formula>Y28:Y35&lt;&gt;X28:X35</formula>
    </cfRule>
  </conditionalFormatting>
  <conditionalFormatting sqref="Y39:Y46">
    <cfRule type="expression" dxfId="303" priority="13">
      <formula>Y39:Y46&lt;&gt;X39:X46</formula>
    </cfRule>
  </conditionalFormatting>
  <conditionalFormatting sqref="AC6:AC13">
    <cfRule type="expression" dxfId="302" priority="25">
      <formula>AC6:AC13&lt;&gt;AB6:AB13</formula>
    </cfRule>
  </conditionalFormatting>
  <conditionalFormatting sqref="AC17:AC24">
    <cfRule type="expression" dxfId="301" priority="22">
      <formula>AC17:AC24&lt;&gt;AB17:AB24</formula>
    </cfRule>
  </conditionalFormatting>
  <conditionalFormatting sqref="AG6:AG13">
    <cfRule type="expression" dxfId="300" priority="24">
      <formula>AG6:AG13&lt;&gt;AF6:AF13</formula>
    </cfRule>
  </conditionalFormatting>
  <conditionalFormatting sqref="AG17:AG24">
    <cfRule type="expression" dxfId="299" priority="23">
      <formula>AG17:AG24&lt;&gt;AF17:AF24</formula>
    </cfRule>
  </conditionalFormatting>
  <dataValidations disablePrompts="1" count="1">
    <dataValidation type="whole" allowBlank="1" showInputMessage="1" showErrorMessage="1" errorTitle="Wrong Value" error="This is a Binary value, which can be either 0 or 1." sqref="AG6:AG13 Q28:Q35 Y17:Y24 AC17:AC24 Q6:Q13 Y28:Y35 U17:U24 AG17:AG24 AC6:AC13 Q17:Q24 U6:U13 Y6:Y13 U28:U35 Q39:Q46 Y39:Y46 U39:U46" xr:uid="{00000000-0002-0000-0500-000000000000}">
      <formula1>0</formula1>
      <formula2>1</formula2>
    </dataValidation>
  </dataValidations>
  <hyperlinks>
    <hyperlink ref="C1" r:id="rId1" xr:uid="{00000000-0004-0000-0500-000000000000}"/>
  </hyperlinks>
  <pageMargins left="0.7" right="0.7" top="0.75" bottom="0.75" header="0.3" footer="0.3"/>
  <pageSetup orientation="portrait"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57"/>
  <sheetViews>
    <sheetView zoomScaleNormal="100" workbookViewId="0">
      <selection activeCell="A3" sqref="A3"/>
    </sheetView>
  </sheetViews>
  <sheetFormatPr defaultRowHeight="14.4" x14ac:dyDescent="0.3"/>
  <cols>
    <col min="1" max="2" width="20.88671875" bestFit="1" customWidth="1"/>
    <col min="3" max="3" width="4.5546875" bestFit="1" customWidth="1"/>
    <col min="4" max="5" width="9" bestFit="1" customWidth="1"/>
    <col min="14" max="14" width="5.6640625" bestFit="1" customWidth="1"/>
    <col min="15" max="15" width="1.6640625" customWidth="1"/>
    <col min="16" max="16" width="5.44140625" bestFit="1" customWidth="1"/>
    <col min="17" max="17" width="5.33203125" bestFit="1" customWidth="1"/>
    <col min="18" max="18" width="3.44140625" bestFit="1" customWidth="1"/>
    <col min="19" max="19" width="19.44140625" customWidth="1"/>
    <col min="20" max="20" width="5.44140625" bestFit="1" customWidth="1"/>
    <col min="21" max="21" width="5.33203125" bestFit="1" customWidth="1"/>
    <col min="22" max="22" width="3.44140625" customWidth="1"/>
    <col min="23" max="23" width="20" customWidth="1"/>
    <col min="24" max="24" width="5.44140625" bestFit="1" customWidth="1"/>
    <col min="25" max="25" width="5.33203125" bestFit="1" customWidth="1"/>
    <col min="26" max="26" width="3.44140625" customWidth="1"/>
    <col min="27" max="27" width="19.33203125" bestFit="1" customWidth="1"/>
    <col min="28" max="28" width="5.44140625" bestFit="1" customWidth="1"/>
    <col min="29" max="29" width="5.33203125" bestFit="1" customWidth="1"/>
    <col min="30" max="30" width="3.44140625" customWidth="1"/>
    <col min="31" max="31" width="19.33203125" customWidth="1"/>
    <col min="32" max="32" width="5.44140625" bestFit="1" customWidth="1"/>
    <col min="33" max="33" width="5.33203125" bestFit="1" customWidth="1"/>
    <col min="34" max="34" width="3.44140625" customWidth="1"/>
    <col min="35" max="35" width="19.44140625" customWidth="1"/>
  </cols>
  <sheetData>
    <row r="1" spans="1:37" x14ac:dyDescent="0.3">
      <c r="A1" s="398" t="s">
        <v>1240</v>
      </c>
      <c r="B1" s="399"/>
      <c r="C1" s="383" t="s">
        <v>354</v>
      </c>
      <c r="D1" s="381"/>
      <c r="E1" s="381"/>
      <c r="F1" s="381"/>
      <c r="G1" s="381"/>
      <c r="H1" s="381"/>
      <c r="I1" s="381"/>
      <c r="J1" s="381"/>
      <c r="K1" s="381"/>
      <c r="L1" s="381"/>
      <c r="M1" s="381"/>
      <c r="N1" s="381"/>
      <c r="O1" s="381"/>
      <c r="P1" s="381"/>
      <c r="Q1" s="381"/>
      <c r="R1" s="381"/>
      <c r="S1" s="381"/>
      <c r="T1" s="381"/>
      <c r="U1" s="381"/>
      <c r="V1" s="381"/>
      <c r="W1" s="381"/>
      <c r="X1" s="381"/>
      <c r="Y1" s="381"/>
      <c r="Z1" s="381"/>
      <c r="AA1" s="381"/>
      <c r="AB1" s="381"/>
      <c r="AC1" s="381"/>
      <c r="AD1" s="381"/>
      <c r="AE1" s="381"/>
      <c r="AF1" s="381"/>
      <c r="AG1" s="381"/>
      <c r="AH1" s="381"/>
      <c r="AI1" s="381"/>
      <c r="AJ1" s="381"/>
      <c r="AK1" s="381"/>
    </row>
    <row r="2" spans="1:37" ht="15" thickBot="1" x14ac:dyDescent="0.35">
      <c r="A2" s="268" t="s">
        <v>1241</v>
      </c>
      <c r="B2" s="269" t="s">
        <v>1242</v>
      </c>
      <c r="C2" s="391" t="s">
        <v>40</v>
      </c>
      <c r="D2" s="391"/>
      <c r="E2" s="391"/>
    </row>
    <row r="3" spans="1:37" ht="15" thickBot="1" x14ac:dyDescent="0.35">
      <c r="A3" s="270" t="s">
        <v>1243</v>
      </c>
      <c r="B3" s="87" t="s">
        <v>1243</v>
      </c>
      <c r="C3" s="4"/>
      <c r="D3" s="5"/>
      <c r="E3" s="5"/>
      <c r="F3" s="5"/>
      <c r="G3" s="5"/>
      <c r="H3" s="5"/>
      <c r="I3" s="5"/>
      <c r="J3" s="5"/>
      <c r="K3" s="5"/>
      <c r="L3" s="5"/>
      <c r="M3" s="5" t="s">
        <v>41</v>
      </c>
      <c r="N3" s="6"/>
      <c r="P3" s="392" t="s">
        <v>280</v>
      </c>
      <c r="Q3" s="392"/>
      <c r="R3" s="392"/>
      <c r="S3" s="392"/>
      <c r="T3" s="392"/>
      <c r="U3" s="392"/>
      <c r="V3" s="392"/>
      <c r="W3" s="392"/>
      <c r="X3" s="392"/>
      <c r="Y3" s="392"/>
      <c r="Z3" s="392"/>
      <c r="AA3" s="392"/>
      <c r="AB3" s="392"/>
      <c r="AC3" s="392"/>
      <c r="AD3" s="392"/>
      <c r="AE3" s="392"/>
      <c r="AF3" s="392"/>
      <c r="AG3" s="392"/>
      <c r="AH3" s="392"/>
      <c r="AI3" s="392"/>
      <c r="AJ3" s="392"/>
      <c r="AK3" s="392"/>
    </row>
    <row r="4" spans="1:37" ht="15" thickBot="1" x14ac:dyDescent="0.35">
      <c r="A4" s="270" t="s">
        <v>1842</v>
      </c>
      <c r="B4" s="87" t="str">
        <f>RIGHT(D13,1)&amp;E13&amp;F13&amp;G13&amp;H10&amp;I10&amp;J10&amp;K10&amp;L10&amp;M10</f>
        <v>706G1G10000000000F</v>
      </c>
      <c r="C4" s="7"/>
      <c r="D4" s="393" t="s">
        <v>281</v>
      </c>
      <c r="E4" s="393"/>
      <c r="F4" s="393"/>
      <c r="G4" s="393"/>
      <c r="H4" s="99" t="s">
        <v>44</v>
      </c>
      <c r="I4" s="99" t="s">
        <v>45</v>
      </c>
      <c r="J4" s="99" t="s">
        <v>46</v>
      </c>
      <c r="K4" s="99" t="s">
        <v>47</v>
      </c>
      <c r="L4" s="99" t="s">
        <v>48</v>
      </c>
      <c r="M4" s="99" t="s">
        <v>49</v>
      </c>
      <c r="N4" s="8"/>
      <c r="P4" s="394" t="s">
        <v>50</v>
      </c>
      <c r="Q4" s="395"/>
      <c r="R4" s="395"/>
      <c r="S4" s="396"/>
      <c r="T4" s="394" t="s">
        <v>51</v>
      </c>
      <c r="U4" s="395"/>
      <c r="V4" s="395"/>
      <c r="W4" s="396"/>
      <c r="X4" s="394" t="s">
        <v>52</v>
      </c>
      <c r="Y4" s="395"/>
      <c r="Z4" s="395"/>
      <c r="AA4" s="396"/>
      <c r="AB4" s="394" t="s">
        <v>53</v>
      </c>
      <c r="AC4" s="395"/>
      <c r="AD4" s="395"/>
      <c r="AE4" s="396"/>
      <c r="AF4" s="394" t="s">
        <v>97</v>
      </c>
      <c r="AG4" s="395"/>
      <c r="AH4" s="395"/>
      <c r="AI4" s="396"/>
      <c r="AJ4" s="394" t="s">
        <v>55</v>
      </c>
      <c r="AK4" s="396"/>
    </row>
    <row r="5" spans="1:37" ht="15" thickBot="1" x14ac:dyDescent="0.35">
      <c r="A5" s="270" t="s">
        <v>1843</v>
      </c>
      <c r="B5" s="87" t="str">
        <f>RIGHT(D24,1)&amp;E24&amp;F24&amp;G24&amp;H21&amp;I21&amp;J21&amp;K21&amp;L21&amp;M21</f>
        <v>706G1G2000000000010</v>
      </c>
      <c r="C5" s="7" t="s">
        <v>56</v>
      </c>
      <c r="D5" s="12" t="s">
        <v>57</v>
      </c>
      <c r="E5" s="13" t="s">
        <v>227</v>
      </c>
      <c r="F5" s="13" t="s">
        <v>59</v>
      </c>
      <c r="G5" s="14" t="s">
        <v>59</v>
      </c>
      <c r="H5" s="338" t="str">
        <f>MID($A$4,8,2)</f>
        <v>00</v>
      </c>
      <c r="I5" s="317" t="str">
        <f>MID($A$4,10,2)</f>
        <v>00</v>
      </c>
      <c r="J5" s="317" t="str">
        <f>MID($A$4,12,2)</f>
        <v>00</v>
      </c>
      <c r="K5" s="317" t="str">
        <f>MID($A$4,14,2)</f>
        <v>00</v>
      </c>
      <c r="L5" s="318" t="str">
        <f>MID($A$4,16,2)</f>
        <v>00</v>
      </c>
      <c r="M5" s="319" t="str">
        <f>MID($A$4,18,2)</f>
        <v>F</v>
      </c>
      <c r="N5" s="8" t="s">
        <v>60</v>
      </c>
      <c r="P5" s="19" t="s">
        <v>60</v>
      </c>
      <c r="Q5" s="20" t="s">
        <v>61</v>
      </c>
      <c r="R5" t="s">
        <v>62</v>
      </c>
      <c r="S5" s="8"/>
      <c r="T5" s="19" t="s">
        <v>60</v>
      </c>
      <c r="U5" s="20" t="s">
        <v>61</v>
      </c>
      <c r="V5" t="s">
        <v>62</v>
      </c>
      <c r="W5" s="8"/>
      <c r="X5" s="19" t="s">
        <v>60</v>
      </c>
      <c r="Y5" s="20" t="s">
        <v>61</v>
      </c>
      <c r="Z5" t="s">
        <v>62</v>
      </c>
      <c r="AA5" s="8"/>
      <c r="AB5" s="19" t="s">
        <v>60</v>
      </c>
      <c r="AC5" s="20" t="s">
        <v>61</v>
      </c>
      <c r="AD5" t="s">
        <v>62</v>
      </c>
      <c r="AE5" s="8"/>
      <c r="AF5" s="19" t="s">
        <v>60</v>
      </c>
      <c r="AG5" s="20" t="s">
        <v>61</v>
      </c>
      <c r="AH5" t="s">
        <v>62</v>
      </c>
      <c r="AJ5" s="394" t="s">
        <v>63</v>
      </c>
      <c r="AK5" s="396"/>
    </row>
    <row r="6" spans="1:37" ht="15" customHeight="1" x14ac:dyDescent="0.3">
      <c r="A6" s="270" t="s">
        <v>1844</v>
      </c>
      <c r="B6" s="87" t="str">
        <f>RIGHT(D35,1)&amp;E35&amp;F35&amp;G35&amp;H32&amp;I32&amp;J32&amp;K32&amp;L32&amp;M32</f>
        <v>706G1G3000000000011</v>
      </c>
      <c r="C6" s="7" t="s">
        <v>64</v>
      </c>
      <c r="D6" s="99" t="str">
        <f t="shared" ref="D6:E6" si="0">HEX2BIN(D5,8)</f>
        <v>00000111</v>
      </c>
      <c r="E6" s="99" t="str">
        <f t="shared" si="0"/>
        <v>00000110</v>
      </c>
      <c r="F6" s="99" t="str">
        <f>HEX2BIN(F5,8)</f>
        <v>00000001</v>
      </c>
      <c r="G6" s="99" t="str">
        <f t="shared" ref="G6:L6" si="1">HEX2BIN(G5,8)</f>
        <v>00000001</v>
      </c>
      <c r="H6" s="99" t="str">
        <f t="shared" si="1"/>
        <v>00000000</v>
      </c>
      <c r="I6" s="99" t="str">
        <f t="shared" si="1"/>
        <v>00000000</v>
      </c>
      <c r="J6" s="99" t="str">
        <f t="shared" si="1"/>
        <v>00000000</v>
      </c>
      <c r="K6" s="99" t="str">
        <f t="shared" si="1"/>
        <v>00000000</v>
      </c>
      <c r="L6" s="99" t="str">
        <f t="shared" si="1"/>
        <v>00000000</v>
      </c>
      <c r="M6" s="99"/>
      <c r="N6" s="8"/>
      <c r="P6" s="21" t="str">
        <f>MID(H6,1,1)</f>
        <v>0</v>
      </c>
      <c r="Q6" s="26" t="str">
        <f>P6</f>
        <v>0</v>
      </c>
      <c r="R6" s="7" t="s">
        <v>65</v>
      </c>
      <c r="S6" s="462" t="s">
        <v>1785</v>
      </c>
      <c r="T6" s="21" t="str">
        <f>MID(I6,1,1)</f>
        <v>0</v>
      </c>
      <c r="U6" s="26" t="str">
        <f t="shared" ref="U6:U13" si="2">T6</f>
        <v>0</v>
      </c>
      <c r="V6" s="7" t="s">
        <v>65</v>
      </c>
      <c r="W6" s="292" t="s">
        <v>1326</v>
      </c>
      <c r="X6" s="21" t="str">
        <f>MID(J6,1,1)</f>
        <v>0</v>
      </c>
      <c r="Y6" s="26" t="str">
        <f>X6</f>
        <v>0</v>
      </c>
      <c r="Z6" s="7" t="s">
        <v>65</v>
      </c>
      <c r="AA6" s="467" t="s">
        <v>1637</v>
      </c>
      <c r="AB6" s="21" t="str">
        <f>MID(K6,1,1)</f>
        <v>0</v>
      </c>
      <c r="AC6" s="26" t="str">
        <f>AB6</f>
        <v>0</v>
      </c>
      <c r="AD6" s="7" t="s">
        <v>65</v>
      </c>
      <c r="AE6" s="469" t="s">
        <v>1640</v>
      </c>
      <c r="AF6" s="21" t="str">
        <f>MID(L6,1,1)</f>
        <v>0</v>
      </c>
      <c r="AG6" s="26" t="str">
        <f>AF6</f>
        <v>0</v>
      </c>
      <c r="AH6" s="7" t="s">
        <v>65</v>
      </c>
      <c r="AI6" s="292" t="s">
        <v>1326</v>
      </c>
      <c r="AJ6" s="400"/>
      <c r="AK6" s="401"/>
    </row>
    <row r="7" spans="1:37" ht="15" customHeight="1" x14ac:dyDescent="0.3">
      <c r="A7" s="270" t="s">
        <v>1845</v>
      </c>
      <c r="B7" s="87" t="str">
        <f>RIGHT(D46,1)&amp;E46&amp;F46&amp;G46&amp;H43&amp;I43&amp;J43</f>
        <v>706G1G4000012</v>
      </c>
      <c r="C7" s="7" t="s">
        <v>67</v>
      </c>
      <c r="D7" s="99">
        <f>HEX2DEC(D5)</f>
        <v>7</v>
      </c>
      <c r="E7" s="99">
        <f t="shared" ref="E7:L7" si="3">HEX2DEC(E5)</f>
        <v>6</v>
      </c>
      <c r="F7" s="99">
        <f t="shared" si="3"/>
        <v>1</v>
      </c>
      <c r="G7" s="99">
        <f t="shared" si="3"/>
        <v>1</v>
      </c>
      <c r="H7" s="99">
        <f t="shared" si="3"/>
        <v>0</v>
      </c>
      <c r="I7" s="99">
        <f t="shared" si="3"/>
        <v>0</v>
      </c>
      <c r="J7" s="99">
        <f t="shared" si="3"/>
        <v>0</v>
      </c>
      <c r="K7" s="99">
        <f t="shared" si="3"/>
        <v>0</v>
      </c>
      <c r="L7" s="99">
        <f t="shared" si="3"/>
        <v>0</v>
      </c>
      <c r="M7" s="99">
        <f>SUM(D7:L7)</f>
        <v>15</v>
      </c>
      <c r="N7" s="8"/>
      <c r="P7" s="21" t="str">
        <f>MID(H6,2,1)</f>
        <v>0</v>
      </c>
      <c r="Q7" s="26" t="str">
        <f t="shared" ref="Q7:Q13" si="4">P7</f>
        <v>0</v>
      </c>
      <c r="R7" s="7" t="s">
        <v>68</v>
      </c>
      <c r="S7" s="463"/>
      <c r="T7" s="21" t="str">
        <f>MID(I6,2,1)</f>
        <v>0</v>
      </c>
      <c r="U7" s="26" t="str">
        <f t="shared" si="2"/>
        <v>0</v>
      </c>
      <c r="V7" s="7" t="s">
        <v>68</v>
      </c>
      <c r="W7" s="292" t="s">
        <v>1326</v>
      </c>
      <c r="X7" s="21" t="str">
        <f>MID(J6,2,1)</f>
        <v>0</v>
      </c>
      <c r="Y7" s="26" t="str">
        <f t="shared" ref="Y7:Y13" si="5">X7</f>
        <v>0</v>
      </c>
      <c r="Z7" s="7" t="s">
        <v>68</v>
      </c>
      <c r="AA7" s="468"/>
      <c r="AB7" s="21" t="str">
        <f>MID(K6,2,1)</f>
        <v>0</v>
      </c>
      <c r="AC7" s="26" t="str">
        <f t="shared" ref="AC7:AC13" si="6">AB7</f>
        <v>0</v>
      </c>
      <c r="AD7" s="7" t="s">
        <v>68</v>
      </c>
      <c r="AE7" s="470"/>
      <c r="AF7" s="21" t="str">
        <f>MID(L6,2,1)</f>
        <v>0</v>
      </c>
      <c r="AG7" s="26" t="str">
        <f t="shared" ref="AG7:AG13" si="7">AF7</f>
        <v>0</v>
      </c>
      <c r="AH7" s="7" t="s">
        <v>68</v>
      </c>
      <c r="AI7" s="292" t="s">
        <v>1326</v>
      </c>
      <c r="AJ7" s="400"/>
      <c r="AK7" s="401"/>
    </row>
    <row r="8" spans="1:37" x14ac:dyDescent="0.3">
      <c r="A8" s="270" t="s">
        <v>1244</v>
      </c>
      <c r="B8" s="87" t="s">
        <v>1244</v>
      </c>
      <c r="C8" s="7" t="s">
        <v>1678</v>
      </c>
      <c r="D8" s="333" t="str">
        <f>D5</f>
        <v>07</v>
      </c>
      <c r="E8" s="333" t="str">
        <f>E5</f>
        <v>06</v>
      </c>
      <c r="F8" s="99" t="str">
        <f>MID($A$4,4,2)</f>
        <v>G1</v>
      </c>
      <c r="G8" s="99" t="str">
        <f>MID($A$4,6,2)</f>
        <v>G1</v>
      </c>
      <c r="N8" s="8"/>
      <c r="P8" s="21" t="str">
        <f>MID(H6,3,1)</f>
        <v>0</v>
      </c>
      <c r="Q8" s="26" t="str">
        <f t="shared" si="4"/>
        <v>0</v>
      </c>
      <c r="R8" s="7" t="s">
        <v>69</v>
      </c>
      <c r="S8" s="463"/>
      <c r="T8" s="21" t="str">
        <f>MID(I6,3,1)</f>
        <v>0</v>
      </c>
      <c r="U8" s="26" t="str">
        <f t="shared" si="2"/>
        <v>0</v>
      </c>
      <c r="V8" s="7" t="s">
        <v>69</v>
      </c>
      <c r="W8" s="465" t="s">
        <v>1636</v>
      </c>
      <c r="X8" s="21" t="str">
        <f>MID(J6,3,1)</f>
        <v>0</v>
      </c>
      <c r="Y8" s="26" t="str">
        <f t="shared" si="5"/>
        <v>0</v>
      </c>
      <c r="Z8" s="7" t="s">
        <v>69</v>
      </c>
      <c r="AA8" s="467" t="s">
        <v>1638</v>
      </c>
      <c r="AB8" s="21" t="str">
        <f>MID(K6,3,1)</f>
        <v>0</v>
      </c>
      <c r="AC8" s="26" t="str">
        <f t="shared" si="6"/>
        <v>0</v>
      </c>
      <c r="AD8" s="7" t="s">
        <v>69</v>
      </c>
      <c r="AE8" s="470"/>
      <c r="AF8" s="21" t="str">
        <f>MID(L6,3,1)</f>
        <v>0</v>
      </c>
      <c r="AG8" s="26" t="str">
        <f t="shared" si="7"/>
        <v>0</v>
      </c>
      <c r="AH8" s="7" t="s">
        <v>69</v>
      </c>
      <c r="AI8" s="292" t="s">
        <v>1326</v>
      </c>
      <c r="AJ8" s="400"/>
      <c r="AK8" s="401"/>
    </row>
    <row r="9" spans="1:37" ht="15" thickBot="1" x14ac:dyDescent="0.35">
      <c r="A9" s="270" t="s">
        <v>1846</v>
      </c>
      <c r="B9" s="87" t="str">
        <f>RIGHT(D57,1)&amp;E57&amp;F57&amp;G57&amp;H54&amp;I54&amp;J54&amp;K54&amp;L54&amp;M54</f>
        <v>706G2G1000000000010</v>
      </c>
      <c r="C9" s="7"/>
      <c r="N9" s="8"/>
      <c r="P9" s="21" t="str">
        <f>MID(H6,4,1)</f>
        <v>0</v>
      </c>
      <c r="Q9" s="26" t="str">
        <f t="shared" si="4"/>
        <v>0</v>
      </c>
      <c r="R9" s="7" t="s">
        <v>70</v>
      </c>
      <c r="S9" s="464"/>
      <c r="T9" s="21" t="str">
        <f>MID(I6,4,1)</f>
        <v>0</v>
      </c>
      <c r="U9" s="26" t="str">
        <f t="shared" si="2"/>
        <v>0</v>
      </c>
      <c r="V9" s="7" t="s">
        <v>70</v>
      </c>
      <c r="W9" s="466"/>
      <c r="X9" s="21" t="str">
        <f>MID(J6,4,1)</f>
        <v>0</v>
      </c>
      <c r="Y9" s="26" t="str">
        <f t="shared" si="5"/>
        <v>0</v>
      </c>
      <c r="Z9" s="7" t="s">
        <v>70</v>
      </c>
      <c r="AA9" s="468"/>
      <c r="AB9" s="21" t="str">
        <f>MID(K6,4,1)</f>
        <v>0</v>
      </c>
      <c r="AC9" s="26" t="str">
        <f t="shared" si="6"/>
        <v>0</v>
      </c>
      <c r="AD9" s="7" t="s">
        <v>70</v>
      </c>
      <c r="AE9" s="470"/>
      <c r="AF9" s="21" t="str">
        <f>MID(L6,4,1)</f>
        <v>0</v>
      </c>
      <c r="AG9" s="26" t="str">
        <f t="shared" si="7"/>
        <v>0</v>
      </c>
      <c r="AH9" s="7" t="s">
        <v>70</v>
      </c>
      <c r="AI9" s="292" t="s">
        <v>1326</v>
      </c>
      <c r="AJ9" s="400"/>
      <c r="AK9" s="401"/>
    </row>
    <row r="10" spans="1:37" ht="15" thickBot="1" x14ac:dyDescent="0.35">
      <c r="A10" s="271" t="s">
        <v>1254</v>
      </c>
      <c r="B10" s="87" t="str">
        <f>A10</f>
        <v>706G2G2000000000011</v>
      </c>
      <c r="C10" s="7" t="s">
        <v>56</v>
      </c>
      <c r="D10" s="15" t="str">
        <f>D5</f>
        <v>07</v>
      </c>
      <c r="E10" s="16" t="str">
        <f>E5</f>
        <v>06</v>
      </c>
      <c r="F10" s="16" t="str">
        <f>F5</f>
        <v>01</v>
      </c>
      <c r="G10" s="17" t="str">
        <f>G5</f>
        <v>01</v>
      </c>
      <c r="H10" s="23" t="str">
        <f>BIN2HEX(H11,2)</f>
        <v>00</v>
      </c>
      <c r="I10" s="25" t="str">
        <f t="shared" ref="I10:L10" si="8">BIN2HEX(I11,2)</f>
        <v>00</v>
      </c>
      <c r="J10" s="24" t="str">
        <f t="shared" si="8"/>
        <v>00</v>
      </c>
      <c r="K10" s="2" t="str">
        <f t="shared" si="8"/>
        <v>00</v>
      </c>
      <c r="L10" s="18" t="str">
        <f t="shared" si="8"/>
        <v>00</v>
      </c>
      <c r="M10" s="3" t="str">
        <f>IF(LEN(M11)&gt;2,MID(M11,2,2),M11)</f>
        <v>F</v>
      </c>
      <c r="N10" s="8" t="s">
        <v>61</v>
      </c>
      <c r="P10" s="21" t="str">
        <f>MID(H6,5,1)</f>
        <v>0</v>
      </c>
      <c r="Q10" s="26" t="str">
        <f t="shared" si="4"/>
        <v>0</v>
      </c>
      <c r="R10" s="7" t="s">
        <v>71</v>
      </c>
      <c r="S10" s="459" t="s">
        <v>1635</v>
      </c>
      <c r="T10" s="21" t="str">
        <f>MID(I6,5,1)</f>
        <v>0</v>
      </c>
      <c r="U10" s="26" t="str">
        <f t="shared" si="2"/>
        <v>0</v>
      </c>
      <c r="V10" s="7" t="s">
        <v>71</v>
      </c>
      <c r="W10" s="292" t="s">
        <v>1326</v>
      </c>
      <c r="X10" s="21" t="str">
        <f>MID(J6,5,1)</f>
        <v>0</v>
      </c>
      <c r="Y10" s="26" t="str">
        <f t="shared" si="5"/>
        <v>0</v>
      </c>
      <c r="Z10" s="7" t="s">
        <v>71</v>
      </c>
      <c r="AA10" s="292" t="s">
        <v>1326</v>
      </c>
      <c r="AB10" s="21" t="str">
        <f>MID(K6,5,1)</f>
        <v>0</v>
      </c>
      <c r="AC10" s="26" t="str">
        <f t="shared" si="6"/>
        <v>0</v>
      </c>
      <c r="AD10" s="7" t="s">
        <v>71</v>
      </c>
      <c r="AE10" s="292" t="s">
        <v>1326</v>
      </c>
      <c r="AF10" s="21" t="str">
        <f>MID(L6,5,1)</f>
        <v>0</v>
      </c>
      <c r="AG10" s="26" t="str">
        <f t="shared" si="7"/>
        <v>0</v>
      </c>
      <c r="AH10" s="7" t="s">
        <v>71</v>
      </c>
      <c r="AI10" s="292" t="s">
        <v>1326</v>
      </c>
      <c r="AJ10" s="400"/>
      <c r="AK10" s="401"/>
    </row>
    <row r="11" spans="1:37" x14ac:dyDescent="0.3">
      <c r="A11" s="275" t="s">
        <v>1255</v>
      </c>
      <c r="B11" s="87" t="str">
        <f>A11</f>
        <v>706G2G3000012</v>
      </c>
      <c r="C11" s="7" t="s">
        <v>64</v>
      </c>
      <c r="D11" s="99" t="str">
        <f>HEX2BIN(D10,8)</f>
        <v>00000111</v>
      </c>
      <c r="E11" s="99" t="str">
        <f t="shared" ref="E11:G11" si="9">HEX2BIN(E10,8)</f>
        <v>00000110</v>
      </c>
      <c r="F11" s="99" t="str">
        <f t="shared" si="9"/>
        <v>00000001</v>
      </c>
      <c r="G11" s="99" t="str">
        <f t="shared" si="9"/>
        <v>00000001</v>
      </c>
      <c r="H11" s="29" t="str">
        <f>Q6&amp;Q7&amp;Q8&amp;Q9&amp;Q10&amp;Q11&amp;Q12&amp;Q13</f>
        <v>00000000</v>
      </c>
      <c r="I11" s="99" t="str">
        <f>U6&amp;U7&amp;U8&amp;U9&amp;U10&amp;U11&amp;U12&amp;U13</f>
        <v>00000000</v>
      </c>
      <c r="J11" s="29" t="str">
        <f>Y6&amp;Y7&amp;Y8&amp;Y9&amp;Y10&amp;Y11&amp;Y12&amp;Y13</f>
        <v>00000000</v>
      </c>
      <c r="K11" s="29" t="str">
        <f>AC6&amp;AC7&amp;AC8&amp;AC9&amp;AC10&amp;AC11&amp;AC12&amp;AC13</f>
        <v>00000000</v>
      </c>
      <c r="L11" s="99" t="str">
        <f>AG6&amp;AG7&amp;AG8&amp;AG9&amp;AG10&amp;AG11&amp;AG12&amp;AG13</f>
        <v>00000000</v>
      </c>
      <c r="M11" s="99" t="str">
        <f>DEC2HEX(M12)</f>
        <v>F</v>
      </c>
      <c r="N11" s="8"/>
      <c r="P11" s="21" t="str">
        <f>MID(H6,6,1)</f>
        <v>0</v>
      </c>
      <c r="Q11" s="26" t="str">
        <f t="shared" si="4"/>
        <v>0</v>
      </c>
      <c r="R11" s="7" t="s">
        <v>72</v>
      </c>
      <c r="S11" s="460"/>
      <c r="T11" s="21" t="str">
        <f>MID(I6,6,1)</f>
        <v>0</v>
      </c>
      <c r="U11" s="26" t="str">
        <f t="shared" si="2"/>
        <v>0</v>
      </c>
      <c r="V11" s="7" t="s">
        <v>72</v>
      </c>
      <c r="W11" s="292" t="s">
        <v>1326</v>
      </c>
      <c r="X11" s="21" t="str">
        <f>MID(J6,6,1)</f>
        <v>0</v>
      </c>
      <c r="Y11" s="26" t="str">
        <f t="shared" si="5"/>
        <v>0</v>
      </c>
      <c r="Z11" s="7" t="s">
        <v>72</v>
      </c>
      <c r="AA11" s="292" t="s">
        <v>1326</v>
      </c>
      <c r="AB11" s="21" t="str">
        <f>MID(K6,6,1)</f>
        <v>0</v>
      </c>
      <c r="AC11" s="26" t="str">
        <f t="shared" si="6"/>
        <v>0</v>
      </c>
      <c r="AD11" s="7" t="s">
        <v>72</v>
      </c>
      <c r="AE11" s="292" t="s">
        <v>1326</v>
      </c>
      <c r="AF11" s="21" t="str">
        <f>MID(L6,6,1)</f>
        <v>0</v>
      </c>
      <c r="AG11" s="26" t="str">
        <f t="shared" si="7"/>
        <v>0</v>
      </c>
      <c r="AH11" s="7" t="s">
        <v>72</v>
      </c>
      <c r="AI11" s="292" t="s">
        <v>1326</v>
      </c>
      <c r="AJ11" s="400"/>
      <c r="AK11" s="401"/>
    </row>
    <row r="12" spans="1:37" x14ac:dyDescent="0.3">
      <c r="C12" s="7" t="s">
        <v>67</v>
      </c>
      <c r="D12" s="99">
        <f>HEX2DEC(D10)</f>
        <v>7</v>
      </c>
      <c r="E12" s="99">
        <f t="shared" ref="E12:L12" si="10">HEX2DEC(E10)</f>
        <v>6</v>
      </c>
      <c r="F12" s="99">
        <f t="shared" si="10"/>
        <v>1</v>
      </c>
      <c r="G12" s="99">
        <f t="shared" si="10"/>
        <v>1</v>
      </c>
      <c r="H12" s="99">
        <f t="shared" si="10"/>
        <v>0</v>
      </c>
      <c r="I12" s="99">
        <f>HEX2DEC(I10)</f>
        <v>0</v>
      </c>
      <c r="J12" s="99">
        <f t="shared" si="10"/>
        <v>0</v>
      </c>
      <c r="K12" s="99">
        <f t="shared" si="10"/>
        <v>0</v>
      </c>
      <c r="L12" s="99">
        <f t="shared" si="10"/>
        <v>0</v>
      </c>
      <c r="M12" s="99">
        <f>SUM(D12:L12)</f>
        <v>15</v>
      </c>
      <c r="N12" s="8"/>
      <c r="P12" s="21" t="str">
        <f>MID(H6,7,1)</f>
        <v>0</v>
      </c>
      <c r="Q12" s="26" t="str">
        <f t="shared" si="4"/>
        <v>0</v>
      </c>
      <c r="R12" s="7" t="s">
        <v>73</v>
      </c>
      <c r="S12" s="460"/>
      <c r="T12" s="21" t="str">
        <f>MID(I6,7,1)</f>
        <v>0</v>
      </c>
      <c r="U12" s="26" t="str">
        <f t="shared" si="2"/>
        <v>0</v>
      </c>
      <c r="V12" s="7" t="s">
        <v>73</v>
      </c>
      <c r="W12" s="292" t="s">
        <v>1326</v>
      </c>
      <c r="X12" s="21" t="str">
        <f>MID(J6,7,1)</f>
        <v>0</v>
      </c>
      <c r="Y12" s="26" t="str">
        <f t="shared" si="5"/>
        <v>0</v>
      </c>
      <c r="Z12" s="7" t="s">
        <v>73</v>
      </c>
      <c r="AA12" s="457" t="s">
        <v>1639</v>
      </c>
      <c r="AB12" s="21" t="str">
        <f>MID(K6,7,1)</f>
        <v>0</v>
      </c>
      <c r="AC12" s="26" t="str">
        <f t="shared" si="6"/>
        <v>0</v>
      </c>
      <c r="AD12" s="7" t="s">
        <v>73</v>
      </c>
      <c r="AE12" s="292" t="s">
        <v>1326</v>
      </c>
      <c r="AF12" s="21" t="str">
        <f>MID(L6,7,1)</f>
        <v>0</v>
      </c>
      <c r="AG12" s="26" t="str">
        <f t="shared" si="7"/>
        <v>0</v>
      </c>
      <c r="AH12" s="7" t="s">
        <v>73</v>
      </c>
      <c r="AI12" s="292" t="s">
        <v>1326</v>
      </c>
      <c r="AJ12" s="400"/>
      <c r="AK12" s="401"/>
    </row>
    <row r="13" spans="1:37" ht="15" thickBot="1" x14ac:dyDescent="0.35">
      <c r="C13" s="9" t="s">
        <v>1678</v>
      </c>
      <c r="D13" s="334" t="str">
        <f>D8</f>
        <v>07</v>
      </c>
      <c r="E13" s="334" t="str">
        <f t="shared" ref="E13:G13" si="11">E8</f>
        <v>06</v>
      </c>
      <c r="F13" s="334" t="str">
        <f t="shared" si="11"/>
        <v>G1</v>
      </c>
      <c r="G13" s="334" t="str">
        <f t="shared" si="11"/>
        <v>G1</v>
      </c>
      <c r="H13" s="10"/>
      <c r="I13" s="10"/>
      <c r="J13" s="10"/>
      <c r="K13" s="10"/>
      <c r="L13" s="10"/>
      <c r="M13" s="10"/>
      <c r="N13" s="11"/>
      <c r="P13" s="22" t="str">
        <f>MID(H6,8,1)</f>
        <v>0</v>
      </c>
      <c r="Q13" s="26" t="str">
        <f t="shared" si="4"/>
        <v>0</v>
      </c>
      <c r="R13" s="9" t="s">
        <v>74</v>
      </c>
      <c r="S13" s="461"/>
      <c r="T13" s="22" t="str">
        <f>MID(I6,8,1)</f>
        <v>0</v>
      </c>
      <c r="U13" s="26" t="str">
        <f t="shared" si="2"/>
        <v>0</v>
      </c>
      <c r="V13" s="9" t="s">
        <v>74</v>
      </c>
      <c r="W13" s="300" t="s">
        <v>1326</v>
      </c>
      <c r="X13" s="22" t="str">
        <f>MID(J6,8,1)</f>
        <v>0</v>
      </c>
      <c r="Y13" s="26" t="str">
        <f t="shared" si="5"/>
        <v>0</v>
      </c>
      <c r="Z13" s="9" t="s">
        <v>74</v>
      </c>
      <c r="AA13" s="458"/>
      <c r="AB13" s="22" t="str">
        <f>MID(K6,8,1)</f>
        <v>0</v>
      </c>
      <c r="AC13" s="26" t="str">
        <f t="shared" si="6"/>
        <v>0</v>
      </c>
      <c r="AD13" s="9" t="s">
        <v>74</v>
      </c>
      <c r="AE13" s="300" t="s">
        <v>1326</v>
      </c>
      <c r="AF13" s="22" t="str">
        <f>MID(L6,8,1)</f>
        <v>0</v>
      </c>
      <c r="AG13" s="26" t="str">
        <f t="shared" si="7"/>
        <v>0</v>
      </c>
      <c r="AH13" s="9" t="s">
        <v>74</v>
      </c>
      <c r="AI13" s="300" t="s">
        <v>1326</v>
      </c>
      <c r="AJ13" s="402"/>
      <c r="AK13" s="404"/>
    </row>
    <row r="14" spans="1:37" ht="15" thickBot="1" x14ac:dyDescent="0.35">
      <c r="C14" s="4"/>
      <c r="D14" s="5"/>
      <c r="E14" s="5"/>
      <c r="F14" s="5"/>
      <c r="G14" s="5"/>
      <c r="H14" s="5"/>
      <c r="I14" s="5"/>
      <c r="J14" s="5"/>
      <c r="K14" s="5"/>
      <c r="L14" s="5"/>
      <c r="M14" s="5" t="s">
        <v>41</v>
      </c>
      <c r="N14" s="6"/>
      <c r="P14" s="392" t="s">
        <v>282</v>
      </c>
      <c r="Q14" s="392"/>
      <c r="R14" s="392"/>
      <c r="S14" s="392"/>
      <c r="T14" s="392"/>
      <c r="U14" s="392"/>
      <c r="V14" s="392"/>
      <c r="W14" s="392"/>
      <c r="X14" s="392"/>
      <c r="Y14" s="392"/>
      <c r="Z14" s="392"/>
      <c r="AA14" s="392"/>
      <c r="AB14" s="392"/>
      <c r="AC14" s="392"/>
      <c r="AD14" s="392"/>
      <c r="AE14" s="392"/>
      <c r="AF14" s="392"/>
      <c r="AG14" s="392"/>
      <c r="AH14" s="392"/>
      <c r="AI14" s="392"/>
      <c r="AJ14" s="392"/>
      <c r="AK14" s="392"/>
    </row>
    <row r="15" spans="1:37" ht="15" thickBot="1" x14ac:dyDescent="0.35">
      <c r="C15" s="7"/>
      <c r="D15" s="393" t="s">
        <v>283</v>
      </c>
      <c r="E15" s="393"/>
      <c r="F15" s="393"/>
      <c r="G15" s="393"/>
      <c r="H15" s="99" t="s">
        <v>44</v>
      </c>
      <c r="I15" s="99" t="s">
        <v>45</v>
      </c>
      <c r="J15" s="99" t="s">
        <v>46</v>
      </c>
      <c r="K15" s="99" t="s">
        <v>47</v>
      </c>
      <c r="L15" s="99" t="s">
        <v>48</v>
      </c>
      <c r="M15" s="99" t="s">
        <v>49</v>
      </c>
      <c r="N15" s="8"/>
      <c r="P15" s="394" t="s">
        <v>50</v>
      </c>
      <c r="Q15" s="395"/>
      <c r="R15" s="395"/>
      <c r="S15" s="396"/>
      <c r="T15" s="394" t="s">
        <v>51</v>
      </c>
      <c r="U15" s="395"/>
      <c r="V15" s="395"/>
      <c r="W15" s="396"/>
      <c r="X15" s="394" t="s">
        <v>52</v>
      </c>
      <c r="Y15" s="395"/>
      <c r="Z15" s="395"/>
      <c r="AA15" s="396"/>
      <c r="AB15" s="394" t="s">
        <v>53</v>
      </c>
      <c r="AC15" s="395"/>
      <c r="AD15" s="395"/>
      <c r="AE15" s="396"/>
      <c r="AF15" s="394" t="s">
        <v>97</v>
      </c>
      <c r="AG15" s="395"/>
      <c r="AH15" s="395"/>
      <c r="AI15" s="396"/>
      <c r="AJ15" s="394" t="s">
        <v>55</v>
      </c>
      <c r="AK15" s="396"/>
    </row>
    <row r="16" spans="1:37" ht="15" thickBot="1" x14ac:dyDescent="0.35">
      <c r="C16" s="7" t="s">
        <v>56</v>
      </c>
      <c r="D16" s="12" t="s">
        <v>57</v>
      </c>
      <c r="E16" s="13" t="s">
        <v>227</v>
      </c>
      <c r="F16" s="13" t="s">
        <v>59</v>
      </c>
      <c r="G16" s="14" t="s">
        <v>77</v>
      </c>
      <c r="H16" s="316" t="str">
        <f>MID($A$5,8,2)</f>
        <v>00</v>
      </c>
      <c r="I16" s="317" t="str">
        <f>MID($A$5,10,2)</f>
        <v>00</v>
      </c>
      <c r="J16" s="317" t="str">
        <f>MID($A$5,12,2)</f>
        <v>00</v>
      </c>
      <c r="K16" s="317" t="str">
        <f>MID($A$5,14,2)</f>
        <v>00</v>
      </c>
      <c r="L16" s="318" t="str">
        <f>MID($A$5,16,2)</f>
        <v>00</v>
      </c>
      <c r="M16" s="319" t="str">
        <f>MID($A$5,18,2)</f>
        <v>10</v>
      </c>
      <c r="N16" s="8" t="s">
        <v>60</v>
      </c>
      <c r="P16" s="19" t="s">
        <v>60</v>
      </c>
      <c r="Q16" s="20" t="s">
        <v>61</v>
      </c>
      <c r="R16" t="s">
        <v>62</v>
      </c>
      <c r="S16" s="8"/>
      <c r="T16" s="19" t="s">
        <v>60</v>
      </c>
      <c r="U16" s="20" t="s">
        <v>61</v>
      </c>
      <c r="V16" t="s">
        <v>62</v>
      </c>
      <c r="W16" s="8"/>
      <c r="X16" s="19" t="s">
        <v>60</v>
      </c>
      <c r="Y16" s="20" t="s">
        <v>61</v>
      </c>
      <c r="Z16" t="s">
        <v>62</v>
      </c>
      <c r="AA16" s="8"/>
      <c r="AB16" s="19" t="s">
        <v>60</v>
      </c>
      <c r="AC16" s="20" t="s">
        <v>61</v>
      </c>
      <c r="AD16" t="s">
        <v>62</v>
      </c>
      <c r="AE16" s="8"/>
      <c r="AF16" s="19" t="s">
        <v>60</v>
      </c>
      <c r="AG16" s="20" t="s">
        <v>61</v>
      </c>
      <c r="AH16" t="s">
        <v>62</v>
      </c>
      <c r="AJ16" s="394" t="s">
        <v>63</v>
      </c>
      <c r="AK16" s="396"/>
    </row>
    <row r="17" spans="3:37" x14ac:dyDescent="0.3">
      <c r="C17" s="7" t="s">
        <v>64</v>
      </c>
      <c r="D17" s="99" t="str">
        <f>HEX2BIN(D16,8)</f>
        <v>00000111</v>
      </c>
      <c r="E17" s="99" t="str">
        <f t="shared" ref="E17:L17" si="12">HEX2BIN(E16,8)</f>
        <v>00000110</v>
      </c>
      <c r="F17" s="99" t="str">
        <f t="shared" si="12"/>
        <v>00000001</v>
      </c>
      <c r="G17" s="99" t="str">
        <f t="shared" si="12"/>
        <v>00000010</v>
      </c>
      <c r="H17" s="99" t="str">
        <f t="shared" si="12"/>
        <v>00000000</v>
      </c>
      <c r="I17" s="99" t="str">
        <f t="shared" si="12"/>
        <v>00000000</v>
      </c>
      <c r="J17" s="99" t="str">
        <f t="shared" si="12"/>
        <v>00000000</v>
      </c>
      <c r="K17" s="99" t="str">
        <f t="shared" si="12"/>
        <v>00000000</v>
      </c>
      <c r="L17" s="99" t="str">
        <f t="shared" si="12"/>
        <v>00000000</v>
      </c>
      <c r="N17" s="8"/>
      <c r="P17" s="21" t="str">
        <f>MID(H17,1,1)</f>
        <v>0</v>
      </c>
      <c r="Q17" s="26" t="str">
        <f>P17</f>
        <v>0</v>
      </c>
      <c r="R17" s="7" t="s">
        <v>65</v>
      </c>
      <c r="S17" s="471" t="s">
        <v>1641</v>
      </c>
      <c r="T17" s="21" t="str">
        <f>MID(I17,1,1)</f>
        <v>0</v>
      </c>
      <c r="U17" s="26" t="str">
        <f>T17</f>
        <v>0</v>
      </c>
      <c r="V17" s="7" t="s">
        <v>65</v>
      </c>
      <c r="W17" s="455" t="s">
        <v>1643</v>
      </c>
      <c r="X17" s="21" t="str">
        <f>MID(J17,1,1)</f>
        <v>0</v>
      </c>
      <c r="Y17" s="26" t="str">
        <f>X17</f>
        <v>0</v>
      </c>
      <c r="Z17" s="7" t="s">
        <v>65</v>
      </c>
      <c r="AA17" s="8" t="s">
        <v>66</v>
      </c>
      <c r="AB17" s="21" t="str">
        <f>MID(K17,1,1)</f>
        <v>0</v>
      </c>
      <c r="AC17" s="26" t="str">
        <f>AB17</f>
        <v>0</v>
      </c>
      <c r="AD17" s="7" t="s">
        <v>65</v>
      </c>
      <c r="AE17" s="8" t="s">
        <v>66</v>
      </c>
      <c r="AF17" s="21" t="str">
        <f>MID(L17,1,1)</f>
        <v>0</v>
      </c>
      <c r="AG17" s="26" t="str">
        <f>AF17</f>
        <v>0</v>
      </c>
      <c r="AH17" s="7" t="s">
        <v>65</v>
      </c>
      <c r="AI17" s="8" t="s">
        <v>66</v>
      </c>
      <c r="AJ17" s="400"/>
      <c r="AK17" s="401"/>
    </row>
    <row r="18" spans="3:37" ht="15" customHeight="1" x14ac:dyDescent="0.3">
      <c r="C18" s="7" t="s">
        <v>67</v>
      </c>
      <c r="D18" s="99">
        <f>HEX2DEC(D16)</f>
        <v>7</v>
      </c>
      <c r="E18" s="99">
        <f t="shared" ref="E18:L18" si="13">HEX2DEC(E16)</f>
        <v>6</v>
      </c>
      <c r="F18" s="99">
        <f t="shared" si="13"/>
        <v>1</v>
      </c>
      <c r="G18" s="99">
        <f t="shared" si="13"/>
        <v>2</v>
      </c>
      <c r="H18" s="99">
        <f t="shared" si="13"/>
        <v>0</v>
      </c>
      <c r="I18" s="99">
        <f t="shared" si="13"/>
        <v>0</v>
      </c>
      <c r="J18" s="99">
        <f t="shared" si="13"/>
        <v>0</v>
      </c>
      <c r="K18" s="99">
        <f t="shared" si="13"/>
        <v>0</v>
      </c>
      <c r="L18" s="99">
        <f t="shared" si="13"/>
        <v>0</v>
      </c>
      <c r="M18" s="99">
        <f>SUM(D18:L18)</f>
        <v>16</v>
      </c>
      <c r="N18" s="8"/>
      <c r="P18" s="21" t="str">
        <f>MID(H17,2,1)</f>
        <v>0</v>
      </c>
      <c r="Q18" s="26" t="str">
        <f t="shared" ref="Q18:Q24" si="14">P18</f>
        <v>0</v>
      </c>
      <c r="R18" s="7" t="s">
        <v>68</v>
      </c>
      <c r="S18" s="472"/>
      <c r="T18" s="21" t="str">
        <f>MID(I17,2,1)</f>
        <v>0</v>
      </c>
      <c r="U18" s="26" t="str">
        <f t="shared" ref="U18:U24" si="15">T18</f>
        <v>0</v>
      </c>
      <c r="V18" s="7" t="s">
        <v>68</v>
      </c>
      <c r="W18" s="456"/>
      <c r="X18" s="21" t="str">
        <f>MID(J17,2,1)</f>
        <v>0</v>
      </c>
      <c r="Y18" s="26" t="str">
        <f t="shared" ref="Y18:Y24" si="16">X18</f>
        <v>0</v>
      </c>
      <c r="Z18" s="7" t="s">
        <v>68</v>
      </c>
      <c r="AA18" s="8" t="s">
        <v>66</v>
      </c>
      <c r="AB18" s="21" t="str">
        <f>MID(K17,2,1)</f>
        <v>0</v>
      </c>
      <c r="AC18" s="26" t="str">
        <f t="shared" ref="AC18:AC24" si="17">AB18</f>
        <v>0</v>
      </c>
      <c r="AD18" s="7" t="s">
        <v>68</v>
      </c>
      <c r="AE18" s="8" t="s">
        <v>66</v>
      </c>
      <c r="AF18" s="21" t="str">
        <f>MID(L17,2,1)</f>
        <v>0</v>
      </c>
      <c r="AG18" s="26" t="str">
        <f t="shared" ref="AG18:AG24" si="18">AF18</f>
        <v>0</v>
      </c>
      <c r="AH18" s="7" t="s">
        <v>68</v>
      </c>
      <c r="AI18" s="322" t="s">
        <v>1261</v>
      </c>
      <c r="AJ18" s="400"/>
      <c r="AK18" s="401"/>
    </row>
    <row r="19" spans="3:37" ht="15" customHeight="1" x14ac:dyDescent="0.3">
      <c r="C19" s="7" t="s">
        <v>1678</v>
      </c>
      <c r="D19" s="333" t="str">
        <f>D16</f>
        <v>07</v>
      </c>
      <c r="E19" s="333" t="str">
        <f>E16</f>
        <v>06</v>
      </c>
      <c r="F19" s="99" t="str">
        <f>MID($A$5,4,2)</f>
        <v>G1</v>
      </c>
      <c r="G19" s="99" t="str">
        <f>MID($A$5,6,2)</f>
        <v>G2</v>
      </c>
      <c r="N19" s="8"/>
      <c r="P19" s="21" t="str">
        <f>MID(H17,3,1)</f>
        <v>0</v>
      </c>
      <c r="Q19" s="26" t="str">
        <f t="shared" si="14"/>
        <v>0</v>
      </c>
      <c r="R19" s="7" t="s">
        <v>69</v>
      </c>
      <c r="S19" s="473"/>
      <c r="T19" s="21" t="str">
        <f>MID(I17,3,1)</f>
        <v>0</v>
      </c>
      <c r="U19" s="26" t="str">
        <f t="shared" si="15"/>
        <v>0</v>
      </c>
      <c r="V19" s="7" t="s">
        <v>69</v>
      </c>
      <c r="W19" s="8" t="s">
        <v>66</v>
      </c>
      <c r="X19" s="21" t="str">
        <f>MID(J17,3,1)</f>
        <v>0</v>
      </c>
      <c r="Y19" s="26" t="str">
        <f t="shared" si="16"/>
        <v>0</v>
      </c>
      <c r="Z19" s="7" t="s">
        <v>69</v>
      </c>
      <c r="AA19" s="8" t="s">
        <v>66</v>
      </c>
      <c r="AB19" s="21" t="str">
        <f>MID(K17,3,1)</f>
        <v>0</v>
      </c>
      <c r="AC19" s="26" t="str">
        <f t="shared" si="17"/>
        <v>0</v>
      </c>
      <c r="AD19" s="7" t="s">
        <v>69</v>
      </c>
      <c r="AE19" s="8" t="s">
        <v>66</v>
      </c>
      <c r="AF19" s="21" t="str">
        <f>MID(L17,3,1)</f>
        <v>0</v>
      </c>
      <c r="AG19" s="26" t="str">
        <f t="shared" si="18"/>
        <v>0</v>
      </c>
      <c r="AH19" s="7" t="s">
        <v>69</v>
      </c>
      <c r="AI19" s="324" t="s">
        <v>1644</v>
      </c>
      <c r="AJ19" s="400"/>
      <c r="AK19" s="401"/>
    </row>
    <row r="20" spans="3:37" ht="15" customHeight="1" thickBot="1" x14ac:dyDescent="0.35">
      <c r="C20" s="7"/>
      <c r="N20" s="8"/>
      <c r="P20" s="21" t="str">
        <f>MID(H17,4,1)</f>
        <v>0</v>
      </c>
      <c r="Q20" s="26" t="str">
        <f t="shared" si="14"/>
        <v>0</v>
      </c>
      <c r="R20" s="7" t="s">
        <v>70</v>
      </c>
      <c r="S20" s="471" t="s">
        <v>1642</v>
      </c>
      <c r="T20" s="21" t="str">
        <f>MID(I17,4,1)</f>
        <v>0</v>
      </c>
      <c r="U20" s="26" t="str">
        <f t="shared" si="15"/>
        <v>0</v>
      </c>
      <c r="V20" s="7" t="s">
        <v>70</v>
      </c>
      <c r="W20" s="8" t="s">
        <v>66</v>
      </c>
      <c r="X20" s="21" t="str">
        <f>MID(J17,4,1)</f>
        <v>0</v>
      </c>
      <c r="Y20" s="26" t="str">
        <f t="shared" si="16"/>
        <v>0</v>
      </c>
      <c r="Z20" s="7" t="s">
        <v>70</v>
      </c>
      <c r="AA20" s="8" t="s">
        <v>66</v>
      </c>
      <c r="AB20" s="21" t="str">
        <f>MID(K17,4,1)</f>
        <v>0</v>
      </c>
      <c r="AC20" s="26" t="str">
        <f t="shared" si="17"/>
        <v>0</v>
      </c>
      <c r="AD20" s="7" t="s">
        <v>70</v>
      </c>
      <c r="AE20" s="8" t="s">
        <v>66</v>
      </c>
      <c r="AF20" s="21" t="str">
        <f>MID(L17,4,1)</f>
        <v>0</v>
      </c>
      <c r="AG20" s="26" t="str">
        <f t="shared" si="18"/>
        <v>0</v>
      </c>
      <c r="AH20" s="7" t="s">
        <v>70</v>
      </c>
      <c r="AI20" s="324" t="s">
        <v>1645</v>
      </c>
      <c r="AJ20" s="400"/>
      <c r="AK20" s="401"/>
    </row>
    <row r="21" spans="3:37" ht="15" thickBot="1" x14ac:dyDescent="0.35">
      <c r="C21" s="7" t="s">
        <v>56</v>
      </c>
      <c r="D21" s="15" t="str">
        <f t="shared" ref="D21:G21" si="19">D16</f>
        <v>07</v>
      </c>
      <c r="E21" s="16" t="str">
        <f t="shared" si="19"/>
        <v>06</v>
      </c>
      <c r="F21" s="16" t="str">
        <f t="shared" si="19"/>
        <v>01</v>
      </c>
      <c r="G21" s="17" t="str">
        <f t="shared" si="19"/>
        <v>02</v>
      </c>
      <c r="H21" s="23" t="str">
        <f>BIN2HEX(H22,2)</f>
        <v>00</v>
      </c>
      <c r="I21" s="25" t="str">
        <f t="shared" ref="I21:L21" si="20">BIN2HEX(I22,2)</f>
        <v>00</v>
      </c>
      <c r="J21" s="24" t="str">
        <f t="shared" si="20"/>
        <v>00</v>
      </c>
      <c r="K21" s="2" t="str">
        <f t="shared" si="20"/>
        <v>00</v>
      </c>
      <c r="L21" s="18" t="str">
        <f t="shared" si="20"/>
        <v>00</v>
      </c>
      <c r="M21" s="3" t="str">
        <f>IF(LEN(M22)&gt;2,MID(M22,2,2),M22)</f>
        <v>10</v>
      </c>
      <c r="N21" s="8" t="s">
        <v>61</v>
      </c>
      <c r="P21" s="21" t="str">
        <f>MID(H17,5,1)</f>
        <v>0</v>
      </c>
      <c r="Q21" s="26" t="str">
        <f t="shared" si="14"/>
        <v>0</v>
      </c>
      <c r="R21" s="7" t="s">
        <v>71</v>
      </c>
      <c r="S21" s="474"/>
      <c r="T21" s="21" t="str">
        <f>MID(I17,5,1)</f>
        <v>0</v>
      </c>
      <c r="U21" s="26" t="str">
        <f t="shared" si="15"/>
        <v>0</v>
      </c>
      <c r="V21" s="7" t="s">
        <v>71</v>
      </c>
      <c r="W21" s="8" t="s">
        <v>66</v>
      </c>
      <c r="X21" s="21" t="str">
        <f>MID(J17,5,1)</f>
        <v>0</v>
      </c>
      <c r="Y21" s="26" t="str">
        <f t="shared" si="16"/>
        <v>0</v>
      </c>
      <c r="Z21" s="7" t="s">
        <v>71</v>
      </c>
      <c r="AA21" s="8" t="s">
        <v>66</v>
      </c>
      <c r="AB21" s="21" t="str">
        <f>MID(K17,5,1)</f>
        <v>0</v>
      </c>
      <c r="AC21" s="26" t="str">
        <f t="shared" si="17"/>
        <v>0</v>
      </c>
      <c r="AD21" s="7" t="s">
        <v>71</v>
      </c>
      <c r="AE21" s="8" t="s">
        <v>66</v>
      </c>
      <c r="AF21" s="21" t="str">
        <f>MID(L17,5,1)</f>
        <v>0</v>
      </c>
      <c r="AG21" s="26" t="str">
        <f t="shared" si="18"/>
        <v>0</v>
      </c>
      <c r="AH21" s="7" t="s">
        <v>71</v>
      </c>
      <c r="AI21" s="8" t="s">
        <v>66</v>
      </c>
      <c r="AJ21" s="400"/>
      <c r="AK21" s="401"/>
    </row>
    <row r="22" spans="3:37" x14ac:dyDescent="0.3">
      <c r="C22" s="7" t="s">
        <v>64</v>
      </c>
      <c r="D22" s="99" t="str">
        <f>HEX2BIN(D21,8)</f>
        <v>00000111</v>
      </c>
      <c r="E22" s="99" t="str">
        <f t="shared" ref="E22:G22" si="21">HEX2BIN(E21,8)</f>
        <v>00000110</v>
      </c>
      <c r="F22" s="99" t="str">
        <f t="shared" si="21"/>
        <v>00000001</v>
      </c>
      <c r="G22" s="99" t="str">
        <f t="shared" si="21"/>
        <v>00000010</v>
      </c>
      <c r="H22" s="29" t="str">
        <f>Q17&amp;Q18&amp;Q19&amp;Q20&amp;Q21&amp;Q22&amp;Q23&amp;Q24</f>
        <v>00000000</v>
      </c>
      <c r="I22" s="99" t="str">
        <f>U17&amp;U18&amp;U19&amp;U20&amp;U21&amp;U22&amp;U23&amp;U24</f>
        <v>00000000</v>
      </c>
      <c r="J22" s="29" t="str">
        <f>Y17&amp;Y18&amp;Y19&amp;Y20&amp;Y21&amp;Y22&amp;Y23&amp;Y24</f>
        <v>00000000</v>
      </c>
      <c r="K22" s="29" t="str">
        <f>AC17&amp;AC18&amp;AC19&amp;AC20&amp;AC21&amp;AC22&amp;AC23&amp;AC24</f>
        <v>00000000</v>
      </c>
      <c r="L22" s="99" t="str">
        <f>AG17&amp;AG18&amp;AG19&amp;AG20&amp;AG21&amp;AG22&amp;AG23&amp;AG24</f>
        <v>00000000</v>
      </c>
      <c r="M22" s="99" t="str">
        <f>DEC2HEX(M23)</f>
        <v>10</v>
      </c>
      <c r="N22" s="8"/>
      <c r="P22" s="21" t="str">
        <f>MID(H17,6,1)</f>
        <v>0</v>
      </c>
      <c r="Q22" s="26" t="str">
        <f t="shared" si="14"/>
        <v>0</v>
      </c>
      <c r="R22" s="7" t="s">
        <v>72</v>
      </c>
      <c r="S22" s="475"/>
      <c r="T22" s="21" t="str">
        <f>MID(I17,6,1)</f>
        <v>0</v>
      </c>
      <c r="U22" s="26" t="str">
        <f t="shared" si="15"/>
        <v>0</v>
      </c>
      <c r="V22" s="7" t="s">
        <v>72</v>
      </c>
      <c r="W22" s="8" t="s">
        <v>66</v>
      </c>
      <c r="X22" s="21" t="str">
        <f>MID(J17,6,1)</f>
        <v>0</v>
      </c>
      <c r="Y22" s="26" t="str">
        <f t="shared" si="16"/>
        <v>0</v>
      </c>
      <c r="Z22" s="7" t="s">
        <v>72</v>
      </c>
      <c r="AA22" s="8" t="s">
        <v>66</v>
      </c>
      <c r="AB22" s="21" t="str">
        <f>MID(K17,6,1)</f>
        <v>0</v>
      </c>
      <c r="AC22" s="26" t="str">
        <f t="shared" si="17"/>
        <v>0</v>
      </c>
      <c r="AD22" s="7" t="s">
        <v>72</v>
      </c>
      <c r="AE22" s="8" t="s">
        <v>66</v>
      </c>
      <c r="AF22" s="21" t="str">
        <f>MID(L17,6,1)</f>
        <v>0</v>
      </c>
      <c r="AG22" s="26" t="str">
        <f t="shared" si="18"/>
        <v>0</v>
      </c>
      <c r="AH22" s="7" t="s">
        <v>72</v>
      </c>
      <c r="AI22" s="8" t="s">
        <v>66</v>
      </c>
      <c r="AJ22" s="400"/>
      <c r="AK22" s="401"/>
    </row>
    <row r="23" spans="3:37" x14ac:dyDescent="0.3">
      <c r="C23" s="7" t="s">
        <v>67</v>
      </c>
      <c r="D23" s="99">
        <f>HEX2DEC(D21)</f>
        <v>7</v>
      </c>
      <c r="E23" s="99">
        <f t="shared" ref="E23:L23" si="22">HEX2DEC(E21)</f>
        <v>6</v>
      </c>
      <c r="F23" s="99">
        <f t="shared" si="22"/>
        <v>1</v>
      </c>
      <c r="G23" s="99">
        <f t="shared" si="22"/>
        <v>2</v>
      </c>
      <c r="H23" s="99">
        <f t="shared" si="22"/>
        <v>0</v>
      </c>
      <c r="I23" s="99">
        <f t="shared" si="22"/>
        <v>0</v>
      </c>
      <c r="J23" s="99">
        <f t="shared" si="22"/>
        <v>0</v>
      </c>
      <c r="K23" s="99">
        <f t="shared" si="22"/>
        <v>0</v>
      </c>
      <c r="L23" s="99">
        <f t="shared" si="22"/>
        <v>0</v>
      </c>
      <c r="M23" s="99">
        <f>SUM(D23:L23)</f>
        <v>16</v>
      </c>
      <c r="N23" s="8"/>
      <c r="P23" s="21" t="str">
        <f>MID(H17,7,1)</f>
        <v>0</v>
      </c>
      <c r="Q23" s="26" t="str">
        <f t="shared" si="14"/>
        <v>0</v>
      </c>
      <c r="R23" s="7" t="s">
        <v>73</v>
      </c>
      <c r="S23" s="8" t="s">
        <v>66</v>
      </c>
      <c r="T23" s="21" t="str">
        <f>MID(I17,7,1)</f>
        <v>0</v>
      </c>
      <c r="U23" s="26" t="str">
        <f t="shared" si="15"/>
        <v>0</v>
      </c>
      <c r="V23" s="7" t="s">
        <v>73</v>
      </c>
      <c r="W23" s="476" t="s">
        <v>1699</v>
      </c>
      <c r="X23" s="21" t="str">
        <f>MID(J17,7,1)</f>
        <v>0</v>
      </c>
      <c r="Y23" s="26" t="str">
        <f t="shared" si="16"/>
        <v>0</v>
      </c>
      <c r="Z23" s="7" t="s">
        <v>73</v>
      </c>
      <c r="AA23" s="8" t="s">
        <v>66</v>
      </c>
      <c r="AB23" s="21" t="str">
        <f>MID(K17,7,1)</f>
        <v>0</v>
      </c>
      <c r="AC23" s="26" t="str">
        <f t="shared" si="17"/>
        <v>0</v>
      </c>
      <c r="AD23" s="7" t="s">
        <v>73</v>
      </c>
      <c r="AE23" s="8" t="s">
        <v>66</v>
      </c>
      <c r="AF23" s="21" t="str">
        <f>MID(L17,7,1)</f>
        <v>0</v>
      </c>
      <c r="AG23" s="26" t="str">
        <f t="shared" si="18"/>
        <v>0</v>
      </c>
      <c r="AH23" s="7" t="s">
        <v>73</v>
      </c>
      <c r="AI23" s="8" t="s">
        <v>66</v>
      </c>
      <c r="AJ23" s="400"/>
      <c r="AK23" s="401"/>
    </row>
    <row r="24" spans="3:37" ht="15" thickBot="1" x14ac:dyDescent="0.35">
      <c r="C24" s="9" t="s">
        <v>1678</v>
      </c>
      <c r="D24" s="334" t="str">
        <f>D19</f>
        <v>07</v>
      </c>
      <c r="E24" s="334" t="str">
        <f t="shared" ref="E24:G24" si="23">E19</f>
        <v>06</v>
      </c>
      <c r="F24" s="334" t="str">
        <f t="shared" si="23"/>
        <v>G1</v>
      </c>
      <c r="G24" s="334" t="str">
        <f t="shared" si="23"/>
        <v>G2</v>
      </c>
      <c r="H24" s="10"/>
      <c r="I24" s="10"/>
      <c r="J24" s="10"/>
      <c r="K24" s="10"/>
      <c r="L24" s="10"/>
      <c r="M24" s="10"/>
      <c r="N24" s="11"/>
      <c r="P24" s="22" t="str">
        <f>MID(H17,8,1)</f>
        <v>0</v>
      </c>
      <c r="Q24" s="26" t="str">
        <f t="shared" si="14"/>
        <v>0</v>
      </c>
      <c r="R24" s="9" t="s">
        <v>74</v>
      </c>
      <c r="S24" s="11" t="s">
        <v>66</v>
      </c>
      <c r="T24" s="22" t="str">
        <f>MID(I17,8,1)</f>
        <v>0</v>
      </c>
      <c r="U24" s="26" t="str">
        <f t="shared" si="15"/>
        <v>0</v>
      </c>
      <c r="V24" s="9" t="s">
        <v>74</v>
      </c>
      <c r="W24" s="477"/>
      <c r="X24" s="22" t="str">
        <f>MID(J17,8,1)</f>
        <v>0</v>
      </c>
      <c r="Y24" s="26" t="str">
        <f t="shared" si="16"/>
        <v>0</v>
      </c>
      <c r="Z24" s="9" t="s">
        <v>74</v>
      </c>
      <c r="AA24" s="11" t="s">
        <v>66</v>
      </c>
      <c r="AB24" s="22" t="str">
        <f>MID(K17,8,1)</f>
        <v>0</v>
      </c>
      <c r="AC24" s="26" t="str">
        <f t="shared" si="17"/>
        <v>0</v>
      </c>
      <c r="AD24" s="9" t="s">
        <v>74</v>
      </c>
      <c r="AE24" s="11" t="s">
        <v>66</v>
      </c>
      <c r="AF24" s="22" t="str">
        <f>MID(L17,8,1)</f>
        <v>0</v>
      </c>
      <c r="AG24" s="26" t="str">
        <f t="shared" si="18"/>
        <v>0</v>
      </c>
      <c r="AH24" s="9" t="s">
        <v>74</v>
      </c>
      <c r="AI24" s="11" t="s">
        <v>66</v>
      </c>
      <c r="AJ24" s="402"/>
      <c r="AK24" s="404"/>
    </row>
    <row r="25" spans="3:37" ht="15" thickBot="1" x14ac:dyDescent="0.35">
      <c r="C25" s="4"/>
      <c r="D25" s="5"/>
      <c r="E25" s="5"/>
      <c r="F25" s="5"/>
      <c r="G25" s="5"/>
      <c r="H25" s="5"/>
      <c r="I25" s="5"/>
      <c r="J25" s="5"/>
      <c r="K25" s="5"/>
      <c r="L25" s="5"/>
      <c r="M25" s="5" t="s">
        <v>41</v>
      </c>
      <c r="N25" s="6"/>
      <c r="P25" s="392" t="s">
        <v>284</v>
      </c>
      <c r="Q25" s="392"/>
      <c r="R25" s="392"/>
      <c r="S25" s="392"/>
      <c r="T25" s="392"/>
      <c r="U25" s="392"/>
      <c r="V25" s="392"/>
      <c r="W25" s="392"/>
      <c r="X25" s="392"/>
      <c r="Y25" s="392"/>
      <c r="Z25" s="392"/>
      <c r="AA25" s="392"/>
      <c r="AB25" s="392"/>
      <c r="AC25" s="392"/>
      <c r="AD25" s="392"/>
      <c r="AE25" s="392"/>
      <c r="AF25" s="392"/>
      <c r="AG25" s="392"/>
      <c r="AH25" s="392"/>
      <c r="AI25" s="392"/>
      <c r="AJ25" s="392"/>
      <c r="AK25" s="392"/>
    </row>
    <row r="26" spans="3:37" ht="15" thickBot="1" x14ac:dyDescent="0.35">
      <c r="C26" s="7"/>
      <c r="D26" s="393" t="s">
        <v>285</v>
      </c>
      <c r="E26" s="393"/>
      <c r="F26" s="393"/>
      <c r="G26" s="393"/>
      <c r="H26" s="99" t="s">
        <v>44</v>
      </c>
      <c r="I26" s="99" t="s">
        <v>45</v>
      </c>
      <c r="J26" s="99" t="s">
        <v>46</v>
      </c>
      <c r="K26" s="99" t="s">
        <v>47</v>
      </c>
      <c r="L26" s="99" t="s">
        <v>48</v>
      </c>
      <c r="M26" s="99" t="s">
        <v>49</v>
      </c>
      <c r="N26" s="8"/>
      <c r="P26" s="394" t="s">
        <v>50</v>
      </c>
      <c r="Q26" s="395"/>
      <c r="R26" s="395"/>
      <c r="S26" s="396"/>
      <c r="T26" s="394" t="s">
        <v>51</v>
      </c>
      <c r="U26" s="395"/>
      <c r="V26" s="395"/>
      <c r="W26" s="396"/>
      <c r="X26" s="394" t="s">
        <v>52</v>
      </c>
      <c r="Y26" s="395"/>
      <c r="Z26" s="395"/>
      <c r="AA26" s="396"/>
      <c r="AB26" s="394" t="s">
        <v>53</v>
      </c>
      <c r="AC26" s="395"/>
      <c r="AD26" s="395"/>
      <c r="AE26" s="396"/>
      <c r="AF26" s="394" t="s">
        <v>97</v>
      </c>
      <c r="AG26" s="395"/>
      <c r="AH26" s="395"/>
      <c r="AI26" s="396"/>
      <c r="AJ26" s="394" t="s">
        <v>55</v>
      </c>
      <c r="AK26" s="396"/>
    </row>
    <row r="27" spans="3:37" ht="15" thickBot="1" x14ac:dyDescent="0.35">
      <c r="C27" s="7" t="s">
        <v>56</v>
      </c>
      <c r="D27" s="12" t="s">
        <v>57</v>
      </c>
      <c r="E27" s="13" t="s">
        <v>227</v>
      </c>
      <c r="F27" s="13" t="s">
        <v>59</v>
      </c>
      <c r="G27" s="14" t="s">
        <v>93</v>
      </c>
      <c r="H27" s="316" t="str">
        <f>MID($A$6,8,2)</f>
        <v>00</v>
      </c>
      <c r="I27" s="317" t="str">
        <f>MID($A$6,10,2)</f>
        <v>00</v>
      </c>
      <c r="J27" s="317" t="str">
        <f>MID($A$6,12,2)</f>
        <v>00</v>
      </c>
      <c r="K27" s="320" t="str">
        <f>MID($A$6,14,2)</f>
        <v>00</v>
      </c>
      <c r="L27" s="318" t="str">
        <f>MID($A$6,16,2)</f>
        <v>00</v>
      </c>
      <c r="M27" s="319" t="str">
        <f>MID($A$6,18,2)</f>
        <v>11</v>
      </c>
      <c r="N27" s="8" t="s">
        <v>60</v>
      </c>
      <c r="P27" s="19" t="s">
        <v>60</v>
      </c>
      <c r="Q27" s="20" t="s">
        <v>61</v>
      </c>
      <c r="R27" t="s">
        <v>62</v>
      </c>
      <c r="S27" s="8"/>
      <c r="T27" s="19" t="s">
        <v>60</v>
      </c>
      <c r="U27" s="20" t="s">
        <v>61</v>
      </c>
      <c r="V27" t="s">
        <v>62</v>
      </c>
      <c r="W27" s="8"/>
      <c r="X27" s="19" t="s">
        <v>60</v>
      </c>
      <c r="Y27" s="20" t="s">
        <v>61</v>
      </c>
      <c r="Z27" t="s">
        <v>62</v>
      </c>
      <c r="AA27" s="8"/>
      <c r="AB27" s="19" t="s">
        <v>60</v>
      </c>
      <c r="AC27" s="20" t="s">
        <v>61</v>
      </c>
      <c r="AD27" t="s">
        <v>62</v>
      </c>
      <c r="AE27" s="8"/>
      <c r="AF27" s="19" t="s">
        <v>60</v>
      </c>
      <c r="AG27" s="20" t="s">
        <v>61</v>
      </c>
      <c r="AH27" t="s">
        <v>62</v>
      </c>
      <c r="AJ27" s="394" t="s">
        <v>63</v>
      </c>
      <c r="AK27" s="396"/>
    </row>
    <row r="28" spans="3:37" x14ac:dyDescent="0.3">
      <c r="C28" s="7" t="s">
        <v>64</v>
      </c>
      <c r="D28" s="99" t="str">
        <f>HEX2BIN(D27,8)</f>
        <v>00000111</v>
      </c>
      <c r="E28" s="99" t="str">
        <f t="shared" ref="E28:L28" si="24">HEX2BIN(E27,8)</f>
        <v>00000110</v>
      </c>
      <c r="F28" s="99" t="str">
        <f t="shared" si="24"/>
        <v>00000001</v>
      </c>
      <c r="G28" s="99" t="str">
        <f t="shared" si="24"/>
        <v>00000011</v>
      </c>
      <c r="H28" s="99" t="str">
        <f t="shared" si="24"/>
        <v>00000000</v>
      </c>
      <c r="I28" s="99" t="str">
        <f t="shared" si="24"/>
        <v>00000000</v>
      </c>
      <c r="J28" s="99" t="str">
        <f t="shared" si="24"/>
        <v>00000000</v>
      </c>
      <c r="K28" s="99" t="str">
        <f t="shared" si="24"/>
        <v>00000000</v>
      </c>
      <c r="L28" s="99" t="str">
        <f t="shared" si="24"/>
        <v>00000000</v>
      </c>
      <c r="N28" s="8"/>
      <c r="P28" s="21" t="str">
        <f>MID(H28,1,1)</f>
        <v>0</v>
      </c>
      <c r="Q28" s="26" t="str">
        <f>P28</f>
        <v>0</v>
      </c>
      <c r="R28" s="7" t="s">
        <v>65</v>
      </c>
      <c r="S28" s="8" t="s">
        <v>66</v>
      </c>
      <c r="T28" s="21" t="str">
        <f>MID(I28,1,1)</f>
        <v>0</v>
      </c>
      <c r="U28" s="26" t="str">
        <f>T28</f>
        <v>0</v>
      </c>
      <c r="V28" s="7" t="s">
        <v>65</v>
      </c>
      <c r="W28" s="8" t="s">
        <v>66</v>
      </c>
      <c r="X28" s="21" t="str">
        <f>MID(J28,1,1)</f>
        <v>0</v>
      </c>
      <c r="Y28" s="26" t="str">
        <f>X28</f>
        <v>0</v>
      </c>
      <c r="Z28" s="7" t="s">
        <v>65</v>
      </c>
      <c r="AA28" s="8" t="s">
        <v>66</v>
      </c>
      <c r="AB28" s="21" t="str">
        <f>MID(K28,1,1)</f>
        <v>0</v>
      </c>
      <c r="AC28" s="26" t="str">
        <f>AB28</f>
        <v>0</v>
      </c>
      <c r="AD28" s="7" t="s">
        <v>65</v>
      </c>
      <c r="AE28" s="8" t="s">
        <v>66</v>
      </c>
      <c r="AF28" s="21" t="str">
        <f>MID(L28,1,1)</f>
        <v>0</v>
      </c>
      <c r="AG28" s="26" t="str">
        <f>AF28</f>
        <v>0</v>
      </c>
      <c r="AH28" s="7" t="s">
        <v>65</v>
      </c>
      <c r="AI28" s="8" t="s">
        <v>66</v>
      </c>
      <c r="AJ28" s="400"/>
      <c r="AK28" s="401"/>
    </row>
    <row r="29" spans="3:37" x14ac:dyDescent="0.3">
      <c r="C29" s="7" t="s">
        <v>67</v>
      </c>
      <c r="D29" s="99">
        <f>HEX2DEC(D27)</f>
        <v>7</v>
      </c>
      <c r="E29" s="99">
        <f t="shared" ref="E29:L29" si="25">HEX2DEC(E27)</f>
        <v>6</v>
      </c>
      <c r="F29" s="99">
        <f t="shared" si="25"/>
        <v>1</v>
      </c>
      <c r="G29" s="99">
        <f t="shared" si="25"/>
        <v>3</v>
      </c>
      <c r="H29" s="99">
        <f t="shared" si="25"/>
        <v>0</v>
      </c>
      <c r="I29" s="99">
        <f t="shared" si="25"/>
        <v>0</v>
      </c>
      <c r="J29" s="99">
        <f t="shared" si="25"/>
        <v>0</v>
      </c>
      <c r="K29" s="99">
        <f t="shared" si="25"/>
        <v>0</v>
      </c>
      <c r="L29" s="99">
        <f t="shared" si="25"/>
        <v>0</v>
      </c>
      <c r="M29" s="99">
        <f>SUM(D29:L29)</f>
        <v>17</v>
      </c>
      <c r="N29" s="8"/>
      <c r="P29" s="21" t="str">
        <f>MID(H28,2,1)</f>
        <v>0</v>
      </c>
      <c r="Q29" s="26" t="str">
        <f t="shared" ref="Q29:Q35" si="26">P29</f>
        <v>0</v>
      </c>
      <c r="R29" s="7" t="s">
        <v>68</v>
      </c>
      <c r="S29" s="8" t="s">
        <v>66</v>
      </c>
      <c r="T29" s="21" t="str">
        <f>MID(I28,2,1)</f>
        <v>0</v>
      </c>
      <c r="U29" s="26" t="str">
        <f t="shared" ref="U29:U35" si="27">T29</f>
        <v>0</v>
      </c>
      <c r="V29" s="7" t="s">
        <v>68</v>
      </c>
      <c r="W29" s="8" t="s">
        <v>66</v>
      </c>
      <c r="X29" s="21" t="str">
        <f>MID(J28,2,1)</f>
        <v>0</v>
      </c>
      <c r="Y29" s="26" t="str">
        <f t="shared" ref="Y29:Y35" si="28">X29</f>
        <v>0</v>
      </c>
      <c r="Z29" s="7" t="s">
        <v>68</v>
      </c>
      <c r="AA29" s="8" t="s">
        <v>66</v>
      </c>
      <c r="AB29" s="21" t="str">
        <f>MID(K28,2,1)</f>
        <v>0</v>
      </c>
      <c r="AC29" s="26" t="str">
        <f t="shared" ref="AC29:AC35" si="29">AB29</f>
        <v>0</v>
      </c>
      <c r="AD29" s="7" t="s">
        <v>68</v>
      </c>
      <c r="AE29" s="8" t="s">
        <v>66</v>
      </c>
      <c r="AF29" s="21" t="str">
        <f>MID(L28,2,1)</f>
        <v>0</v>
      </c>
      <c r="AG29" s="26" t="str">
        <f t="shared" ref="AG29:AG35" si="30">AF29</f>
        <v>0</v>
      </c>
      <c r="AH29" s="7" t="s">
        <v>68</v>
      </c>
      <c r="AI29" s="8" t="s">
        <v>66</v>
      </c>
      <c r="AJ29" s="400"/>
      <c r="AK29" s="401"/>
    </row>
    <row r="30" spans="3:37" x14ac:dyDescent="0.3">
      <c r="C30" s="7" t="s">
        <v>1678</v>
      </c>
      <c r="D30" s="333" t="str">
        <f>D27</f>
        <v>07</v>
      </c>
      <c r="E30" s="333" t="str">
        <f>E27</f>
        <v>06</v>
      </c>
      <c r="F30" s="99" t="str">
        <f>MID($A$6,4,2)</f>
        <v>G1</v>
      </c>
      <c r="G30" s="99" t="str">
        <f>MID($A$6,6,2)</f>
        <v>G3</v>
      </c>
      <c r="N30" s="8"/>
      <c r="P30" s="21" t="str">
        <f>MID(H28,3,1)</f>
        <v>0</v>
      </c>
      <c r="Q30" s="26" t="str">
        <f t="shared" si="26"/>
        <v>0</v>
      </c>
      <c r="R30" s="7" t="s">
        <v>69</v>
      </c>
      <c r="S30" s="8" t="s">
        <v>66</v>
      </c>
      <c r="T30" s="21" t="str">
        <f>MID(I28,3,1)</f>
        <v>0</v>
      </c>
      <c r="U30" s="26" t="str">
        <f t="shared" si="27"/>
        <v>0</v>
      </c>
      <c r="V30" s="7" t="s">
        <v>69</v>
      </c>
      <c r="W30" s="8" t="s">
        <v>66</v>
      </c>
      <c r="X30" s="21" t="str">
        <f>MID(J28,3,1)</f>
        <v>0</v>
      </c>
      <c r="Y30" s="26" t="str">
        <f t="shared" si="28"/>
        <v>0</v>
      </c>
      <c r="Z30" s="7" t="s">
        <v>69</v>
      </c>
      <c r="AA30" s="8" t="s">
        <v>66</v>
      </c>
      <c r="AB30" s="21" t="str">
        <f>MID(K28,3,1)</f>
        <v>0</v>
      </c>
      <c r="AC30" s="26" t="str">
        <f t="shared" si="29"/>
        <v>0</v>
      </c>
      <c r="AD30" s="7" t="s">
        <v>69</v>
      </c>
      <c r="AE30" s="8" t="s">
        <v>66</v>
      </c>
      <c r="AF30" s="21" t="str">
        <f>MID(L28,3,1)</f>
        <v>0</v>
      </c>
      <c r="AG30" s="26" t="str">
        <f t="shared" si="30"/>
        <v>0</v>
      </c>
      <c r="AH30" s="7" t="s">
        <v>69</v>
      </c>
      <c r="AI30" s="8" t="s">
        <v>66</v>
      </c>
      <c r="AJ30" s="400"/>
      <c r="AK30" s="401"/>
    </row>
    <row r="31" spans="3:37" ht="15" thickBot="1" x14ac:dyDescent="0.35">
      <c r="C31" s="7"/>
      <c r="N31" s="8"/>
      <c r="P31" s="21" t="str">
        <f>MID(H28,4,1)</f>
        <v>0</v>
      </c>
      <c r="Q31" s="26" t="str">
        <f t="shared" si="26"/>
        <v>0</v>
      </c>
      <c r="R31" s="7" t="s">
        <v>70</v>
      </c>
      <c r="S31" s="8" t="s">
        <v>66</v>
      </c>
      <c r="T31" s="21" t="str">
        <f>MID(I28,4,1)</f>
        <v>0</v>
      </c>
      <c r="U31" s="26" t="str">
        <f t="shared" si="27"/>
        <v>0</v>
      </c>
      <c r="V31" s="7" t="s">
        <v>70</v>
      </c>
      <c r="W31" s="8" t="s">
        <v>66</v>
      </c>
      <c r="X31" s="21" t="str">
        <f>MID(J28,4,1)</f>
        <v>0</v>
      </c>
      <c r="Y31" s="26" t="str">
        <f t="shared" si="28"/>
        <v>0</v>
      </c>
      <c r="Z31" s="7" t="s">
        <v>70</v>
      </c>
      <c r="AA31" s="8" t="s">
        <v>66</v>
      </c>
      <c r="AB31" s="21" t="str">
        <f>MID(K28,4,1)</f>
        <v>0</v>
      </c>
      <c r="AC31" s="26" t="str">
        <f t="shared" si="29"/>
        <v>0</v>
      </c>
      <c r="AD31" s="7" t="s">
        <v>70</v>
      </c>
      <c r="AE31" s="8" t="s">
        <v>66</v>
      </c>
      <c r="AF31" s="21" t="str">
        <f>MID(L28,4,1)</f>
        <v>0</v>
      </c>
      <c r="AG31" s="26" t="str">
        <f t="shared" si="30"/>
        <v>0</v>
      </c>
      <c r="AH31" s="7" t="s">
        <v>70</v>
      </c>
      <c r="AI31" s="8" t="s">
        <v>66</v>
      </c>
      <c r="AJ31" s="400"/>
      <c r="AK31" s="401"/>
    </row>
    <row r="32" spans="3:37" ht="15" thickBot="1" x14ac:dyDescent="0.35">
      <c r="C32" s="7" t="s">
        <v>56</v>
      </c>
      <c r="D32" s="15" t="str">
        <f t="shared" ref="D32:G32" si="31">D27</f>
        <v>07</v>
      </c>
      <c r="E32" s="16" t="str">
        <f t="shared" si="31"/>
        <v>06</v>
      </c>
      <c r="F32" s="16" t="str">
        <f t="shared" si="31"/>
        <v>01</v>
      </c>
      <c r="G32" s="17" t="str">
        <f t="shared" si="31"/>
        <v>03</v>
      </c>
      <c r="H32" s="23" t="str">
        <f>BIN2HEX(H33,2)</f>
        <v>00</v>
      </c>
      <c r="I32" s="25" t="str">
        <f t="shared" ref="I32:L32" si="32">BIN2HEX(I33,2)</f>
        <v>00</v>
      </c>
      <c r="J32" s="24" t="str">
        <f t="shared" si="32"/>
        <v>00</v>
      </c>
      <c r="K32" s="2" t="str">
        <f t="shared" si="32"/>
        <v>00</v>
      </c>
      <c r="L32" s="18" t="str">
        <f t="shared" si="32"/>
        <v>00</v>
      </c>
      <c r="M32" s="3" t="str">
        <f>IF(LEN(M33)&gt;2,MID(M33,2,2),M33)</f>
        <v>11</v>
      </c>
      <c r="N32" s="8" t="s">
        <v>61</v>
      </c>
      <c r="P32" s="21" t="str">
        <f>MID(H28,5,1)</f>
        <v>0</v>
      </c>
      <c r="Q32" s="26" t="str">
        <f t="shared" si="26"/>
        <v>0</v>
      </c>
      <c r="R32" s="7" t="s">
        <v>71</v>
      </c>
      <c r="S32" s="8" t="s">
        <v>66</v>
      </c>
      <c r="T32" s="21" t="str">
        <f>MID(I28,5,1)</f>
        <v>0</v>
      </c>
      <c r="U32" s="26" t="str">
        <f t="shared" si="27"/>
        <v>0</v>
      </c>
      <c r="V32" s="7" t="s">
        <v>71</v>
      </c>
      <c r="W32" s="8" t="s">
        <v>66</v>
      </c>
      <c r="X32" s="21" t="str">
        <f>MID(J28,5,1)</f>
        <v>0</v>
      </c>
      <c r="Y32" s="26" t="str">
        <f t="shared" si="28"/>
        <v>0</v>
      </c>
      <c r="Z32" s="7" t="s">
        <v>71</v>
      </c>
      <c r="AA32" s="8" t="s">
        <v>66</v>
      </c>
      <c r="AB32" s="21" t="str">
        <f>MID(K28,5,1)</f>
        <v>0</v>
      </c>
      <c r="AC32" s="26" t="str">
        <f t="shared" si="29"/>
        <v>0</v>
      </c>
      <c r="AD32" s="7" t="s">
        <v>71</v>
      </c>
      <c r="AE32" s="8" t="s">
        <v>66</v>
      </c>
      <c r="AF32" s="21" t="str">
        <f>MID(L28,5,1)</f>
        <v>0</v>
      </c>
      <c r="AG32" s="26" t="str">
        <f t="shared" si="30"/>
        <v>0</v>
      </c>
      <c r="AH32" s="7" t="s">
        <v>71</v>
      </c>
      <c r="AI32" s="8" t="s">
        <v>66</v>
      </c>
      <c r="AJ32" s="400"/>
      <c r="AK32" s="401"/>
    </row>
    <row r="33" spans="3:37" x14ac:dyDescent="0.3">
      <c r="C33" s="7" t="s">
        <v>64</v>
      </c>
      <c r="D33" s="99" t="str">
        <f>HEX2BIN(D32,8)</f>
        <v>00000111</v>
      </c>
      <c r="E33" s="99" t="str">
        <f t="shared" ref="E33:G33" si="33">HEX2BIN(E32,8)</f>
        <v>00000110</v>
      </c>
      <c r="F33" s="99" t="str">
        <f t="shared" si="33"/>
        <v>00000001</v>
      </c>
      <c r="G33" s="99" t="str">
        <f t="shared" si="33"/>
        <v>00000011</v>
      </c>
      <c r="H33" s="29" t="str">
        <f>Q28&amp;Q29&amp;Q30&amp;Q31&amp;Q32&amp;Q33&amp;Q34&amp;Q35</f>
        <v>00000000</v>
      </c>
      <c r="I33" s="99" t="str">
        <f>U28&amp;U29&amp;U30&amp;U31&amp;U32&amp;U33&amp;U34&amp;U35</f>
        <v>00000000</v>
      </c>
      <c r="J33" s="29" t="str">
        <f>Y28&amp;Y29&amp;Y30&amp;Y31&amp;Y32&amp;Y33&amp;Y34&amp;Y35</f>
        <v>00000000</v>
      </c>
      <c r="K33" s="29" t="str">
        <f>AC28&amp;AC29&amp;AC30&amp;AC31&amp;AC32&amp;AC33&amp;AC34&amp;AC35</f>
        <v>00000000</v>
      </c>
      <c r="L33" s="99" t="str">
        <f>AG28&amp;AG29&amp;AG30&amp;AG31&amp;AG32&amp;AG33&amp;AG34&amp;AG35</f>
        <v>00000000</v>
      </c>
      <c r="M33" s="99" t="str">
        <f>DEC2HEX(M34)</f>
        <v>11</v>
      </c>
      <c r="N33" s="8"/>
      <c r="P33" s="21" t="str">
        <f>MID(H28,6,1)</f>
        <v>0</v>
      </c>
      <c r="Q33" s="26" t="str">
        <f t="shared" si="26"/>
        <v>0</v>
      </c>
      <c r="R33" s="7" t="s">
        <v>72</v>
      </c>
      <c r="S33" s="8" t="s">
        <v>66</v>
      </c>
      <c r="T33" s="21" t="str">
        <f>MID(I28,6,1)</f>
        <v>0</v>
      </c>
      <c r="U33" s="26" t="str">
        <f t="shared" si="27"/>
        <v>0</v>
      </c>
      <c r="V33" s="7" t="s">
        <v>72</v>
      </c>
      <c r="W33" s="8" t="s">
        <v>66</v>
      </c>
      <c r="X33" s="21" t="str">
        <f>MID(J28,6,1)</f>
        <v>0</v>
      </c>
      <c r="Y33" s="26" t="str">
        <f t="shared" si="28"/>
        <v>0</v>
      </c>
      <c r="Z33" s="7" t="s">
        <v>72</v>
      </c>
      <c r="AA33" s="8" t="s">
        <v>66</v>
      </c>
      <c r="AB33" s="21" t="str">
        <f>MID(K28,6,1)</f>
        <v>0</v>
      </c>
      <c r="AC33" s="26" t="str">
        <f t="shared" si="29"/>
        <v>0</v>
      </c>
      <c r="AD33" s="7" t="s">
        <v>72</v>
      </c>
      <c r="AE33" s="8" t="s">
        <v>66</v>
      </c>
      <c r="AF33" s="21" t="str">
        <f>MID(L28,6,1)</f>
        <v>0</v>
      </c>
      <c r="AG33" s="26" t="str">
        <f t="shared" si="30"/>
        <v>0</v>
      </c>
      <c r="AH33" s="7" t="s">
        <v>72</v>
      </c>
      <c r="AI33" s="8" t="s">
        <v>66</v>
      </c>
      <c r="AJ33" s="400"/>
      <c r="AK33" s="401"/>
    </row>
    <row r="34" spans="3:37" x14ac:dyDescent="0.3">
      <c r="C34" s="7" t="s">
        <v>67</v>
      </c>
      <c r="D34" s="99">
        <f>HEX2DEC(D32)</f>
        <v>7</v>
      </c>
      <c r="E34" s="99">
        <f t="shared" ref="E34:L34" si="34">HEX2DEC(E32)</f>
        <v>6</v>
      </c>
      <c r="F34" s="99">
        <f t="shared" si="34"/>
        <v>1</v>
      </c>
      <c r="G34" s="99">
        <f t="shared" si="34"/>
        <v>3</v>
      </c>
      <c r="H34" s="99">
        <f t="shared" si="34"/>
        <v>0</v>
      </c>
      <c r="I34" s="99">
        <f t="shared" si="34"/>
        <v>0</v>
      </c>
      <c r="J34" s="99">
        <f t="shared" si="34"/>
        <v>0</v>
      </c>
      <c r="K34" s="99">
        <f t="shared" si="34"/>
        <v>0</v>
      </c>
      <c r="L34" s="99">
        <f t="shared" si="34"/>
        <v>0</v>
      </c>
      <c r="M34" s="99">
        <f>SUM(D34:L34)</f>
        <v>17</v>
      </c>
      <c r="N34" s="8"/>
      <c r="P34" s="21" t="str">
        <f>MID(H28,7,1)</f>
        <v>0</v>
      </c>
      <c r="Q34" s="26" t="str">
        <f t="shared" si="26"/>
        <v>0</v>
      </c>
      <c r="R34" s="7" t="s">
        <v>73</v>
      </c>
      <c r="S34" s="8" t="s">
        <v>66</v>
      </c>
      <c r="T34" s="21" t="str">
        <f>MID(I28,7,1)</f>
        <v>0</v>
      </c>
      <c r="U34" s="26" t="str">
        <f t="shared" si="27"/>
        <v>0</v>
      </c>
      <c r="V34" s="7" t="s">
        <v>73</v>
      </c>
      <c r="W34" s="8" t="s">
        <v>66</v>
      </c>
      <c r="X34" s="21" t="str">
        <f>MID(J28,7,1)</f>
        <v>0</v>
      </c>
      <c r="Y34" s="26" t="str">
        <f t="shared" si="28"/>
        <v>0</v>
      </c>
      <c r="Z34" s="7" t="s">
        <v>73</v>
      </c>
      <c r="AA34" s="8" t="s">
        <v>66</v>
      </c>
      <c r="AB34" s="21" t="str">
        <f>MID(K28,7,1)</f>
        <v>0</v>
      </c>
      <c r="AC34" s="26" t="str">
        <f t="shared" si="29"/>
        <v>0</v>
      </c>
      <c r="AD34" s="7" t="s">
        <v>73</v>
      </c>
      <c r="AE34" s="8" t="s">
        <v>66</v>
      </c>
      <c r="AF34" s="21" t="str">
        <f>MID(L28,7,1)</f>
        <v>0</v>
      </c>
      <c r="AG34" s="26" t="str">
        <f t="shared" si="30"/>
        <v>0</v>
      </c>
      <c r="AH34" s="7" t="s">
        <v>73</v>
      </c>
      <c r="AI34" s="8" t="s">
        <v>66</v>
      </c>
      <c r="AJ34" s="400"/>
      <c r="AK34" s="401"/>
    </row>
    <row r="35" spans="3:37" ht="15" thickBot="1" x14ac:dyDescent="0.35">
      <c r="C35" s="9" t="s">
        <v>1678</v>
      </c>
      <c r="D35" s="334" t="str">
        <f>D30</f>
        <v>07</v>
      </c>
      <c r="E35" s="334" t="str">
        <f t="shared" ref="E35:G35" si="35">E30</f>
        <v>06</v>
      </c>
      <c r="F35" s="334" t="str">
        <f t="shared" si="35"/>
        <v>G1</v>
      </c>
      <c r="G35" s="334" t="str">
        <f t="shared" si="35"/>
        <v>G3</v>
      </c>
      <c r="H35" s="10"/>
      <c r="I35" s="10"/>
      <c r="J35" s="10"/>
      <c r="K35" s="10"/>
      <c r="L35" s="10"/>
      <c r="M35" s="10"/>
      <c r="N35" s="11"/>
      <c r="P35" s="22" t="str">
        <f>MID(H28,8,1)</f>
        <v>0</v>
      </c>
      <c r="Q35" s="26" t="str">
        <f t="shared" si="26"/>
        <v>0</v>
      </c>
      <c r="R35" s="9" t="s">
        <v>74</v>
      </c>
      <c r="S35" s="11" t="s">
        <v>66</v>
      </c>
      <c r="T35" s="22" t="str">
        <f>MID(I28,8,1)</f>
        <v>0</v>
      </c>
      <c r="U35" s="26" t="str">
        <f t="shared" si="27"/>
        <v>0</v>
      </c>
      <c r="V35" s="9" t="s">
        <v>74</v>
      </c>
      <c r="W35" s="11" t="s">
        <v>66</v>
      </c>
      <c r="X35" s="22" t="str">
        <f>MID(J28,8,1)</f>
        <v>0</v>
      </c>
      <c r="Y35" s="26" t="str">
        <f t="shared" si="28"/>
        <v>0</v>
      </c>
      <c r="Z35" s="9" t="s">
        <v>74</v>
      </c>
      <c r="AA35" s="11" t="s">
        <v>66</v>
      </c>
      <c r="AB35" s="22" t="str">
        <f>MID(K28,8,1)</f>
        <v>0</v>
      </c>
      <c r="AC35" s="26" t="str">
        <f t="shared" si="29"/>
        <v>0</v>
      </c>
      <c r="AD35" s="9" t="s">
        <v>74</v>
      </c>
      <c r="AE35" s="11" t="s">
        <v>66</v>
      </c>
      <c r="AF35" s="22" t="str">
        <f>MID(L28,8,1)</f>
        <v>0</v>
      </c>
      <c r="AG35" s="26" t="str">
        <f t="shared" si="30"/>
        <v>0</v>
      </c>
      <c r="AH35" s="9" t="s">
        <v>74</v>
      </c>
      <c r="AI35" s="11" t="s">
        <v>66</v>
      </c>
      <c r="AJ35" s="402"/>
      <c r="AK35" s="404"/>
    </row>
    <row r="36" spans="3:37" ht="15" thickBot="1" x14ac:dyDescent="0.35">
      <c r="C36" s="4"/>
      <c r="D36" s="5"/>
      <c r="E36" s="5"/>
      <c r="F36" s="5"/>
      <c r="G36" s="5"/>
      <c r="H36" s="5"/>
      <c r="I36" s="5"/>
      <c r="J36" s="5" t="s">
        <v>41</v>
      </c>
      <c r="N36" s="6"/>
      <c r="P36" s="405" t="s">
        <v>286</v>
      </c>
      <c r="Q36" s="405"/>
      <c r="R36" s="405"/>
      <c r="S36" s="405"/>
      <c r="T36" s="405"/>
      <c r="U36" s="405"/>
      <c r="V36" s="405"/>
      <c r="W36" s="405"/>
      <c r="X36" s="405"/>
      <c r="Y36" s="405"/>
      <c r="Z36" s="405"/>
      <c r="AA36" s="405"/>
      <c r="AB36" s="405"/>
      <c r="AC36" s="405"/>
      <c r="AD36" s="405"/>
      <c r="AE36" s="405"/>
      <c r="AF36" s="405"/>
      <c r="AG36" s="405"/>
      <c r="AH36" s="405"/>
      <c r="AI36" s="405"/>
      <c r="AJ36" s="405"/>
      <c r="AK36" s="405"/>
    </row>
    <row r="37" spans="3:37" ht="15" thickBot="1" x14ac:dyDescent="0.35">
      <c r="C37" s="7"/>
      <c r="D37" s="393" t="s">
        <v>1504</v>
      </c>
      <c r="E37" s="393"/>
      <c r="F37" s="393"/>
      <c r="G37" s="393"/>
      <c r="H37" s="99" t="s">
        <v>44</v>
      </c>
      <c r="I37" s="99" t="s">
        <v>45</v>
      </c>
      <c r="J37" s="99" t="s">
        <v>46</v>
      </c>
      <c r="N37" s="8"/>
      <c r="P37" s="394" t="s">
        <v>50</v>
      </c>
      <c r="Q37" s="395"/>
      <c r="R37" s="395"/>
      <c r="S37" s="396"/>
      <c r="T37" s="394" t="s">
        <v>51</v>
      </c>
      <c r="U37" s="395"/>
      <c r="V37" s="395"/>
      <c r="W37" s="396"/>
      <c r="X37" s="448" t="s">
        <v>287</v>
      </c>
      <c r="Y37" s="407"/>
      <c r="Z37" s="407"/>
      <c r="AA37" s="408"/>
    </row>
    <row r="38" spans="3:37" ht="15" thickBot="1" x14ac:dyDescent="0.35">
      <c r="C38" s="7" t="s">
        <v>56</v>
      </c>
      <c r="D38" s="12" t="s">
        <v>57</v>
      </c>
      <c r="E38" s="13" t="s">
        <v>227</v>
      </c>
      <c r="F38" s="13" t="s">
        <v>59</v>
      </c>
      <c r="G38" s="14" t="s">
        <v>111</v>
      </c>
      <c r="H38" s="316" t="str">
        <f>MID($A$7,8,2)</f>
        <v>00</v>
      </c>
      <c r="I38" s="320" t="str">
        <f>MID($A$7,10,2)</f>
        <v>00</v>
      </c>
      <c r="J38" s="319" t="str">
        <f>MID($A$7,12,2)</f>
        <v>12</v>
      </c>
      <c r="N38" s="8" t="s">
        <v>60</v>
      </c>
      <c r="P38" s="19" t="s">
        <v>60</v>
      </c>
      <c r="Q38" s="20" t="s">
        <v>61</v>
      </c>
      <c r="R38" t="s">
        <v>62</v>
      </c>
      <c r="S38" s="45"/>
      <c r="T38" s="19" t="s">
        <v>60</v>
      </c>
      <c r="U38" s="20" t="s">
        <v>61</v>
      </c>
      <c r="V38" t="s">
        <v>62</v>
      </c>
      <c r="W38" s="8"/>
      <c r="X38" s="394"/>
      <c r="Y38" s="395"/>
      <c r="Z38" s="395"/>
      <c r="AA38" s="396"/>
    </row>
    <row r="39" spans="3:37" x14ac:dyDescent="0.3">
      <c r="C39" s="7" t="s">
        <v>64</v>
      </c>
      <c r="D39" s="99" t="str">
        <f>HEX2BIN(D38,8)</f>
        <v>00000111</v>
      </c>
      <c r="E39" s="99" t="str">
        <f t="shared" ref="E39:I39" si="36">HEX2BIN(E38,8)</f>
        <v>00000110</v>
      </c>
      <c r="F39" s="99" t="str">
        <f t="shared" si="36"/>
        <v>00000001</v>
      </c>
      <c r="G39" s="99" t="str">
        <f t="shared" si="36"/>
        <v>00000100</v>
      </c>
      <c r="H39" s="99" t="str">
        <f t="shared" si="36"/>
        <v>00000000</v>
      </c>
      <c r="I39" s="99" t="str">
        <f t="shared" si="36"/>
        <v>00000000</v>
      </c>
      <c r="J39" s="99"/>
      <c r="N39" s="8"/>
      <c r="P39" s="21" t="str">
        <f>MID(H39,1,1)</f>
        <v>0</v>
      </c>
      <c r="Q39" s="26" t="str">
        <f>P39</f>
        <v>0</v>
      </c>
      <c r="R39" s="7" t="s">
        <v>65</v>
      </c>
      <c r="S39" s="8" t="s">
        <v>66</v>
      </c>
      <c r="T39" s="21" t="str">
        <f>MID(I39,1,1)</f>
        <v>0</v>
      </c>
      <c r="U39" s="26" t="str">
        <f>T39</f>
        <v>0</v>
      </c>
      <c r="V39" s="7" t="s">
        <v>65</v>
      </c>
      <c r="W39" s="8" t="s">
        <v>66</v>
      </c>
      <c r="X39" s="400"/>
      <c r="Y39" s="381"/>
      <c r="Z39" s="381"/>
      <c r="AA39" s="401"/>
    </row>
    <row r="40" spans="3:37" x14ac:dyDescent="0.3">
      <c r="C40" s="7" t="s">
        <v>67</v>
      </c>
      <c r="D40" s="99">
        <f>HEX2DEC(D38)</f>
        <v>7</v>
      </c>
      <c r="E40" s="99">
        <f t="shared" ref="E40:I40" si="37">HEX2DEC(E38)</f>
        <v>6</v>
      </c>
      <c r="F40" s="99">
        <f t="shared" si="37"/>
        <v>1</v>
      </c>
      <c r="G40" s="99">
        <f t="shared" si="37"/>
        <v>4</v>
      </c>
      <c r="H40" s="99">
        <f t="shared" si="37"/>
        <v>0</v>
      </c>
      <c r="I40" s="99">
        <f t="shared" si="37"/>
        <v>0</v>
      </c>
      <c r="J40" s="99">
        <f>SUM(D40:I40)</f>
        <v>18</v>
      </c>
      <c r="N40" s="8"/>
      <c r="P40" s="21" t="str">
        <f>MID(H39,2,1)</f>
        <v>0</v>
      </c>
      <c r="Q40" s="26" t="str">
        <f t="shared" ref="Q40:Q46" si="38">P40</f>
        <v>0</v>
      </c>
      <c r="R40" s="7" t="s">
        <v>68</v>
      </c>
      <c r="S40" s="8" t="s">
        <v>66</v>
      </c>
      <c r="T40" s="21" t="str">
        <f>MID(I39,2,1)</f>
        <v>0</v>
      </c>
      <c r="U40" s="26" t="str">
        <f t="shared" ref="U40:U46" si="39">T40</f>
        <v>0</v>
      </c>
      <c r="V40" s="7" t="s">
        <v>68</v>
      </c>
      <c r="W40" s="8" t="s">
        <v>66</v>
      </c>
      <c r="X40" s="400"/>
      <c r="Y40" s="381"/>
      <c r="Z40" s="381"/>
      <c r="AA40" s="401"/>
    </row>
    <row r="41" spans="3:37" x14ac:dyDescent="0.3">
      <c r="C41" s="7" t="s">
        <v>1678</v>
      </c>
      <c r="D41" s="333" t="str">
        <f>D38</f>
        <v>07</v>
      </c>
      <c r="E41" s="333" t="str">
        <f>E38</f>
        <v>06</v>
      </c>
      <c r="F41" s="99" t="str">
        <f>MID($A$7,4,2)</f>
        <v>G1</v>
      </c>
      <c r="G41" s="99" t="str">
        <f>MID($A$7,6,2)</f>
        <v>G4</v>
      </c>
      <c r="N41" s="8"/>
      <c r="P41" s="21" t="str">
        <f>MID(H39,3,1)</f>
        <v>0</v>
      </c>
      <c r="Q41" s="26" t="str">
        <f t="shared" si="38"/>
        <v>0</v>
      </c>
      <c r="R41" s="7" t="s">
        <v>69</v>
      </c>
      <c r="S41" s="8" t="s">
        <v>66</v>
      </c>
      <c r="T41" s="21" t="str">
        <f>MID(I39,3,1)</f>
        <v>0</v>
      </c>
      <c r="U41" s="26" t="str">
        <f t="shared" si="39"/>
        <v>0</v>
      </c>
      <c r="V41" s="7" t="s">
        <v>69</v>
      </c>
      <c r="W41" s="8" t="s">
        <v>66</v>
      </c>
      <c r="X41" s="400"/>
      <c r="Y41" s="381"/>
      <c r="Z41" s="381"/>
      <c r="AA41" s="401"/>
    </row>
    <row r="42" spans="3:37" ht="15" thickBot="1" x14ac:dyDescent="0.35">
      <c r="C42" s="7"/>
      <c r="N42" s="8"/>
      <c r="P42" s="21" t="str">
        <f>MID(H39,4,1)</f>
        <v>0</v>
      </c>
      <c r="Q42" s="26" t="str">
        <f t="shared" si="38"/>
        <v>0</v>
      </c>
      <c r="R42" s="7" t="s">
        <v>70</v>
      </c>
      <c r="S42" s="8" t="s">
        <v>66</v>
      </c>
      <c r="T42" s="21" t="str">
        <f>MID(I39,4,1)</f>
        <v>0</v>
      </c>
      <c r="U42" s="26" t="str">
        <f t="shared" si="39"/>
        <v>0</v>
      </c>
      <c r="V42" s="7" t="s">
        <v>70</v>
      </c>
      <c r="W42" s="8" t="s">
        <v>66</v>
      </c>
      <c r="X42" s="400"/>
      <c r="Y42" s="381"/>
      <c r="Z42" s="381"/>
      <c r="AA42" s="401"/>
    </row>
    <row r="43" spans="3:37" ht="15" thickBot="1" x14ac:dyDescent="0.35">
      <c r="C43" s="7" t="s">
        <v>56</v>
      </c>
      <c r="D43" s="15" t="str">
        <f>D38</f>
        <v>07</v>
      </c>
      <c r="E43" s="16" t="str">
        <f>E38</f>
        <v>06</v>
      </c>
      <c r="F43" s="16" t="str">
        <f>F38</f>
        <v>01</v>
      </c>
      <c r="G43" s="17" t="str">
        <f>G38</f>
        <v>04</v>
      </c>
      <c r="H43" s="23" t="str">
        <f>BIN2HEX(H44,2)</f>
        <v>00</v>
      </c>
      <c r="I43" s="25" t="str">
        <f t="shared" ref="I43" si="40">BIN2HEX(I44,2)</f>
        <v>00</v>
      </c>
      <c r="J43" s="44" t="str">
        <f>IF(LEN(J44)&gt;2,MID(J44,2,2),J44)</f>
        <v>12</v>
      </c>
      <c r="N43" s="8" t="s">
        <v>61</v>
      </c>
      <c r="P43" s="21" t="str">
        <f>MID(H39,5,1)</f>
        <v>0</v>
      </c>
      <c r="Q43" s="26" t="str">
        <f t="shared" si="38"/>
        <v>0</v>
      </c>
      <c r="R43" s="7" t="s">
        <v>71</v>
      </c>
      <c r="S43" s="8" t="s">
        <v>66</v>
      </c>
      <c r="T43" s="21" t="str">
        <f>MID(I39,5,1)</f>
        <v>0</v>
      </c>
      <c r="U43" s="26" t="str">
        <f t="shared" si="39"/>
        <v>0</v>
      </c>
      <c r="V43" s="7" t="s">
        <v>71</v>
      </c>
      <c r="W43" s="8" t="s">
        <v>66</v>
      </c>
      <c r="X43" s="400"/>
      <c r="Y43" s="381"/>
      <c r="Z43" s="381"/>
      <c r="AA43" s="401"/>
    </row>
    <row r="44" spans="3:37" x14ac:dyDescent="0.3">
      <c r="C44" s="7" t="s">
        <v>64</v>
      </c>
      <c r="D44" s="99" t="str">
        <f>HEX2BIN(D43,8)</f>
        <v>00000111</v>
      </c>
      <c r="E44" s="99" t="str">
        <f t="shared" ref="E44:G44" si="41">HEX2BIN(E43,8)</f>
        <v>00000110</v>
      </c>
      <c r="F44" s="99" t="str">
        <f t="shared" si="41"/>
        <v>00000001</v>
      </c>
      <c r="G44" s="99" t="str">
        <f t="shared" si="41"/>
        <v>00000100</v>
      </c>
      <c r="H44" s="29" t="str">
        <f>Q39&amp;Q40&amp;Q41&amp;Q42&amp;Q43&amp;Q44&amp;Q45&amp;Q46</f>
        <v>00000000</v>
      </c>
      <c r="I44" s="99" t="str">
        <f>U39&amp;U40&amp;U41&amp;U42&amp;U43&amp;U44&amp;U45&amp;U46</f>
        <v>00000000</v>
      </c>
      <c r="J44" s="99" t="str">
        <f>DEC2HEX(J45)</f>
        <v>12</v>
      </c>
      <c r="N44" s="8"/>
      <c r="P44" s="21" t="str">
        <f>MID(H39,6,1)</f>
        <v>0</v>
      </c>
      <c r="Q44" s="26" t="str">
        <f t="shared" si="38"/>
        <v>0</v>
      </c>
      <c r="R44" s="7" t="s">
        <v>72</v>
      </c>
      <c r="S44" s="8" t="s">
        <v>66</v>
      </c>
      <c r="T44" s="21" t="str">
        <f>MID(I39,6,1)</f>
        <v>0</v>
      </c>
      <c r="U44" s="26" t="str">
        <f t="shared" si="39"/>
        <v>0</v>
      </c>
      <c r="V44" s="7" t="s">
        <v>72</v>
      </c>
      <c r="W44" s="8" t="s">
        <v>66</v>
      </c>
      <c r="X44" s="400"/>
      <c r="Y44" s="381"/>
      <c r="Z44" s="381"/>
      <c r="AA44" s="401"/>
    </row>
    <row r="45" spans="3:37" x14ac:dyDescent="0.3">
      <c r="C45" s="7" t="s">
        <v>67</v>
      </c>
      <c r="D45" s="99">
        <f>HEX2DEC(D43)</f>
        <v>7</v>
      </c>
      <c r="E45" s="99">
        <f t="shared" ref="E45:I45" si="42">HEX2DEC(E43)</f>
        <v>6</v>
      </c>
      <c r="F45" s="99">
        <f t="shared" si="42"/>
        <v>1</v>
      </c>
      <c r="G45" s="99">
        <f t="shared" si="42"/>
        <v>4</v>
      </c>
      <c r="H45" s="99">
        <f t="shared" si="42"/>
        <v>0</v>
      </c>
      <c r="I45" s="99">
        <f t="shared" si="42"/>
        <v>0</v>
      </c>
      <c r="J45" s="99">
        <f>SUM(D45:I45)</f>
        <v>18</v>
      </c>
      <c r="N45" s="8"/>
      <c r="P45" s="21" t="str">
        <f>MID(H39,7,1)</f>
        <v>0</v>
      </c>
      <c r="Q45" s="26" t="str">
        <f t="shared" si="38"/>
        <v>0</v>
      </c>
      <c r="R45" s="7" t="s">
        <v>73</v>
      </c>
      <c r="S45" s="8" t="s">
        <v>66</v>
      </c>
      <c r="T45" s="21" t="str">
        <f>MID(I39,7,1)</f>
        <v>0</v>
      </c>
      <c r="U45" s="26" t="str">
        <f t="shared" si="39"/>
        <v>0</v>
      </c>
      <c r="V45" s="7" t="s">
        <v>73</v>
      </c>
      <c r="W45" s="8" t="s">
        <v>66</v>
      </c>
      <c r="X45" s="400"/>
      <c r="Y45" s="381"/>
      <c r="Z45" s="381"/>
      <c r="AA45" s="401"/>
    </row>
    <row r="46" spans="3:37" ht="15" thickBot="1" x14ac:dyDescent="0.35">
      <c r="C46" s="9" t="s">
        <v>1678</v>
      </c>
      <c r="D46" s="334" t="str">
        <f>D41</f>
        <v>07</v>
      </c>
      <c r="E46" s="334" t="str">
        <f t="shared" ref="E46:G46" si="43">E41</f>
        <v>06</v>
      </c>
      <c r="F46" s="334" t="str">
        <f t="shared" si="43"/>
        <v>G1</v>
      </c>
      <c r="G46" s="334" t="str">
        <f t="shared" si="43"/>
        <v>G4</v>
      </c>
      <c r="H46" s="10"/>
      <c r="I46" s="10"/>
      <c r="J46" s="10"/>
      <c r="K46" s="10"/>
      <c r="L46" s="10"/>
      <c r="M46" s="10"/>
      <c r="N46" s="11"/>
      <c r="P46" s="22" t="str">
        <f>MID(H39,8,1)</f>
        <v>0</v>
      </c>
      <c r="Q46" s="26" t="str">
        <f t="shared" si="38"/>
        <v>0</v>
      </c>
      <c r="R46" s="9" t="s">
        <v>74</v>
      </c>
      <c r="S46" s="11" t="s">
        <v>66</v>
      </c>
      <c r="T46" s="22" t="str">
        <f>MID(I39,8,1)</f>
        <v>0</v>
      </c>
      <c r="U46" s="26" t="str">
        <f t="shared" si="39"/>
        <v>0</v>
      </c>
      <c r="V46" s="9" t="s">
        <v>74</v>
      </c>
      <c r="W46" s="11" t="s">
        <v>66</v>
      </c>
      <c r="X46" s="402"/>
      <c r="Y46" s="403"/>
      <c r="Z46" s="403"/>
      <c r="AA46" s="404"/>
    </row>
    <row r="47" spans="3:37" ht="15" thickBot="1" x14ac:dyDescent="0.35">
      <c r="C47" s="4"/>
      <c r="D47" s="5"/>
      <c r="E47" s="5"/>
      <c r="F47" s="5"/>
      <c r="G47" s="5"/>
      <c r="H47" s="5"/>
      <c r="I47" s="5"/>
      <c r="J47" s="5"/>
      <c r="K47" s="5"/>
      <c r="L47" s="5"/>
      <c r="M47" s="5" t="s">
        <v>41</v>
      </c>
      <c r="N47" s="6"/>
      <c r="P47" s="392" t="s">
        <v>288</v>
      </c>
      <c r="Q47" s="392"/>
      <c r="R47" s="392"/>
      <c r="S47" s="392"/>
      <c r="T47" s="392"/>
      <c r="U47" s="392"/>
      <c r="V47" s="392"/>
      <c r="W47" s="392"/>
      <c r="X47" s="392"/>
      <c r="Y47" s="392"/>
      <c r="Z47" s="392"/>
      <c r="AA47" s="392"/>
      <c r="AB47" s="392"/>
      <c r="AC47" s="392"/>
      <c r="AD47" s="392"/>
      <c r="AE47" s="392"/>
      <c r="AF47" s="392"/>
      <c r="AG47" s="392"/>
      <c r="AH47" s="392"/>
      <c r="AI47" s="392"/>
      <c r="AJ47" s="392"/>
      <c r="AK47" s="392"/>
    </row>
    <row r="48" spans="3:37" ht="15" thickBot="1" x14ac:dyDescent="0.35">
      <c r="C48" s="7"/>
      <c r="D48" s="393" t="s">
        <v>289</v>
      </c>
      <c r="E48" s="393"/>
      <c r="F48" s="393"/>
      <c r="G48" s="393"/>
      <c r="H48" s="99" t="s">
        <v>44</v>
      </c>
      <c r="I48" s="99" t="s">
        <v>45</v>
      </c>
      <c r="J48" s="99" t="s">
        <v>46</v>
      </c>
      <c r="K48" s="99" t="s">
        <v>47</v>
      </c>
      <c r="L48" s="99" t="s">
        <v>48</v>
      </c>
      <c r="M48" s="99" t="s">
        <v>49</v>
      </c>
      <c r="N48" s="8"/>
      <c r="P48" s="394" t="s">
        <v>50</v>
      </c>
      <c r="Q48" s="395"/>
      <c r="R48" s="395"/>
      <c r="S48" s="396"/>
      <c r="T48" s="394" t="s">
        <v>51</v>
      </c>
      <c r="U48" s="395"/>
      <c r="V48" s="395"/>
      <c r="W48" s="396"/>
      <c r="X48" s="394" t="s">
        <v>52</v>
      </c>
      <c r="Y48" s="395"/>
      <c r="Z48" s="395"/>
      <c r="AA48" s="396"/>
      <c r="AB48" s="394" t="s">
        <v>53</v>
      </c>
      <c r="AC48" s="395"/>
      <c r="AD48" s="395"/>
      <c r="AE48" s="396"/>
      <c r="AF48" s="394" t="s">
        <v>97</v>
      </c>
      <c r="AG48" s="395"/>
      <c r="AH48" s="395"/>
      <c r="AI48" s="396"/>
      <c r="AJ48" s="394" t="s">
        <v>55</v>
      </c>
      <c r="AK48" s="396"/>
    </row>
    <row r="49" spans="3:37" ht="15" thickBot="1" x14ac:dyDescent="0.35">
      <c r="C49" s="7" t="s">
        <v>56</v>
      </c>
      <c r="D49" s="12" t="s">
        <v>57</v>
      </c>
      <c r="E49" s="13" t="s">
        <v>227</v>
      </c>
      <c r="F49" s="13" t="s">
        <v>77</v>
      </c>
      <c r="G49" s="14" t="s">
        <v>59</v>
      </c>
      <c r="H49" s="316" t="str">
        <f>MID($A$9,8,2)</f>
        <v>00</v>
      </c>
      <c r="I49" s="317" t="str">
        <f>MID($A$9,10,2)</f>
        <v>00</v>
      </c>
      <c r="J49" s="317" t="str">
        <f>MID($A$9,12,2)</f>
        <v>00</v>
      </c>
      <c r="K49" s="320" t="str">
        <f>MID($A$9,14,2)</f>
        <v>00</v>
      </c>
      <c r="L49" s="318" t="str">
        <f>MID($A$9,16,2)</f>
        <v>00</v>
      </c>
      <c r="M49" s="319" t="str">
        <f>MID($A$9,18,2)</f>
        <v>10</v>
      </c>
      <c r="N49" s="8" t="s">
        <v>60</v>
      </c>
      <c r="P49" s="19" t="s">
        <v>60</v>
      </c>
      <c r="Q49" s="20" t="s">
        <v>61</v>
      </c>
      <c r="R49" t="s">
        <v>62</v>
      </c>
      <c r="S49" s="8"/>
      <c r="T49" s="19" t="s">
        <v>60</v>
      </c>
      <c r="U49" s="20" t="s">
        <v>61</v>
      </c>
      <c r="V49" t="s">
        <v>62</v>
      </c>
      <c r="W49" s="8"/>
      <c r="X49" s="19" t="s">
        <v>60</v>
      </c>
      <c r="Y49" s="20" t="s">
        <v>61</v>
      </c>
      <c r="Z49" t="s">
        <v>62</v>
      </c>
      <c r="AA49" s="8"/>
      <c r="AB49" s="19" t="s">
        <v>60</v>
      </c>
      <c r="AC49" s="20" t="s">
        <v>61</v>
      </c>
      <c r="AD49" t="s">
        <v>62</v>
      </c>
      <c r="AE49" s="8"/>
      <c r="AF49" s="19" t="s">
        <v>60</v>
      </c>
      <c r="AG49" s="20" t="s">
        <v>61</v>
      </c>
      <c r="AH49" t="s">
        <v>62</v>
      </c>
      <c r="AJ49" s="394" t="s">
        <v>63</v>
      </c>
      <c r="AK49" s="396"/>
    </row>
    <row r="50" spans="3:37" x14ac:dyDescent="0.3">
      <c r="C50" s="7" t="s">
        <v>64</v>
      </c>
      <c r="D50" s="99" t="str">
        <f>HEX2BIN(D49,8)</f>
        <v>00000111</v>
      </c>
      <c r="E50" s="99" t="str">
        <f t="shared" ref="E50:L50" si="44">HEX2BIN(E49,8)</f>
        <v>00000110</v>
      </c>
      <c r="F50" s="99" t="str">
        <f t="shared" si="44"/>
        <v>00000010</v>
      </c>
      <c r="G50" s="99" t="str">
        <f t="shared" si="44"/>
        <v>00000001</v>
      </c>
      <c r="H50" s="99" t="str">
        <f t="shared" si="44"/>
        <v>00000000</v>
      </c>
      <c r="I50" s="99" t="str">
        <f t="shared" si="44"/>
        <v>00000000</v>
      </c>
      <c r="J50" s="99" t="str">
        <f t="shared" si="44"/>
        <v>00000000</v>
      </c>
      <c r="K50" s="99" t="str">
        <f t="shared" si="44"/>
        <v>00000000</v>
      </c>
      <c r="L50" s="99" t="str">
        <f t="shared" si="44"/>
        <v>00000000</v>
      </c>
      <c r="N50" s="8"/>
      <c r="P50" s="21" t="str">
        <f>MID(H50,1,1)</f>
        <v>0</v>
      </c>
      <c r="Q50" s="26" t="str">
        <f>P50</f>
        <v>0</v>
      </c>
      <c r="R50" s="7" t="s">
        <v>65</v>
      </c>
      <c r="S50" s="478" t="s">
        <v>1646</v>
      </c>
      <c r="T50" s="21" t="str">
        <f>MID(I50,1,1)</f>
        <v>0</v>
      </c>
      <c r="U50" s="26" t="str">
        <f>T50</f>
        <v>0</v>
      </c>
      <c r="V50" s="7" t="s">
        <v>65</v>
      </c>
      <c r="W50" s="455" t="s">
        <v>1648</v>
      </c>
      <c r="X50" s="21" t="str">
        <f>MID(J50,1,1)</f>
        <v>0</v>
      </c>
      <c r="Y50" s="26" t="str">
        <f>X50</f>
        <v>0</v>
      </c>
      <c r="Z50" s="7" t="s">
        <v>65</v>
      </c>
      <c r="AA50" s="8" t="s">
        <v>66</v>
      </c>
      <c r="AB50" s="21" t="str">
        <f>MID(K50,1,1)</f>
        <v>0</v>
      </c>
      <c r="AC50" s="26" t="str">
        <f>AB50</f>
        <v>0</v>
      </c>
      <c r="AD50" s="7" t="s">
        <v>65</v>
      </c>
      <c r="AE50" s="8" t="s">
        <v>66</v>
      </c>
      <c r="AF50" s="21" t="str">
        <f>MID(L50,1,1)</f>
        <v>0</v>
      </c>
      <c r="AG50" s="26" t="str">
        <f>AF50</f>
        <v>0</v>
      </c>
      <c r="AH50" s="7" t="s">
        <v>65</v>
      </c>
      <c r="AI50" s="8" t="s">
        <v>66</v>
      </c>
      <c r="AJ50" s="400"/>
      <c r="AK50" s="401"/>
    </row>
    <row r="51" spans="3:37" x14ac:dyDescent="0.3">
      <c r="C51" s="7" t="s">
        <v>67</v>
      </c>
      <c r="D51" s="99">
        <f>HEX2DEC(D49)</f>
        <v>7</v>
      </c>
      <c r="E51" s="99">
        <f t="shared" ref="E51:L51" si="45">HEX2DEC(E49)</f>
        <v>6</v>
      </c>
      <c r="F51" s="99">
        <f t="shared" si="45"/>
        <v>2</v>
      </c>
      <c r="G51" s="99">
        <f t="shared" si="45"/>
        <v>1</v>
      </c>
      <c r="H51" s="99">
        <f t="shared" si="45"/>
        <v>0</v>
      </c>
      <c r="I51" s="99">
        <f t="shared" si="45"/>
        <v>0</v>
      </c>
      <c r="J51" s="99">
        <f t="shared" si="45"/>
        <v>0</v>
      </c>
      <c r="K51" s="99">
        <f t="shared" si="45"/>
        <v>0</v>
      </c>
      <c r="L51" s="99">
        <f t="shared" si="45"/>
        <v>0</v>
      </c>
      <c r="M51" s="99">
        <f>SUM(D51:L51)</f>
        <v>16</v>
      </c>
      <c r="N51" s="8"/>
      <c r="P51" s="21" t="str">
        <f>MID(H50,2,1)</f>
        <v>0</v>
      </c>
      <c r="Q51" s="26" t="str">
        <f t="shared" ref="Q51:Q57" si="46">P51</f>
        <v>0</v>
      </c>
      <c r="R51" s="7" t="s">
        <v>68</v>
      </c>
      <c r="S51" s="460"/>
      <c r="T51" s="21" t="str">
        <f>MID(I50,2,1)</f>
        <v>0</v>
      </c>
      <c r="U51" s="26" t="str">
        <f t="shared" ref="U51:U57" si="47">T51</f>
        <v>0</v>
      </c>
      <c r="V51" s="7" t="s">
        <v>68</v>
      </c>
      <c r="W51" s="456"/>
      <c r="X51" s="21" t="str">
        <f>MID(J50,2,1)</f>
        <v>0</v>
      </c>
      <c r="Y51" s="26" t="str">
        <f t="shared" ref="Y51:Y57" si="48">X51</f>
        <v>0</v>
      </c>
      <c r="Z51" s="7" t="s">
        <v>68</v>
      </c>
      <c r="AA51" s="8" t="s">
        <v>66</v>
      </c>
      <c r="AB51" s="21" t="str">
        <f>MID(K50,2,1)</f>
        <v>0</v>
      </c>
      <c r="AC51" s="26" t="str">
        <f t="shared" ref="AC51:AC57" si="49">AB51</f>
        <v>0</v>
      </c>
      <c r="AD51" s="7" t="s">
        <v>68</v>
      </c>
      <c r="AE51" s="8" t="s">
        <v>66</v>
      </c>
      <c r="AF51" s="21" t="str">
        <f>MID(L50,2,1)</f>
        <v>0</v>
      </c>
      <c r="AG51" s="26" t="str">
        <f t="shared" ref="AG51:AG57" si="50">AF51</f>
        <v>0</v>
      </c>
      <c r="AH51" s="7" t="s">
        <v>68</v>
      </c>
      <c r="AI51" s="280" t="s">
        <v>1262</v>
      </c>
      <c r="AJ51" s="400"/>
      <c r="AK51" s="401"/>
    </row>
    <row r="52" spans="3:37" x14ac:dyDescent="0.3">
      <c r="C52" s="7" t="s">
        <v>1678</v>
      </c>
      <c r="D52" s="333" t="str">
        <f>D49</f>
        <v>07</v>
      </c>
      <c r="E52" s="333" t="str">
        <f>E49</f>
        <v>06</v>
      </c>
      <c r="F52" s="99" t="str">
        <f>MID($A$9,4,2)</f>
        <v>G2</v>
      </c>
      <c r="G52" s="99" t="str">
        <f>MID($A$9,6,2)</f>
        <v>G1</v>
      </c>
      <c r="N52" s="8"/>
      <c r="P52" s="21" t="str">
        <f>MID(H50,3,1)</f>
        <v>0</v>
      </c>
      <c r="Q52" s="26" t="str">
        <f t="shared" si="46"/>
        <v>0</v>
      </c>
      <c r="R52" s="7" t="s">
        <v>69</v>
      </c>
      <c r="S52" s="479"/>
      <c r="T52" s="21" t="str">
        <f>MID(I50,3,1)</f>
        <v>0</v>
      </c>
      <c r="U52" s="26" t="str">
        <f t="shared" si="47"/>
        <v>0</v>
      </c>
      <c r="V52" s="7" t="s">
        <v>69</v>
      </c>
      <c r="W52" s="8" t="s">
        <v>66</v>
      </c>
      <c r="X52" s="21" t="str">
        <f>MID(J50,3,1)</f>
        <v>0</v>
      </c>
      <c r="Y52" s="26" t="str">
        <f t="shared" si="48"/>
        <v>0</v>
      </c>
      <c r="Z52" s="7" t="s">
        <v>69</v>
      </c>
      <c r="AA52" s="8" t="s">
        <v>66</v>
      </c>
      <c r="AB52" s="21" t="str">
        <f>MID(K50,3,1)</f>
        <v>0</v>
      </c>
      <c r="AC52" s="26" t="str">
        <f t="shared" si="49"/>
        <v>0</v>
      </c>
      <c r="AD52" s="7" t="s">
        <v>69</v>
      </c>
      <c r="AE52" s="8" t="s">
        <v>66</v>
      </c>
      <c r="AF52" s="21" t="str">
        <f>MID(L50,3,1)</f>
        <v>0</v>
      </c>
      <c r="AG52" s="26" t="str">
        <f t="shared" si="50"/>
        <v>0</v>
      </c>
      <c r="AH52" s="7" t="s">
        <v>69</v>
      </c>
      <c r="AI52" s="325" t="s">
        <v>1644</v>
      </c>
      <c r="AJ52" s="400"/>
      <c r="AK52" s="401"/>
    </row>
    <row r="53" spans="3:37" ht="15" thickBot="1" x14ac:dyDescent="0.35">
      <c r="C53" s="7"/>
      <c r="N53" s="8"/>
      <c r="P53" s="21" t="str">
        <f>MID(H50,4,1)</f>
        <v>0</v>
      </c>
      <c r="Q53" s="26" t="str">
        <f t="shared" si="46"/>
        <v>0</v>
      </c>
      <c r="R53" s="7" t="s">
        <v>70</v>
      </c>
      <c r="S53" s="478" t="s">
        <v>1647</v>
      </c>
      <c r="T53" s="21" t="str">
        <f>MID(I50,4,1)</f>
        <v>0</v>
      </c>
      <c r="U53" s="26" t="str">
        <f t="shared" si="47"/>
        <v>0</v>
      </c>
      <c r="V53" s="7" t="s">
        <v>70</v>
      </c>
      <c r="W53" s="8" t="s">
        <v>66</v>
      </c>
      <c r="X53" s="21" t="str">
        <f>MID(J50,4,1)</f>
        <v>0</v>
      </c>
      <c r="Y53" s="26" t="str">
        <f t="shared" si="48"/>
        <v>0</v>
      </c>
      <c r="Z53" s="7" t="s">
        <v>70</v>
      </c>
      <c r="AA53" s="8" t="s">
        <v>66</v>
      </c>
      <c r="AB53" s="21" t="str">
        <f>MID(K50,4,1)</f>
        <v>0</v>
      </c>
      <c r="AC53" s="26" t="str">
        <f t="shared" si="49"/>
        <v>0</v>
      </c>
      <c r="AD53" s="7" t="s">
        <v>70</v>
      </c>
      <c r="AE53" s="8" t="s">
        <v>66</v>
      </c>
      <c r="AF53" s="21" t="str">
        <f>MID(L50,4,1)</f>
        <v>0</v>
      </c>
      <c r="AG53" s="26" t="str">
        <f t="shared" si="50"/>
        <v>0</v>
      </c>
      <c r="AH53" s="7" t="s">
        <v>70</v>
      </c>
      <c r="AI53" s="325" t="s">
        <v>1645</v>
      </c>
      <c r="AJ53" s="400"/>
      <c r="AK53" s="401"/>
    </row>
    <row r="54" spans="3:37" ht="15" thickBot="1" x14ac:dyDescent="0.35">
      <c r="C54" s="7" t="s">
        <v>56</v>
      </c>
      <c r="D54" s="15" t="str">
        <f t="shared" ref="D54:G54" si="51">D49</f>
        <v>07</v>
      </c>
      <c r="E54" s="16" t="str">
        <f t="shared" si="51"/>
        <v>06</v>
      </c>
      <c r="F54" s="16" t="str">
        <f t="shared" si="51"/>
        <v>02</v>
      </c>
      <c r="G54" s="17" t="str">
        <f t="shared" si="51"/>
        <v>01</v>
      </c>
      <c r="H54" s="23" t="str">
        <f>BIN2HEX(H55,2)</f>
        <v>00</v>
      </c>
      <c r="I54" s="25" t="str">
        <f t="shared" ref="I54:L54" si="52">BIN2HEX(I55,2)</f>
        <v>00</v>
      </c>
      <c r="J54" s="24" t="str">
        <f t="shared" si="52"/>
        <v>00</v>
      </c>
      <c r="K54" s="2" t="str">
        <f t="shared" si="52"/>
        <v>00</v>
      </c>
      <c r="L54" s="18" t="str">
        <f t="shared" si="52"/>
        <v>00</v>
      </c>
      <c r="M54" s="3" t="str">
        <f>IF(LEN(M55)&gt;2,MID(M55,2,2),M55)</f>
        <v>10</v>
      </c>
      <c r="N54" s="8" t="s">
        <v>61</v>
      </c>
      <c r="P54" s="21" t="str">
        <f>MID(H50,5,1)</f>
        <v>0</v>
      </c>
      <c r="Q54" s="26" t="str">
        <f t="shared" si="46"/>
        <v>0</v>
      </c>
      <c r="R54" s="7" t="s">
        <v>71</v>
      </c>
      <c r="S54" s="480"/>
      <c r="T54" s="21" t="str">
        <f>MID(I50,5,1)</f>
        <v>0</v>
      </c>
      <c r="U54" s="26" t="str">
        <f t="shared" si="47"/>
        <v>0</v>
      </c>
      <c r="V54" s="7" t="s">
        <v>71</v>
      </c>
      <c r="W54" s="8" t="s">
        <v>66</v>
      </c>
      <c r="X54" s="21" t="str">
        <f>MID(J50,5,1)</f>
        <v>0</v>
      </c>
      <c r="Y54" s="26" t="str">
        <f t="shared" si="48"/>
        <v>0</v>
      </c>
      <c r="Z54" s="7" t="s">
        <v>71</v>
      </c>
      <c r="AA54" s="8" t="s">
        <v>66</v>
      </c>
      <c r="AB54" s="21" t="str">
        <f>MID(K50,5,1)</f>
        <v>0</v>
      </c>
      <c r="AC54" s="26" t="str">
        <f t="shared" si="49"/>
        <v>0</v>
      </c>
      <c r="AD54" s="7" t="s">
        <v>71</v>
      </c>
      <c r="AE54" s="8" t="s">
        <v>66</v>
      </c>
      <c r="AF54" s="21" t="str">
        <f>MID(L50,5,1)</f>
        <v>0</v>
      </c>
      <c r="AG54" s="26" t="str">
        <f t="shared" si="50"/>
        <v>0</v>
      </c>
      <c r="AH54" s="7" t="s">
        <v>71</v>
      </c>
      <c r="AI54" s="8" t="s">
        <v>66</v>
      </c>
      <c r="AJ54" s="400"/>
      <c r="AK54" s="401"/>
    </row>
    <row r="55" spans="3:37" x14ac:dyDescent="0.3">
      <c r="C55" s="7" t="s">
        <v>64</v>
      </c>
      <c r="D55" s="99" t="str">
        <f>HEX2BIN(D54,8)</f>
        <v>00000111</v>
      </c>
      <c r="E55" s="99" t="str">
        <f t="shared" ref="E55:G55" si="53">HEX2BIN(E54,8)</f>
        <v>00000110</v>
      </c>
      <c r="F55" s="99" t="str">
        <f t="shared" si="53"/>
        <v>00000010</v>
      </c>
      <c r="G55" s="99" t="str">
        <f t="shared" si="53"/>
        <v>00000001</v>
      </c>
      <c r="H55" s="29" t="str">
        <f>Q50&amp;Q51&amp;Q52&amp;Q53&amp;Q54&amp;Q55&amp;Q56&amp;Q57</f>
        <v>00000000</v>
      </c>
      <c r="I55" s="99" t="str">
        <f>U50&amp;U51&amp;U52&amp;U53&amp;U54&amp;U55&amp;U56&amp;U57</f>
        <v>00000000</v>
      </c>
      <c r="J55" s="29" t="str">
        <f>Y50&amp;Y51&amp;Y52&amp;Y53&amp;Y54&amp;Y55&amp;Y56&amp;Y57</f>
        <v>00000000</v>
      </c>
      <c r="K55" s="29" t="str">
        <f>AC50&amp;AC51&amp;AC52&amp;AC53&amp;AC54&amp;AC55&amp;AC56&amp;AC57</f>
        <v>00000000</v>
      </c>
      <c r="L55" s="99" t="str">
        <f>AG50&amp;AG51&amp;AG52&amp;AG53&amp;AG54&amp;AG55&amp;AG56&amp;AG57</f>
        <v>00000000</v>
      </c>
      <c r="M55" s="99" t="str">
        <f>DEC2HEX(M56)</f>
        <v>10</v>
      </c>
      <c r="N55" s="8"/>
      <c r="P55" s="21" t="str">
        <f>MID(H50,6,1)</f>
        <v>0</v>
      </c>
      <c r="Q55" s="26" t="str">
        <f t="shared" si="46"/>
        <v>0</v>
      </c>
      <c r="R55" s="7" t="s">
        <v>72</v>
      </c>
      <c r="S55" s="481"/>
      <c r="T55" s="21" t="str">
        <f>MID(I50,6,1)</f>
        <v>0</v>
      </c>
      <c r="U55" s="26" t="str">
        <f t="shared" si="47"/>
        <v>0</v>
      </c>
      <c r="V55" s="7" t="s">
        <v>72</v>
      </c>
      <c r="W55" s="8" t="s">
        <v>66</v>
      </c>
      <c r="X55" s="21" t="str">
        <f>MID(J50,6,1)</f>
        <v>0</v>
      </c>
      <c r="Y55" s="26" t="str">
        <f t="shared" si="48"/>
        <v>0</v>
      </c>
      <c r="Z55" s="7" t="s">
        <v>72</v>
      </c>
      <c r="AA55" s="8" t="s">
        <v>66</v>
      </c>
      <c r="AB55" s="21" t="str">
        <f>MID(K50,6,1)</f>
        <v>0</v>
      </c>
      <c r="AC55" s="26" t="str">
        <f t="shared" si="49"/>
        <v>0</v>
      </c>
      <c r="AD55" s="7" t="s">
        <v>72</v>
      </c>
      <c r="AE55" s="8" t="s">
        <v>66</v>
      </c>
      <c r="AF55" s="21" t="str">
        <f>MID(L50,6,1)</f>
        <v>0</v>
      </c>
      <c r="AG55" s="26" t="str">
        <f t="shared" si="50"/>
        <v>0</v>
      </c>
      <c r="AH55" s="7" t="s">
        <v>72</v>
      </c>
      <c r="AI55" s="8" t="s">
        <v>66</v>
      </c>
      <c r="AJ55" s="400"/>
      <c r="AK55" s="401"/>
    </row>
    <row r="56" spans="3:37" x14ac:dyDescent="0.3">
      <c r="C56" s="7" t="s">
        <v>67</v>
      </c>
      <c r="D56" s="99">
        <f>HEX2DEC(D54)</f>
        <v>7</v>
      </c>
      <c r="E56" s="99">
        <f t="shared" ref="E56:L56" si="54">HEX2DEC(E54)</f>
        <v>6</v>
      </c>
      <c r="F56" s="99">
        <f t="shared" si="54"/>
        <v>2</v>
      </c>
      <c r="G56" s="99">
        <f t="shared" si="54"/>
        <v>1</v>
      </c>
      <c r="H56" s="99">
        <f t="shared" si="54"/>
        <v>0</v>
      </c>
      <c r="I56" s="99">
        <f t="shared" si="54"/>
        <v>0</v>
      </c>
      <c r="J56" s="99">
        <f t="shared" si="54"/>
        <v>0</v>
      </c>
      <c r="K56" s="99">
        <f t="shared" si="54"/>
        <v>0</v>
      </c>
      <c r="L56" s="99">
        <f t="shared" si="54"/>
        <v>0</v>
      </c>
      <c r="M56" s="99">
        <f>SUM(D56:L56)</f>
        <v>16</v>
      </c>
      <c r="N56" s="8"/>
      <c r="P56" s="21" t="str">
        <f>MID(H50,7,1)</f>
        <v>0</v>
      </c>
      <c r="Q56" s="26" t="str">
        <f t="shared" si="46"/>
        <v>0</v>
      </c>
      <c r="R56" s="7" t="s">
        <v>73</v>
      </c>
      <c r="S56" s="8" t="s">
        <v>66</v>
      </c>
      <c r="T56" s="21" t="str">
        <f>MID(I50,7,1)</f>
        <v>0</v>
      </c>
      <c r="U56" s="26" t="str">
        <f t="shared" si="47"/>
        <v>0</v>
      </c>
      <c r="V56" s="7" t="s">
        <v>73</v>
      </c>
      <c r="W56" s="8" t="s">
        <v>66</v>
      </c>
      <c r="X56" s="21" t="str">
        <f>MID(J50,7,1)</f>
        <v>0</v>
      </c>
      <c r="Y56" s="26" t="str">
        <f t="shared" si="48"/>
        <v>0</v>
      </c>
      <c r="Z56" s="7" t="s">
        <v>73</v>
      </c>
      <c r="AA56" s="8" t="s">
        <v>66</v>
      </c>
      <c r="AB56" s="21" t="str">
        <f>MID(K50,7,1)</f>
        <v>0</v>
      </c>
      <c r="AC56" s="26" t="str">
        <f t="shared" si="49"/>
        <v>0</v>
      </c>
      <c r="AD56" s="7" t="s">
        <v>73</v>
      </c>
      <c r="AE56" s="8" t="s">
        <v>66</v>
      </c>
      <c r="AF56" s="21" t="str">
        <f>MID(L50,7,1)</f>
        <v>0</v>
      </c>
      <c r="AG56" s="26" t="str">
        <f t="shared" si="50"/>
        <v>0</v>
      </c>
      <c r="AH56" s="7" t="s">
        <v>73</v>
      </c>
      <c r="AI56" s="8" t="s">
        <v>66</v>
      </c>
      <c r="AJ56" s="400"/>
      <c r="AK56" s="401"/>
    </row>
    <row r="57" spans="3:37" ht="15" thickBot="1" x14ac:dyDescent="0.35">
      <c r="C57" s="9" t="s">
        <v>1678</v>
      </c>
      <c r="D57" s="334" t="str">
        <f>D52</f>
        <v>07</v>
      </c>
      <c r="E57" s="334" t="str">
        <f t="shared" ref="E57:G57" si="55">E52</f>
        <v>06</v>
      </c>
      <c r="F57" s="334" t="str">
        <f t="shared" si="55"/>
        <v>G2</v>
      </c>
      <c r="G57" s="334" t="str">
        <f t="shared" si="55"/>
        <v>G1</v>
      </c>
      <c r="H57" s="10"/>
      <c r="I57" s="10"/>
      <c r="J57" s="10"/>
      <c r="K57" s="10"/>
      <c r="L57" s="10"/>
      <c r="M57" s="10"/>
      <c r="N57" s="11"/>
      <c r="P57" s="22" t="str">
        <f>MID(H50,8,1)</f>
        <v>0</v>
      </c>
      <c r="Q57" s="26" t="str">
        <f t="shared" si="46"/>
        <v>0</v>
      </c>
      <c r="R57" s="9" t="s">
        <v>74</v>
      </c>
      <c r="S57" s="11" t="s">
        <v>66</v>
      </c>
      <c r="T57" s="22" t="str">
        <f>MID(I50,8,1)</f>
        <v>0</v>
      </c>
      <c r="U57" s="26" t="str">
        <f t="shared" si="47"/>
        <v>0</v>
      </c>
      <c r="V57" s="9" t="s">
        <v>74</v>
      </c>
      <c r="W57" s="11" t="s">
        <v>66</v>
      </c>
      <c r="X57" s="22" t="str">
        <f>MID(J50,8,1)</f>
        <v>0</v>
      </c>
      <c r="Y57" s="26" t="str">
        <f t="shared" si="48"/>
        <v>0</v>
      </c>
      <c r="Z57" s="9" t="s">
        <v>74</v>
      </c>
      <c r="AA57" s="11" t="s">
        <v>66</v>
      </c>
      <c r="AB57" s="22" t="str">
        <f>MID(K50,8,1)</f>
        <v>0</v>
      </c>
      <c r="AC57" s="26" t="str">
        <f t="shared" si="49"/>
        <v>0</v>
      </c>
      <c r="AD57" s="9" t="s">
        <v>74</v>
      </c>
      <c r="AE57" s="11" t="s">
        <v>66</v>
      </c>
      <c r="AF57" s="22" t="str">
        <f>MID(L50,8,1)</f>
        <v>0</v>
      </c>
      <c r="AG57" s="26" t="str">
        <f t="shared" si="50"/>
        <v>0</v>
      </c>
      <c r="AH57" s="9" t="s">
        <v>74</v>
      </c>
      <c r="AI57" s="11" t="s">
        <v>66</v>
      </c>
      <c r="AJ57" s="402"/>
      <c r="AK57" s="404"/>
    </row>
  </sheetData>
  <mergeCells count="59">
    <mergeCell ref="A1:B1"/>
    <mergeCell ref="C2:E2"/>
    <mergeCell ref="P3:AK3"/>
    <mergeCell ref="D4:G4"/>
    <mergeCell ref="P4:S4"/>
    <mergeCell ref="T4:W4"/>
    <mergeCell ref="X4:AA4"/>
    <mergeCell ref="AB4:AE4"/>
    <mergeCell ref="AF4:AI4"/>
    <mergeCell ref="AJ4:AK4"/>
    <mergeCell ref="C1:AK1"/>
    <mergeCell ref="D15:G15"/>
    <mergeCell ref="P15:S15"/>
    <mergeCell ref="T15:W15"/>
    <mergeCell ref="X15:AA15"/>
    <mergeCell ref="AB15:AE15"/>
    <mergeCell ref="AJ49:AK57"/>
    <mergeCell ref="P47:AK47"/>
    <mergeCell ref="D48:G48"/>
    <mergeCell ref="P48:S48"/>
    <mergeCell ref="T48:W48"/>
    <mergeCell ref="X48:AA48"/>
    <mergeCell ref="AB48:AE48"/>
    <mergeCell ref="AF48:AI48"/>
    <mergeCell ref="AJ48:AK48"/>
    <mergeCell ref="S50:S52"/>
    <mergeCell ref="S53:S55"/>
    <mergeCell ref="W50:W51"/>
    <mergeCell ref="D37:G37"/>
    <mergeCell ref="P37:S37"/>
    <mergeCell ref="T37:W37"/>
    <mergeCell ref="X37:AA37"/>
    <mergeCell ref="P25:AK25"/>
    <mergeCell ref="D26:G26"/>
    <mergeCell ref="P26:S26"/>
    <mergeCell ref="T26:W26"/>
    <mergeCell ref="X26:AA26"/>
    <mergeCell ref="AB26:AE26"/>
    <mergeCell ref="AF26:AI26"/>
    <mergeCell ref="AJ26:AK26"/>
    <mergeCell ref="X38:AA46"/>
    <mergeCell ref="AJ27:AK35"/>
    <mergeCell ref="AJ16:AK24"/>
    <mergeCell ref="P36:AK36"/>
    <mergeCell ref="S17:S19"/>
    <mergeCell ref="S20:S22"/>
    <mergeCell ref="W23:W24"/>
    <mergeCell ref="AJ5:AK13"/>
    <mergeCell ref="P14:AK14"/>
    <mergeCell ref="AF15:AI15"/>
    <mergeCell ref="AJ15:AK15"/>
    <mergeCell ref="W17:W18"/>
    <mergeCell ref="AA12:AA13"/>
    <mergeCell ref="S10:S13"/>
    <mergeCell ref="S6:S9"/>
    <mergeCell ref="W8:W9"/>
    <mergeCell ref="AA6:AA7"/>
    <mergeCell ref="AA8:AA9"/>
    <mergeCell ref="AE6:AE9"/>
  </mergeCells>
  <conditionalFormatting sqref="B3:B11">
    <cfRule type="expression" dxfId="298" priority="1">
      <formula>IF(A3&lt;&gt;B3,1,0)</formula>
    </cfRule>
    <cfRule type="containsText" dxfId="297" priority="2" operator="containsText" text=";Block">
      <formula>NOT(ISERROR(SEARCH(";Block",B3)))</formula>
    </cfRule>
    <cfRule type="beginsWith" dxfId="296" priority="3" operator="beginsWith" text="70601">
      <formula>LEFT(B3,LEN("70601"))="70601"</formula>
    </cfRule>
    <cfRule type="beginsWith" dxfId="295" priority="4" operator="beginsWith" text="706G1">
      <formula>LEFT(B3,LEN("706G1"))="706G1"</formula>
    </cfRule>
    <cfRule type="beginsWith" dxfId="294" priority="5" operator="beginsWith" text="70602">
      <formula>LEFT(B3,LEN("70602"))="70602"</formula>
    </cfRule>
    <cfRule type="beginsWith" dxfId="293" priority="6" operator="beginsWith" text="706G2">
      <formula>LEFT(B3,LEN("706G2"))="706G2"</formula>
    </cfRule>
  </conditionalFormatting>
  <conditionalFormatting sqref="Q6:Q13">
    <cfRule type="expression" dxfId="292" priority="49">
      <formula>Q6:Q13&lt;&gt;P6:P13</formula>
    </cfRule>
  </conditionalFormatting>
  <conditionalFormatting sqref="Q17:Q24">
    <cfRule type="expression" dxfId="291" priority="24">
      <formula>Q17:Q24&lt;&gt;P17:P24</formula>
    </cfRule>
  </conditionalFormatting>
  <conditionalFormatting sqref="Q28:Q35">
    <cfRule type="expression" dxfId="290" priority="19">
      <formula>Q28:Q35&lt;&gt;P28:P35</formula>
    </cfRule>
  </conditionalFormatting>
  <conditionalFormatting sqref="Q39:Q46">
    <cfRule type="expression" dxfId="289" priority="14">
      <formula>Q39:Q46&lt;&gt;P39:P46</formula>
    </cfRule>
  </conditionalFormatting>
  <conditionalFormatting sqref="Q50:Q57">
    <cfRule type="expression" dxfId="288" priority="12">
      <formula>Q50:Q57&lt;&gt;P50:P57</formula>
    </cfRule>
  </conditionalFormatting>
  <conditionalFormatting sqref="U6:U13">
    <cfRule type="expression" dxfId="287" priority="29">
      <formula>U6:U13&lt;&gt;T6:T13</formula>
    </cfRule>
  </conditionalFormatting>
  <conditionalFormatting sqref="U17:U24">
    <cfRule type="expression" dxfId="286" priority="23">
      <formula>U17:U24&lt;&gt;T17:T24</formula>
    </cfRule>
  </conditionalFormatting>
  <conditionalFormatting sqref="U28:U35">
    <cfRule type="expression" dxfId="285" priority="18">
      <formula>U28:U35&lt;&gt;T28:T35</formula>
    </cfRule>
  </conditionalFormatting>
  <conditionalFormatting sqref="U39:U46">
    <cfRule type="expression" dxfId="284" priority="13">
      <formula>U39:U46&lt;&gt;T39:T46</formula>
    </cfRule>
  </conditionalFormatting>
  <conditionalFormatting sqref="U50:U57">
    <cfRule type="expression" dxfId="283" priority="11">
      <formula>U50:U57&lt;&gt;T50:T57</formula>
    </cfRule>
  </conditionalFormatting>
  <conditionalFormatting sqref="Y6:Y13">
    <cfRule type="expression" dxfId="282" priority="27">
      <formula>Y6:Y13&lt;&gt;X6:X13</formula>
    </cfRule>
  </conditionalFormatting>
  <conditionalFormatting sqref="Y17:Y24">
    <cfRule type="expression" dxfId="281" priority="22">
      <formula>Y17:Y24&lt;&gt;X17:X24</formula>
    </cfRule>
  </conditionalFormatting>
  <conditionalFormatting sqref="Y28:Y35">
    <cfRule type="expression" dxfId="280" priority="17">
      <formula>Y28:Y35&lt;&gt;X28:X35</formula>
    </cfRule>
  </conditionalFormatting>
  <conditionalFormatting sqref="Y50:Y57">
    <cfRule type="expression" dxfId="279" priority="10">
      <formula>Y50:Y57&lt;&gt;X50:X57</formula>
    </cfRule>
  </conditionalFormatting>
  <conditionalFormatting sqref="AC6:AC13">
    <cfRule type="expression" dxfId="278" priority="26">
      <formula>AC6:AC13&lt;&gt;AB6:AB13</formula>
    </cfRule>
  </conditionalFormatting>
  <conditionalFormatting sqref="AC17:AC24">
    <cfRule type="expression" dxfId="277" priority="21">
      <formula>AC17:AC24&lt;&gt;AB17:AB24</formula>
    </cfRule>
  </conditionalFormatting>
  <conditionalFormatting sqref="AC28:AC35">
    <cfRule type="expression" dxfId="276" priority="16">
      <formula>AC28:AC35&lt;&gt;AB28:AB35</formula>
    </cfRule>
  </conditionalFormatting>
  <conditionalFormatting sqref="AC50:AC57">
    <cfRule type="expression" dxfId="275" priority="9">
      <formula>AC50:AC57&lt;&gt;AB50:AB57</formula>
    </cfRule>
  </conditionalFormatting>
  <conditionalFormatting sqref="AG6:AG13">
    <cfRule type="expression" dxfId="274" priority="25">
      <formula>AG6:AG13&lt;&gt;AF6:AF13</formula>
    </cfRule>
  </conditionalFormatting>
  <conditionalFormatting sqref="AG17:AG24">
    <cfRule type="expression" dxfId="273" priority="20">
      <formula>AG17:AG24&lt;&gt;AF17:AF24</formula>
    </cfRule>
  </conditionalFormatting>
  <conditionalFormatting sqref="AG28:AG35">
    <cfRule type="expression" dxfId="272" priority="15">
      <formula>AG28:AG35&lt;&gt;AF28:AF35</formula>
    </cfRule>
  </conditionalFormatting>
  <conditionalFormatting sqref="AG50:AG57">
    <cfRule type="expression" dxfId="271" priority="8">
      <formula>AG50:AG57&lt;&gt;AF50:AF57</formula>
    </cfRule>
  </conditionalFormatting>
  <dataValidations count="1">
    <dataValidation type="whole" allowBlank="1" showInputMessage="1" showErrorMessage="1" errorTitle="Wrong Value" error="This is a Binary value, which can be either 0 or 1." sqref="AG6:AG13 U39:U46 Y17:Y24 AC17:AC24 Q6:Q13 Q28:Q35 U17:U24 AG17:AG24 AC6:AC13 Q17:Q24 U6:U13 Q39:Q46 Y6:Y13 Y28:Y35 AC28:AC35 U28:U35 AG28:AG35 AG50:AG57 Q50:Q57 U50:U57 Y50:Y57 AC50:AC57" xr:uid="{00000000-0002-0000-0700-000000000000}">
      <formula1>0</formula1>
      <formula2>1</formula2>
    </dataValidation>
  </dataValidations>
  <hyperlinks>
    <hyperlink ref="C1" r:id="rId1" xr:uid="{00000000-0004-0000-0700-000000000000}"/>
  </hyperlinks>
  <pageMargins left="0.7" right="0.7" top="0.75" bottom="0.75" header="0.3" footer="0.3"/>
  <pageSetup orientation="portrait"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68"/>
  <sheetViews>
    <sheetView zoomScaleNormal="100" workbookViewId="0">
      <selection activeCell="A3" sqref="A3"/>
    </sheetView>
  </sheetViews>
  <sheetFormatPr defaultRowHeight="14.4" x14ac:dyDescent="0.3"/>
  <cols>
    <col min="1" max="2" width="20.88671875" bestFit="1" customWidth="1"/>
    <col min="3" max="3" width="4.5546875" bestFit="1" customWidth="1"/>
    <col min="4" max="5" width="9" bestFit="1" customWidth="1"/>
    <col min="14" max="14" width="5.6640625" bestFit="1" customWidth="1"/>
    <col min="15" max="15" width="1.6640625" customWidth="1"/>
    <col min="16" max="16" width="5.44140625" bestFit="1" customWidth="1"/>
    <col min="17" max="17" width="5.33203125" bestFit="1" customWidth="1"/>
    <col min="18" max="18" width="3.44140625" bestFit="1" customWidth="1"/>
    <col min="19" max="19" width="19.44140625" customWidth="1"/>
    <col min="20" max="20" width="5.44140625" bestFit="1" customWidth="1"/>
    <col min="21" max="21" width="5.33203125" bestFit="1" customWidth="1"/>
    <col min="22" max="22" width="3.44140625" customWidth="1"/>
    <col min="23" max="23" width="20" customWidth="1"/>
    <col min="24" max="24" width="5.44140625" bestFit="1" customWidth="1"/>
    <col min="25" max="25" width="5.33203125" bestFit="1" customWidth="1"/>
    <col min="26" max="26" width="3.44140625" customWidth="1"/>
    <col min="27" max="27" width="19.33203125" bestFit="1" customWidth="1"/>
    <col min="28" max="28" width="5.44140625" bestFit="1" customWidth="1"/>
    <col min="29" max="29" width="5.33203125" bestFit="1" customWidth="1"/>
    <col min="30" max="30" width="3.44140625" customWidth="1"/>
    <col min="31" max="31" width="19.33203125" bestFit="1" customWidth="1"/>
    <col min="32" max="32" width="5.44140625" bestFit="1" customWidth="1"/>
    <col min="33" max="33" width="5.33203125" bestFit="1" customWidth="1"/>
    <col min="34" max="34" width="3.44140625" customWidth="1"/>
    <col min="35" max="35" width="19.44140625" customWidth="1"/>
  </cols>
  <sheetData>
    <row r="1" spans="1:37" x14ac:dyDescent="0.3">
      <c r="A1" s="398" t="s">
        <v>1240</v>
      </c>
      <c r="B1" s="399"/>
      <c r="C1" s="383" t="s">
        <v>354</v>
      </c>
      <c r="D1" s="381"/>
      <c r="E1" s="381"/>
      <c r="F1" s="381"/>
      <c r="G1" s="381"/>
      <c r="H1" s="381"/>
      <c r="I1" s="381"/>
      <c r="J1" s="381"/>
      <c r="K1" s="381"/>
      <c r="L1" s="381"/>
      <c r="M1" s="381"/>
      <c r="N1" s="381"/>
      <c r="O1" s="381"/>
      <c r="P1" s="381"/>
      <c r="Q1" s="381"/>
      <c r="R1" s="381"/>
      <c r="S1" s="381"/>
      <c r="T1" s="381"/>
      <c r="U1" s="381"/>
      <c r="V1" s="381"/>
      <c r="W1" s="381"/>
      <c r="X1" s="381"/>
      <c r="Y1" s="381"/>
      <c r="Z1" s="381"/>
      <c r="AA1" s="381"/>
      <c r="AB1" s="381"/>
      <c r="AC1" s="381"/>
      <c r="AD1" s="381"/>
      <c r="AE1" s="381"/>
      <c r="AF1" s="381"/>
      <c r="AG1" s="381"/>
      <c r="AH1" s="381"/>
      <c r="AI1" s="381"/>
      <c r="AJ1" s="381"/>
      <c r="AK1" s="381"/>
    </row>
    <row r="2" spans="1:37" ht="15" thickBot="1" x14ac:dyDescent="0.35">
      <c r="A2" s="268" t="s">
        <v>1241</v>
      </c>
      <c r="B2" s="269" t="s">
        <v>1242</v>
      </c>
      <c r="C2" s="391" t="s">
        <v>40</v>
      </c>
      <c r="D2" s="391"/>
      <c r="E2" s="391"/>
    </row>
    <row r="3" spans="1:37" ht="15" thickBot="1" x14ac:dyDescent="0.35">
      <c r="A3" s="270" t="s">
        <v>1243</v>
      </c>
      <c r="B3" s="87" t="s">
        <v>1243</v>
      </c>
      <c r="C3" s="4"/>
      <c r="D3" s="5"/>
      <c r="E3" s="5"/>
      <c r="F3" s="5"/>
      <c r="G3" s="5"/>
      <c r="H3" s="5"/>
      <c r="I3" s="5"/>
      <c r="J3" s="5"/>
      <c r="K3" s="5"/>
      <c r="L3" s="5"/>
      <c r="M3" s="5" t="s">
        <v>41</v>
      </c>
      <c r="N3" s="6"/>
      <c r="P3" s="392" t="s">
        <v>280</v>
      </c>
      <c r="Q3" s="392"/>
      <c r="R3" s="392"/>
      <c r="S3" s="392"/>
      <c r="T3" s="392"/>
      <c r="U3" s="392"/>
      <c r="V3" s="392"/>
      <c r="W3" s="392"/>
      <c r="X3" s="392"/>
      <c r="Y3" s="392"/>
      <c r="Z3" s="392"/>
      <c r="AA3" s="392"/>
      <c r="AB3" s="392"/>
      <c r="AC3" s="392"/>
      <c r="AD3" s="392"/>
      <c r="AE3" s="392"/>
      <c r="AF3" s="392"/>
      <c r="AG3" s="392"/>
      <c r="AH3" s="392"/>
      <c r="AI3" s="392"/>
      <c r="AJ3" s="392"/>
      <c r="AK3" s="392"/>
    </row>
    <row r="4" spans="1:37" ht="15" thickBot="1" x14ac:dyDescent="0.35">
      <c r="A4" s="270" t="s">
        <v>1842</v>
      </c>
      <c r="B4" s="87" t="str">
        <f>RIGHT(D13,1)&amp;E13&amp;F13&amp;G13&amp;H10&amp;I10&amp;J10&amp;K10&amp;L10&amp;M10</f>
        <v>706G1G10000000000F</v>
      </c>
      <c r="C4" s="7"/>
      <c r="D4" s="393" t="s">
        <v>281</v>
      </c>
      <c r="E4" s="393"/>
      <c r="F4" s="393"/>
      <c r="G4" s="393"/>
      <c r="H4" s="99" t="s">
        <v>44</v>
      </c>
      <c r="I4" s="99" t="s">
        <v>45</v>
      </c>
      <c r="J4" s="99" t="s">
        <v>46</v>
      </c>
      <c r="K4" s="99" t="s">
        <v>47</v>
      </c>
      <c r="L4" s="99" t="s">
        <v>48</v>
      </c>
      <c r="M4" s="99" t="s">
        <v>49</v>
      </c>
      <c r="N4" s="8"/>
      <c r="P4" s="394" t="s">
        <v>50</v>
      </c>
      <c r="Q4" s="395"/>
      <c r="R4" s="395"/>
      <c r="S4" s="396"/>
      <c r="T4" s="394" t="s">
        <v>51</v>
      </c>
      <c r="U4" s="395"/>
      <c r="V4" s="395"/>
      <c r="W4" s="396"/>
      <c r="X4" s="394" t="s">
        <v>52</v>
      </c>
      <c r="Y4" s="395"/>
      <c r="Z4" s="395"/>
      <c r="AA4" s="396"/>
      <c r="AB4" s="394" t="s">
        <v>53</v>
      </c>
      <c r="AC4" s="395"/>
      <c r="AD4" s="395"/>
      <c r="AE4" s="396"/>
      <c r="AF4" s="394" t="s">
        <v>97</v>
      </c>
      <c r="AG4" s="395"/>
      <c r="AH4" s="395"/>
      <c r="AI4" s="396"/>
      <c r="AJ4" s="394" t="s">
        <v>55</v>
      </c>
      <c r="AK4" s="396"/>
    </row>
    <row r="5" spans="1:37" ht="15" thickBot="1" x14ac:dyDescent="0.35">
      <c r="A5" s="270" t="s">
        <v>1843</v>
      </c>
      <c r="B5" s="87" t="str">
        <f>RIGHT(D24,1)&amp;E24&amp;F24&amp;G24&amp;H21&amp;I21&amp;J21&amp;K21&amp;L21&amp;M21</f>
        <v>706G1G2000000000010</v>
      </c>
      <c r="C5" s="7" t="s">
        <v>56</v>
      </c>
      <c r="D5" s="12" t="s">
        <v>57</v>
      </c>
      <c r="E5" s="13" t="s">
        <v>227</v>
      </c>
      <c r="F5" s="13" t="s">
        <v>59</v>
      </c>
      <c r="G5" s="14" t="s">
        <v>59</v>
      </c>
      <c r="H5" s="316" t="str">
        <f>MID($A$4,8,2)</f>
        <v>00</v>
      </c>
      <c r="I5" s="317" t="str">
        <f>MID($A$4,10,2)</f>
        <v>00</v>
      </c>
      <c r="J5" s="317" t="str">
        <f>MID($A$4,12,2)</f>
        <v>00</v>
      </c>
      <c r="K5" s="317" t="str">
        <f>MID($A$4,14,2)</f>
        <v>00</v>
      </c>
      <c r="L5" s="318" t="str">
        <f>MID($A$4,16,2)</f>
        <v>00</v>
      </c>
      <c r="M5" s="319" t="str">
        <f>MID($A$4,18,2)</f>
        <v>F</v>
      </c>
      <c r="N5" s="8" t="s">
        <v>60</v>
      </c>
      <c r="P5" s="19" t="s">
        <v>60</v>
      </c>
      <c r="Q5" s="20" t="s">
        <v>61</v>
      </c>
      <c r="R5" t="s">
        <v>62</v>
      </c>
      <c r="S5" s="8"/>
      <c r="T5" s="19" t="s">
        <v>60</v>
      </c>
      <c r="U5" s="20" t="s">
        <v>61</v>
      </c>
      <c r="V5" t="s">
        <v>62</v>
      </c>
      <c r="W5" s="8"/>
      <c r="X5" s="19" t="s">
        <v>60</v>
      </c>
      <c r="Y5" s="20" t="s">
        <v>61</v>
      </c>
      <c r="Z5" t="s">
        <v>62</v>
      </c>
      <c r="AA5" s="8"/>
      <c r="AB5" s="19" t="s">
        <v>60</v>
      </c>
      <c r="AC5" s="20" t="s">
        <v>61</v>
      </c>
      <c r="AD5" t="s">
        <v>62</v>
      </c>
      <c r="AE5" s="8"/>
      <c r="AF5" s="19" t="s">
        <v>60</v>
      </c>
      <c r="AG5" s="20" t="s">
        <v>61</v>
      </c>
      <c r="AH5" t="s">
        <v>62</v>
      </c>
      <c r="AJ5" s="394" t="s">
        <v>63</v>
      </c>
      <c r="AK5" s="396"/>
    </row>
    <row r="6" spans="1:37" x14ac:dyDescent="0.3">
      <c r="A6" s="270" t="s">
        <v>1844</v>
      </c>
      <c r="B6" s="87" t="str">
        <f>RIGHT(D35,1)&amp;E35&amp;F35&amp;G35&amp;H32&amp;I32&amp;J32&amp;K32&amp;L32&amp;M32</f>
        <v>706G1G3000000000011</v>
      </c>
      <c r="C6" s="7" t="s">
        <v>64</v>
      </c>
      <c r="D6" s="99" t="str">
        <f t="shared" ref="D6:E6" si="0">HEX2BIN(D5,8)</f>
        <v>00000111</v>
      </c>
      <c r="E6" s="99" t="str">
        <f t="shared" si="0"/>
        <v>00000110</v>
      </c>
      <c r="F6" s="99" t="str">
        <f>HEX2BIN(F5,8)</f>
        <v>00000001</v>
      </c>
      <c r="G6" s="99" t="str">
        <f t="shared" ref="G6:L6" si="1">HEX2BIN(G5,8)</f>
        <v>00000001</v>
      </c>
      <c r="H6" s="99" t="str">
        <f t="shared" si="1"/>
        <v>00000000</v>
      </c>
      <c r="I6" s="99" t="str">
        <f t="shared" si="1"/>
        <v>00000000</v>
      </c>
      <c r="J6" s="99" t="str">
        <f t="shared" si="1"/>
        <v>00000000</v>
      </c>
      <c r="K6" s="99" t="str">
        <f t="shared" si="1"/>
        <v>00000000</v>
      </c>
      <c r="L6" s="99" t="str">
        <f t="shared" si="1"/>
        <v>00000000</v>
      </c>
      <c r="M6" s="99"/>
      <c r="N6" s="8"/>
      <c r="P6" s="21" t="str">
        <f>MID(H6,1,1)</f>
        <v>0</v>
      </c>
      <c r="Q6" s="26" t="str">
        <f>P6</f>
        <v>0</v>
      </c>
      <c r="R6" s="7" t="s">
        <v>65</v>
      </c>
      <c r="S6" s="8" t="s">
        <v>66</v>
      </c>
      <c r="T6" s="21" t="str">
        <f>MID(I6,1,1)</f>
        <v>0</v>
      </c>
      <c r="U6" s="26" t="str">
        <f t="shared" ref="U6:U13" si="2">T6</f>
        <v>0</v>
      </c>
      <c r="V6" s="7" t="s">
        <v>65</v>
      </c>
      <c r="W6" s="322" t="s">
        <v>1651</v>
      </c>
      <c r="X6" s="21" t="str">
        <f>MID(J6,1,1)</f>
        <v>0</v>
      </c>
      <c r="Y6" s="26" t="str">
        <f>X6</f>
        <v>0</v>
      </c>
      <c r="Z6" s="7" t="s">
        <v>65</v>
      </c>
      <c r="AA6" s="368" t="s">
        <v>1792</v>
      </c>
      <c r="AB6" s="21" t="str">
        <f>MID(K6,1,1)</f>
        <v>0</v>
      </c>
      <c r="AC6" s="26" t="str">
        <f>AB6</f>
        <v>0</v>
      </c>
      <c r="AD6" s="7" t="s">
        <v>65</v>
      </c>
      <c r="AE6" s="8" t="s">
        <v>66</v>
      </c>
      <c r="AF6" s="21" t="str">
        <f>MID(L6,1,1)</f>
        <v>0</v>
      </c>
      <c r="AG6" s="26" t="str">
        <f>AF6</f>
        <v>0</v>
      </c>
      <c r="AH6" s="7" t="s">
        <v>65</v>
      </c>
      <c r="AI6" s="8" t="s">
        <v>66</v>
      </c>
      <c r="AJ6" s="400"/>
      <c r="AK6" s="401"/>
    </row>
    <row r="7" spans="1:37" x14ac:dyDescent="0.3">
      <c r="A7" s="270" t="s">
        <v>1845</v>
      </c>
      <c r="B7" s="87" t="str">
        <f>RIGHT(D46,1)&amp;E46&amp;F46&amp;G46&amp;H43&amp;I43&amp;J43</f>
        <v>706G1G4000012</v>
      </c>
      <c r="C7" s="7" t="s">
        <v>67</v>
      </c>
      <c r="D7" s="99">
        <f>HEX2DEC(D5)</f>
        <v>7</v>
      </c>
      <c r="E7" s="99">
        <f t="shared" ref="E7:L7" si="3">HEX2DEC(E5)</f>
        <v>6</v>
      </c>
      <c r="F7" s="99">
        <f t="shared" si="3"/>
        <v>1</v>
      </c>
      <c r="G7" s="99">
        <f t="shared" si="3"/>
        <v>1</v>
      </c>
      <c r="H7" s="99">
        <f t="shared" si="3"/>
        <v>0</v>
      </c>
      <c r="I7" s="99">
        <f t="shared" si="3"/>
        <v>0</v>
      </c>
      <c r="J7" s="99">
        <f t="shared" si="3"/>
        <v>0</v>
      </c>
      <c r="K7" s="99">
        <f t="shared" si="3"/>
        <v>0</v>
      </c>
      <c r="L7" s="99">
        <f t="shared" si="3"/>
        <v>0</v>
      </c>
      <c r="M7" s="99">
        <f>SUM(D7:L7)</f>
        <v>15</v>
      </c>
      <c r="N7" s="8"/>
      <c r="P7" s="21" t="str">
        <f>MID(H6,2,1)</f>
        <v>0</v>
      </c>
      <c r="Q7" s="26" t="str">
        <f t="shared" ref="Q7:Q13" si="4">P7</f>
        <v>0</v>
      </c>
      <c r="R7" s="7" t="s">
        <v>68</v>
      </c>
      <c r="S7" s="486" t="s">
        <v>1649</v>
      </c>
      <c r="T7" s="21" t="str">
        <f>MID(I6,2,1)</f>
        <v>0</v>
      </c>
      <c r="U7" s="26" t="str">
        <f t="shared" si="2"/>
        <v>0</v>
      </c>
      <c r="V7" s="7" t="s">
        <v>68</v>
      </c>
      <c r="W7" s="8" t="s">
        <v>66</v>
      </c>
      <c r="X7" s="21" t="str">
        <f>MID(J6,2,1)</f>
        <v>0</v>
      </c>
      <c r="Y7" s="26" t="str">
        <f t="shared" ref="Y7:Y13" si="5">X7</f>
        <v>0</v>
      </c>
      <c r="Z7" s="7" t="s">
        <v>68</v>
      </c>
      <c r="AA7" s="8" t="s">
        <v>66</v>
      </c>
      <c r="AB7" s="21" t="str">
        <f>MID(K6,2,1)</f>
        <v>0</v>
      </c>
      <c r="AC7" s="26" t="str">
        <f t="shared" ref="AC7:AC13" si="6">AB7</f>
        <v>0</v>
      </c>
      <c r="AD7" s="7" t="s">
        <v>68</v>
      </c>
      <c r="AE7" s="8" t="s">
        <v>66</v>
      </c>
      <c r="AF7" s="21" t="str">
        <f>MID(L6,2,1)</f>
        <v>0</v>
      </c>
      <c r="AG7" s="26" t="str">
        <f t="shared" ref="AG7:AG13" si="7">AF7</f>
        <v>0</v>
      </c>
      <c r="AH7" s="7" t="s">
        <v>68</v>
      </c>
      <c r="AI7" s="465" t="s">
        <v>1652</v>
      </c>
      <c r="AJ7" s="400"/>
      <c r="AK7" s="401"/>
    </row>
    <row r="8" spans="1:37" x14ac:dyDescent="0.3">
      <c r="A8" s="270" t="s">
        <v>1244</v>
      </c>
      <c r="B8" s="87" t="s">
        <v>1244</v>
      </c>
      <c r="C8" s="7" t="s">
        <v>1678</v>
      </c>
      <c r="D8" s="333" t="str">
        <f>D5</f>
        <v>07</v>
      </c>
      <c r="E8" s="333" t="str">
        <f>E5</f>
        <v>06</v>
      </c>
      <c r="F8" s="99" t="str">
        <f>MID($A$4,4,2)</f>
        <v>G1</v>
      </c>
      <c r="G8" s="99" t="str">
        <f>MID($A$4,6,2)</f>
        <v>G1</v>
      </c>
      <c r="N8" s="8"/>
      <c r="P8" s="21" t="str">
        <f>MID(H6,3,1)</f>
        <v>0</v>
      </c>
      <c r="Q8" s="26" t="str">
        <f t="shared" si="4"/>
        <v>0</v>
      </c>
      <c r="R8" s="7" t="s">
        <v>69</v>
      </c>
      <c r="S8" s="487"/>
      <c r="T8" s="21" t="str">
        <f>MID(I6,3,1)</f>
        <v>0</v>
      </c>
      <c r="U8" s="26" t="str">
        <f t="shared" si="2"/>
        <v>0</v>
      </c>
      <c r="V8" s="7" t="s">
        <v>69</v>
      </c>
      <c r="W8" s="8" t="s">
        <v>66</v>
      </c>
      <c r="X8" s="21" t="str">
        <f>MID(J6,3,1)</f>
        <v>0</v>
      </c>
      <c r="Y8" s="26" t="str">
        <f t="shared" si="5"/>
        <v>0</v>
      </c>
      <c r="Z8" s="7" t="s">
        <v>69</v>
      </c>
      <c r="AA8" s="8" t="s">
        <v>66</v>
      </c>
      <c r="AB8" s="21" t="str">
        <f>MID(K6,3,1)</f>
        <v>0</v>
      </c>
      <c r="AC8" s="26" t="str">
        <f t="shared" si="6"/>
        <v>0</v>
      </c>
      <c r="AD8" s="7" t="s">
        <v>69</v>
      </c>
      <c r="AE8" s="111" t="s">
        <v>66</v>
      </c>
      <c r="AF8" s="21" t="str">
        <f>MID(L6,3,1)</f>
        <v>0</v>
      </c>
      <c r="AG8" s="26" t="str">
        <f t="shared" si="7"/>
        <v>0</v>
      </c>
      <c r="AH8" s="7" t="s">
        <v>69</v>
      </c>
      <c r="AI8" s="482"/>
      <c r="AJ8" s="400"/>
      <c r="AK8" s="401"/>
    </row>
    <row r="9" spans="1:37" ht="15" thickBot="1" x14ac:dyDescent="0.35">
      <c r="A9" s="270" t="s">
        <v>1846</v>
      </c>
      <c r="B9" s="87" t="str">
        <f>RIGHT(D57,1)&amp;E57&amp;F57&amp;G57&amp;H54&amp;I54&amp;J54&amp;K54&amp;L54&amp;M54</f>
        <v>706G2G1000000000010</v>
      </c>
      <c r="C9" s="7"/>
      <c r="N9" s="8"/>
      <c r="P9" s="21" t="str">
        <f>MID(H6,4,1)</f>
        <v>0</v>
      </c>
      <c r="Q9" s="26" t="str">
        <f t="shared" si="4"/>
        <v>0</v>
      </c>
      <c r="R9" s="7" t="s">
        <v>70</v>
      </c>
      <c r="S9" s="8" t="s">
        <v>66</v>
      </c>
      <c r="T9" s="21" t="str">
        <f>MID(I6,4,1)</f>
        <v>0</v>
      </c>
      <c r="U9" s="26" t="str">
        <f t="shared" si="2"/>
        <v>0</v>
      </c>
      <c r="V9" s="7" t="s">
        <v>70</v>
      </c>
      <c r="W9" s="8" t="s">
        <v>66</v>
      </c>
      <c r="X9" s="21" t="str">
        <f>MID(J6,4,1)</f>
        <v>0</v>
      </c>
      <c r="Y9" s="26" t="str">
        <f t="shared" si="5"/>
        <v>0</v>
      </c>
      <c r="Z9" s="7" t="s">
        <v>70</v>
      </c>
      <c r="AA9" s="368" t="s">
        <v>1792</v>
      </c>
      <c r="AB9" s="21" t="str">
        <f>MID(K6,4,1)</f>
        <v>0</v>
      </c>
      <c r="AC9" s="26" t="str">
        <f t="shared" si="6"/>
        <v>0</v>
      </c>
      <c r="AD9" s="7" t="s">
        <v>70</v>
      </c>
      <c r="AE9" s="8" t="s">
        <v>66</v>
      </c>
      <c r="AF9" s="21" t="str">
        <f>MID(L6,4,1)</f>
        <v>0</v>
      </c>
      <c r="AG9" s="26" t="str">
        <f t="shared" si="7"/>
        <v>0</v>
      </c>
      <c r="AH9" s="7" t="s">
        <v>70</v>
      </c>
      <c r="AI9" s="466"/>
      <c r="AJ9" s="400"/>
      <c r="AK9" s="401"/>
    </row>
    <row r="10" spans="1:37" ht="15.75" customHeight="1" thickBot="1" x14ac:dyDescent="0.35">
      <c r="A10" s="272" t="s">
        <v>1278</v>
      </c>
      <c r="B10" s="87" t="str">
        <f>RIGHT(D68,1)&amp;E68&amp;F68&amp;G68&amp;H65&amp;I65</f>
        <v>706G2G20011</v>
      </c>
      <c r="C10" s="7" t="s">
        <v>56</v>
      </c>
      <c r="D10" s="15" t="str">
        <f>D5</f>
        <v>07</v>
      </c>
      <c r="E10" s="16" t="str">
        <f>E5</f>
        <v>06</v>
      </c>
      <c r="F10" s="16" t="str">
        <f>F5</f>
        <v>01</v>
      </c>
      <c r="G10" s="17" t="str">
        <f>G5</f>
        <v>01</v>
      </c>
      <c r="H10" s="23" t="str">
        <f>BIN2HEX(H11,2)</f>
        <v>00</v>
      </c>
      <c r="I10" s="25" t="str">
        <f t="shared" ref="I10:L10" si="8">BIN2HEX(I11,2)</f>
        <v>00</v>
      </c>
      <c r="J10" s="24" t="str">
        <f t="shared" si="8"/>
        <v>00</v>
      </c>
      <c r="K10" s="2" t="str">
        <f t="shared" si="8"/>
        <v>00</v>
      </c>
      <c r="L10" s="18" t="str">
        <f t="shared" si="8"/>
        <v>00</v>
      </c>
      <c r="M10" s="3" t="str">
        <f>IF(LEN(M11)&gt;2,MID(M11,2,2),M11)</f>
        <v>F</v>
      </c>
      <c r="N10" s="8" t="s">
        <v>61</v>
      </c>
      <c r="P10" s="21" t="str">
        <f>MID(H6,5,1)</f>
        <v>0</v>
      </c>
      <c r="Q10" s="26" t="str">
        <f t="shared" si="4"/>
        <v>0</v>
      </c>
      <c r="R10" s="7" t="s">
        <v>71</v>
      </c>
      <c r="S10" s="457" t="s">
        <v>1650</v>
      </c>
      <c r="T10" s="21" t="str">
        <f>MID(I6,5,1)</f>
        <v>0</v>
      </c>
      <c r="U10" s="26" t="str">
        <f t="shared" si="2"/>
        <v>0</v>
      </c>
      <c r="V10" s="7" t="s">
        <v>71</v>
      </c>
      <c r="W10" s="8" t="s">
        <v>66</v>
      </c>
      <c r="X10" s="21" t="str">
        <f>MID(J6,5,1)</f>
        <v>0</v>
      </c>
      <c r="Y10" s="26" t="str">
        <f t="shared" si="5"/>
        <v>0</v>
      </c>
      <c r="Z10" s="7" t="s">
        <v>71</v>
      </c>
      <c r="AA10" s="8" t="s">
        <v>66</v>
      </c>
      <c r="AB10" s="21" t="str">
        <f>MID(K6,5,1)</f>
        <v>0</v>
      </c>
      <c r="AC10" s="26" t="str">
        <f t="shared" si="6"/>
        <v>0</v>
      </c>
      <c r="AD10" s="7" t="s">
        <v>71</v>
      </c>
      <c r="AE10" s="8" t="s">
        <v>66</v>
      </c>
      <c r="AF10" s="21" t="str">
        <f>MID(L6,5,1)</f>
        <v>0</v>
      </c>
      <c r="AG10" s="26" t="str">
        <f t="shared" si="7"/>
        <v>0</v>
      </c>
      <c r="AH10" s="7" t="s">
        <v>71</v>
      </c>
      <c r="AI10" s="101" t="s">
        <v>291</v>
      </c>
      <c r="AJ10" s="400"/>
      <c r="AK10" s="401"/>
    </row>
    <row r="11" spans="1:37" x14ac:dyDescent="0.3">
      <c r="C11" s="7" t="s">
        <v>64</v>
      </c>
      <c r="D11" s="99" t="str">
        <f>HEX2BIN(D10,8)</f>
        <v>00000111</v>
      </c>
      <c r="E11" s="99" t="str">
        <f t="shared" ref="E11:G11" si="9">HEX2BIN(E10,8)</f>
        <v>00000110</v>
      </c>
      <c r="F11" s="99" t="str">
        <f t="shared" si="9"/>
        <v>00000001</v>
      </c>
      <c r="G11" s="99" t="str">
        <f t="shared" si="9"/>
        <v>00000001</v>
      </c>
      <c r="H11" s="29" t="str">
        <f>Q6&amp;Q7&amp;Q8&amp;Q9&amp;Q10&amp;Q11&amp;Q12&amp;Q13</f>
        <v>00000000</v>
      </c>
      <c r="I11" s="99" t="str">
        <f>U6&amp;U7&amp;U8&amp;U9&amp;U10&amp;U11&amp;U12&amp;U13</f>
        <v>00000000</v>
      </c>
      <c r="J11" s="29" t="str">
        <f>Y6&amp;Y7&amp;Y8&amp;Y9&amp;Y10&amp;Y11&amp;Y12&amp;Y13</f>
        <v>00000000</v>
      </c>
      <c r="K11" s="29" t="str">
        <f>AC6&amp;AC7&amp;AC8&amp;AC9&amp;AC10&amp;AC11&amp;AC12&amp;AC13</f>
        <v>00000000</v>
      </c>
      <c r="L11" s="99" t="str">
        <f>AG6&amp;AG7&amp;AG8&amp;AG9&amp;AG10&amp;AG11&amp;AG12&amp;AG13</f>
        <v>00000000</v>
      </c>
      <c r="M11" s="99" t="str">
        <f>DEC2HEX(M12)</f>
        <v>F</v>
      </c>
      <c r="N11" s="8"/>
      <c r="P11" s="21" t="str">
        <f>MID(H6,6,1)</f>
        <v>0</v>
      </c>
      <c r="Q11" s="26" t="str">
        <f t="shared" si="4"/>
        <v>0</v>
      </c>
      <c r="R11" s="7" t="s">
        <v>72</v>
      </c>
      <c r="S11" s="487"/>
      <c r="T11" s="21" t="str">
        <f>MID(I6,6,1)</f>
        <v>0</v>
      </c>
      <c r="U11" s="26" t="str">
        <f t="shared" si="2"/>
        <v>0</v>
      </c>
      <c r="V11" s="7" t="s">
        <v>72</v>
      </c>
      <c r="W11" s="8" t="s">
        <v>66</v>
      </c>
      <c r="X11" s="21" t="str">
        <f>MID(J6,6,1)</f>
        <v>0</v>
      </c>
      <c r="Y11" s="26" t="str">
        <f t="shared" si="5"/>
        <v>0</v>
      </c>
      <c r="Z11" s="7" t="s">
        <v>72</v>
      </c>
      <c r="AA11" s="8" t="s">
        <v>66</v>
      </c>
      <c r="AB11" s="21" t="str">
        <f>MID(K6,6,1)</f>
        <v>0</v>
      </c>
      <c r="AC11" s="26" t="str">
        <f t="shared" si="6"/>
        <v>0</v>
      </c>
      <c r="AD11" s="7" t="s">
        <v>72</v>
      </c>
      <c r="AE11" s="8" t="s">
        <v>66</v>
      </c>
      <c r="AF11" s="21" t="str">
        <f>MID(L6,6,1)</f>
        <v>0</v>
      </c>
      <c r="AG11" s="26" t="str">
        <f t="shared" si="7"/>
        <v>0</v>
      </c>
      <c r="AH11" s="7" t="s">
        <v>72</v>
      </c>
      <c r="AI11" s="101" t="s">
        <v>292</v>
      </c>
      <c r="AJ11" s="400"/>
      <c r="AK11" s="401"/>
    </row>
    <row r="12" spans="1:37" x14ac:dyDescent="0.3">
      <c r="C12" s="7" t="s">
        <v>67</v>
      </c>
      <c r="D12" s="99">
        <f>HEX2DEC(D10)</f>
        <v>7</v>
      </c>
      <c r="E12" s="99">
        <f t="shared" ref="E12:L12" si="10">HEX2DEC(E10)</f>
        <v>6</v>
      </c>
      <c r="F12" s="99">
        <f t="shared" si="10"/>
        <v>1</v>
      </c>
      <c r="G12" s="99">
        <f t="shared" si="10"/>
        <v>1</v>
      </c>
      <c r="H12" s="99">
        <f t="shared" si="10"/>
        <v>0</v>
      </c>
      <c r="I12" s="99">
        <f>HEX2DEC(I10)</f>
        <v>0</v>
      </c>
      <c r="J12" s="99">
        <f t="shared" si="10"/>
        <v>0</v>
      </c>
      <c r="K12" s="99">
        <f t="shared" si="10"/>
        <v>0</v>
      </c>
      <c r="L12" s="99">
        <f t="shared" si="10"/>
        <v>0</v>
      </c>
      <c r="M12" s="99">
        <f>SUM(D12:L12)</f>
        <v>15</v>
      </c>
      <c r="N12" s="8"/>
      <c r="P12" s="21" t="str">
        <f>MID(H6,7,1)</f>
        <v>0</v>
      </c>
      <c r="Q12" s="26" t="str">
        <f t="shared" si="4"/>
        <v>0</v>
      </c>
      <c r="R12" s="7" t="s">
        <v>73</v>
      </c>
      <c r="S12" s="8" t="s">
        <v>66</v>
      </c>
      <c r="T12" s="21" t="str">
        <f>MID(I6,7,1)</f>
        <v>0</v>
      </c>
      <c r="U12" s="26" t="str">
        <f t="shared" si="2"/>
        <v>0</v>
      </c>
      <c r="V12" s="7" t="s">
        <v>73</v>
      </c>
      <c r="W12" s="8" t="s">
        <v>66</v>
      </c>
      <c r="X12" s="21" t="str">
        <f>MID(J6,7,1)</f>
        <v>0</v>
      </c>
      <c r="Y12" s="26" t="str">
        <f t="shared" si="5"/>
        <v>0</v>
      </c>
      <c r="Z12" s="7" t="s">
        <v>73</v>
      </c>
      <c r="AA12" s="8" t="s">
        <v>66</v>
      </c>
      <c r="AB12" s="21" t="str">
        <f>MID(K6,7,1)</f>
        <v>0</v>
      </c>
      <c r="AC12" s="26" t="str">
        <f t="shared" si="6"/>
        <v>0</v>
      </c>
      <c r="AD12" s="7" t="s">
        <v>73</v>
      </c>
      <c r="AE12" s="8" t="s">
        <v>66</v>
      </c>
      <c r="AF12" s="21" t="str">
        <f>MID(L6,7,1)</f>
        <v>0</v>
      </c>
      <c r="AG12" s="26" t="str">
        <f t="shared" si="7"/>
        <v>0</v>
      </c>
      <c r="AH12" s="7" t="s">
        <v>73</v>
      </c>
      <c r="AI12" s="326" t="s">
        <v>1653</v>
      </c>
      <c r="AJ12" s="400"/>
      <c r="AK12" s="401"/>
    </row>
    <row r="13" spans="1:37" ht="15" thickBot="1" x14ac:dyDescent="0.35">
      <c r="C13" s="9" t="s">
        <v>1678</v>
      </c>
      <c r="D13" s="334" t="str">
        <f>D8</f>
        <v>07</v>
      </c>
      <c r="E13" s="334" t="str">
        <f t="shared" ref="E13:G13" si="11">E8</f>
        <v>06</v>
      </c>
      <c r="F13" s="334" t="str">
        <f t="shared" si="11"/>
        <v>G1</v>
      </c>
      <c r="G13" s="334" t="str">
        <f t="shared" si="11"/>
        <v>G1</v>
      </c>
      <c r="H13" s="10"/>
      <c r="I13" s="10"/>
      <c r="J13" s="10"/>
      <c r="K13" s="10"/>
      <c r="L13" s="10"/>
      <c r="M13" s="10"/>
      <c r="N13" s="11"/>
      <c r="P13" s="22" t="str">
        <f>MID(H6,8,1)</f>
        <v>0</v>
      </c>
      <c r="Q13" s="26" t="str">
        <f t="shared" si="4"/>
        <v>0</v>
      </c>
      <c r="R13" s="9" t="s">
        <v>74</v>
      </c>
      <c r="S13" s="11" t="s">
        <v>66</v>
      </c>
      <c r="T13" s="22" t="str">
        <f>MID(I6,8,1)</f>
        <v>0</v>
      </c>
      <c r="U13" s="26" t="str">
        <f t="shared" si="2"/>
        <v>0</v>
      </c>
      <c r="V13" s="9" t="s">
        <v>74</v>
      </c>
      <c r="W13" s="11" t="s">
        <v>66</v>
      </c>
      <c r="X13" s="22" t="str">
        <f>MID(J6,8,1)</f>
        <v>0</v>
      </c>
      <c r="Y13" s="26" t="str">
        <f t="shared" si="5"/>
        <v>0</v>
      </c>
      <c r="Z13" s="9" t="s">
        <v>74</v>
      </c>
      <c r="AA13" s="11" t="s">
        <v>66</v>
      </c>
      <c r="AB13" s="22" t="str">
        <f>MID(K6,8,1)</f>
        <v>0</v>
      </c>
      <c r="AC13" s="26" t="str">
        <f t="shared" si="6"/>
        <v>0</v>
      </c>
      <c r="AD13" s="9" t="s">
        <v>74</v>
      </c>
      <c r="AE13" s="11" t="s">
        <v>66</v>
      </c>
      <c r="AF13" s="22" t="str">
        <f>MID(L6,8,1)</f>
        <v>0</v>
      </c>
      <c r="AG13" s="26" t="str">
        <f t="shared" si="7"/>
        <v>0</v>
      </c>
      <c r="AH13" s="9" t="s">
        <v>74</v>
      </c>
      <c r="AI13" s="10" t="s">
        <v>66</v>
      </c>
      <c r="AJ13" s="402"/>
      <c r="AK13" s="404"/>
    </row>
    <row r="14" spans="1:37" ht="15" thickBot="1" x14ac:dyDescent="0.35">
      <c r="C14" s="4"/>
      <c r="D14" s="5"/>
      <c r="E14" s="5"/>
      <c r="F14" s="5"/>
      <c r="G14" s="5"/>
      <c r="H14" s="5"/>
      <c r="I14" s="5"/>
      <c r="J14" s="5"/>
      <c r="K14" s="5"/>
      <c r="L14" s="5"/>
      <c r="M14" s="5" t="s">
        <v>41</v>
      </c>
      <c r="N14" s="6"/>
      <c r="P14" s="392" t="s">
        <v>282</v>
      </c>
      <c r="Q14" s="392"/>
      <c r="R14" s="392"/>
      <c r="S14" s="392"/>
      <c r="T14" s="392"/>
      <c r="U14" s="392"/>
      <c r="V14" s="392"/>
      <c r="W14" s="392"/>
      <c r="X14" s="392"/>
      <c r="Y14" s="392"/>
      <c r="Z14" s="392"/>
      <c r="AA14" s="392"/>
      <c r="AB14" s="392"/>
      <c r="AC14" s="392"/>
      <c r="AD14" s="392"/>
      <c r="AE14" s="392"/>
      <c r="AF14" s="392"/>
      <c r="AG14" s="392"/>
      <c r="AH14" s="392"/>
      <c r="AI14" s="392"/>
      <c r="AJ14" s="392"/>
      <c r="AK14" s="392"/>
    </row>
    <row r="15" spans="1:37" ht="15" thickBot="1" x14ac:dyDescent="0.35">
      <c r="C15" s="7"/>
      <c r="D15" s="393" t="s">
        <v>283</v>
      </c>
      <c r="E15" s="393"/>
      <c r="F15" s="393"/>
      <c r="G15" s="393"/>
      <c r="H15" s="99" t="s">
        <v>44</v>
      </c>
      <c r="I15" s="99" t="s">
        <v>45</v>
      </c>
      <c r="J15" s="99" t="s">
        <v>46</v>
      </c>
      <c r="K15" s="99" t="s">
        <v>47</v>
      </c>
      <c r="L15" s="99" t="s">
        <v>48</v>
      </c>
      <c r="M15" s="99" t="s">
        <v>49</v>
      </c>
      <c r="N15" s="8"/>
      <c r="P15" s="394" t="s">
        <v>50</v>
      </c>
      <c r="Q15" s="395"/>
      <c r="R15" s="395"/>
      <c r="S15" s="396"/>
      <c r="T15" s="394" t="s">
        <v>51</v>
      </c>
      <c r="U15" s="395"/>
      <c r="V15" s="395"/>
      <c r="W15" s="396"/>
      <c r="X15" s="394" t="s">
        <v>52</v>
      </c>
      <c r="Y15" s="395"/>
      <c r="Z15" s="395"/>
      <c r="AA15" s="396"/>
      <c r="AB15" s="394" t="s">
        <v>53</v>
      </c>
      <c r="AC15" s="395"/>
      <c r="AD15" s="395"/>
      <c r="AE15" s="396"/>
      <c r="AF15" s="394" t="s">
        <v>97</v>
      </c>
      <c r="AG15" s="395"/>
      <c r="AH15" s="395"/>
      <c r="AI15" s="396"/>
      <c r="AJ15" s="394" t="s">
        <v>55</v>
      </c>
      <c r="AK15" s="396"/>
    </row>
    <row r="16" spans="1:37" ht="15" thickBot="1" x14ac:dyDescent="0.35">
      <c r="C16" s="7" t="s">
        <v>56</v>
      </c>
      <c r="D16" s="12" t="s">
        <v>57</v>
      </c>
      <c r="E16" s="13" t="s">
        <v>227</v>
      </c>
      <c r="F16" s="13" t="s">
        <v>59</v>
      </c>
      <c r="G16" s="14" t="s">
        <v>77</v>
      </c>
      <c r="H16" s="316" t="str">
        <f>MID($A$5,8,2)</f>
        <v>00</v>
      </c>
      <c r="I16" s="317" t="str">
        <f>MID($A$5,10,2)</f>
        <v>00</v>
      </c>
      <c r="J16" s="317" t="str">
        <f>MID($A$5,12,2)</f>
        <v>00</v>
      </c>
      <c r="K16" s="317" t="str">
        <f>MID($A$5,14,2)</f>
        <v>00</v>
      </c>
      <c r="L16" s="318" t="str">
        <f>MID($A$5,16,2)</f>
        <v>00</v>
      </c>
      <c r="M16" s="319" t="str">
        <f>MID($A$5,18,2)</f>
        <v>10</v>
      </c>
      <c r="N16" s="8" t="s">
        <v>60</v>
      </c>
      <c r="P16" s="19" t="s">
        <v>60</v>
      </c>
      <c r="Q16" s="20" t="s">
        <v>61</v>
      </c>
      <c r="R16" t="s">
        <v>62</v>
      </c>
      <c r="S16" s="8"/>
      <c r="T16" s="19" t="s">
        <v>60</v>
      </c>
      <c r="U16" s="20" t="s">
        <v>61</v>
      </c>
      <c r="V16" t="s">
        <v>62</v>
      </c>
      <c r="W16" s="8"/>
      <c r="X16" s="19" t="s">
        <v>60</v>
      </c>
      <c r="Y16" s="20" t="s">
        <v>61</v>
      </c>
      <c r="Z16" t="s">
        <v>62</v>
      </c>
      <c r="AA16" s="8"/>
      <c r="AB16" s="19" t="s">
        <v>60</v>
      </c>
      <c r="AC16" s="20" t="s">
        <v>61</v>
      </c>
      <c r="AD16" t="s">
        <v>62</v>
      </c>
      <c r="AE16" s="8"/>
      <c r="AF16" s="19" t="s">
        <v>60</v>
      </c>
      <c r="AG16" s="20" t="s">
        <v>61</v>
      </c>
      <c r="AH16" t="s">
        <v>62</v>
      </c>
      <c r="AJ16" s="394" t="s">
        <v>63</v>
      </c>
      <c r="AK16" s="396"/>
    </row>
    <row r="17" spans="3:37" x14ac:dyDescent="0.3">
      <c r="C17" s="7" t="s">
        <v>64</v>
      </c>
      <c r="D17" s="99" t="str">
        <f>HEX2BIN(D16,8)</f>
        <v>00000111</v>
      </c>
      <c r="E17" s="99" t="str">
        <f t="shared" ref="E17:L17" si="12">HEX2BIN(E16,8)</f>
        <v>00000110</v>
      </c>
      <c r="F17" s="99" t="str">
        <f t="shared" si="12"/>
        <v>00000001</v>
      </c>
      <c r="G17" s="99" t="str">
        <f t="shared" si="12"/>
        <v>00000010</v>
      </c>
      <c r="H17" s="99" t="str">
        <f t="shared" si="12"/>
        <v>00000000</v>
      </c>
      <c r="I17" s="99" t="str">
        <f t="shared" si="12"/>
        <v>00000000</v>
      </c>
      <c r="J17" s="99" t="str">
        <f t="shared" si="12"/>
        <v>00000000</v>
      </c>
      <c r="K17" s="99" t="str">
        <f t="shared" si="12"/>
        <v>00000000</v>
      </c>
      <c r="L17" s="99" t="str">
        <f t="shared" si="12"/>
        <v>00000000</v>
      </c>
      <c r="N17" s="8"/>
      <c r="P17" s="21" t="str">
        <f>MID(H17,1,1)</f>
        <v>0</v>
      </c>
      <c r="Q17" s="26" t="str">
        <f>P17</f>
        <v>0</v>
      </c>
      <c r="R17" s="7" t="s">
        <v>65</v>
      </c>
      <c r="S17" s="326" t="s">
        <v>1653</v>
      </c>
      <c r="T17" s="21" t="str">
        <f>MID(I17,1,1)</f>
        <v>0</v>
      </c>
      <c r="U17" s="26" t="str">
        <f>T17</f>
        <v>0</v>
      </c>
      <c r="V17" s="7" t="s">
        <v>65</v>
      </c>
      <c r="W17" s="488" t="s">
        <v>1793</v>
      </c>
      <c r="X17" s="21" t="str">
        <f>MID(J17,1,1)</f>
        <v>0</v>
      </c>
      <c r="Y17" s="26" t="str">
        <f>X17</f>
        <v>0</v>
      </c>
      <c r="Z17" s="7" t="s">
        <v>65</v>
      </c>
      <c r="AA17" s="8" t="s">
        <v>66</v>
      </c>
      <c r="AB17" s="21" t="str">
        <f>MID(K17,1,1)</f>
        <v>0</v>
      </c>
      <c r="AC17" s="26" t="str">
        <f>AB17</f>
        <v>0</v>
      </c>
      <c r="AD17" s="7" t="s">
        <v>65</v>
      </c>
      <c r="AE17" s="8" t="s">
        <v>66</v>
      </c>
      <c r="AF17" s="21" t="str">
        <f>MID(L17,1,1)</f>
        <v>0</v>
      </c>
      <c r="AG17" s="26" t="str">
        <f>AF17</f>
        <v>0</v>
      </c>
      <c r="AH17" s="7" t="s">
        <v>65</v>
      </c>
      <c r="AI17" s="8" t="s">
        <v>66</v>
      </c>
      <c r="AJ17" s="400"/>
      <c r="AK17" s="401"/>
    </row>
    <row r="18" spans="3:37" x14ac:dyDescent="0.3">
      <c r="C18" s="7" t="s">
        <v>67</v>
      </c>
      <c r="D18" s="99">
        <f>HEX2DEC(D16)</f>
        <v>7</v>
      </c>
      <c r="E18" s="99">
        <f t="shared" ref="E18:L18" si="13">HEX2DEC(E16)</f>
        <v>6</v>
      </c>
      <c r="F18" s="99">
        <f t="shared" si="13"/>
        <v>1</v>
      </c>
      <c r="G18" s="99">
        <f t="shared" si="13"/>
        <v>2</v>
      </c>
      <c r="H18" s="99">
        <f t="shared" si="13"/>
        <v>0</v>
      </c>
      <c r="I18" s="99">
        <f t="shared" si="13"/>
        <v>0</v>
      </c>
      <c r="J18" s="99">
        <f t="shared" si="13"/>
        <v>0</v>
      </c>
      <c r="K18" s="99">
        <f t="shared" si="13"/>
        <v>0</v>
      </c>
      <c r="L18" s="99">
        <f t="shared" si="13"/>
        <v>0</v>
      </c>
      <c r="M18" s="99">
        <f>SUM(D18:L18)</f>
        <v>16</v>
      </c>
      <c r="N18" s="8"/>
      <c r="P18" s="21" t="str">
        <f>MID(H17,2,1)</f>
        <v>0</v>
      </c>
      <c r="Q18" s="26" t="str">
        <f t="shared" ref="Q18:Q24" si="14">P18</f>
        <v>0</v>
      </c>
      <c r="R18" s="7" t="s">
        <v>68</v>
      </c>
      <c r="S18" s="8" t="s">
        <v>66</v>
      </c>
      <c r="T18" s="21" t="str">
        <f>MID(I17,2,1)</f>
        <v>0</v>
      </c>
      <c r="U18" s="26" t="str">
        <f t="shared" ref="U18:U24" si="15">T18</f>
        <v>0</v>
      </c>
      <c r="V18" s="7" t="s">
        <v>68</v>
      </c>
      <c r="W18" s="489"/>
      <c r="X18" s="21" t="str">
        <f>MID(J17,2,1)</f>
        <v>0</v>
      </c>
      <c r="Y18" s="26" t="str">
        <f t="shared" ref="Y18:Y24" si="16">X18</f>
        <v>0</v>
      </c>
      <c r="Z18" s="7" t="s">
        <v>68</v>
      </c>
      <c r="AA18" s="8" t="s">
        <v>66</v>
      </c>
      <c r="AB18" s="21" t="str">
        <f>MID(K17,2,1)</f>
        <v>0</v>
      </c>
      <c r="AC18" s="26" t="str">
        <f t="shared" ref="AC18:AC24" si="17">AB18</f>
        <v>0</v>
      </c>
      <c r="AD18" s="7" t="s">
        <v>68</v>
      </c>
      <c r="AE18" s="8" t="s">
        <v>66</v>
      </c>
      <c r="AF18" s="21" t="str">
        <f>MID(L17,2,1)</f>
        <v>0</v>
      </c>
      <c r="AG18" s="26" t="str">
        <f t="shared" ref="AG18:AG24" si="18">AF18</f>
        <v>0</v>
      </c>
      <c r="AH18" s="7" t="s">
        <v>68</v>
      </c>
      <c r="AI18" s="101" t="s">
        <v>1703</v>
      </c>
      <c r="AJ18" s="400"/>
      <c r="AK18" s="401"/>
    </row>
    <row r="19" spans="3:37" x14ac:dyDescent="0.3">
      <c r="C19" s="7" t="s">
        <v>1678</v>
      </c>
      <c r="D19" s="333" t="str">
        <f>D16</f>
        <v>07</v>
      </c>
      <c r="E19" s="333" t="str">
        <f>E16</f>
        <v>06</v>
      </c>
      <c r="F19" s="99" t="str">
        <f>MID($A$5,4,2)</f>
        <v>G1</v>
      </c>
      <c r="G19" s="99" t="str">
        <f>MID($A$5,6,2)</f>
        <v>G2</v>
      </c>
      <c r="N19" s="8"/>
      <c r="P19" s="21" t="str">
        <f>MID(H17,3,1)</f>
        <v>0</v>
      </c>
      <c r="Q19" s="26" t="str">
        <f t="shared" si="14"/>
        <v>0</v>
      </c>
      <c r="R19" s="7" t="s">
        <v>69</v>
      </c>
      <c r="S19" s="8" t="s">
        <v>66</v>
      </c>
      <c r="T19" s="21" t="str">
        <f>MID(I17,3,1)</f>
        <v>0</v>
      </c>
      <c r="U19" s="26" t="str">
        <f t="shared" si="15"/>
        <v>0</v>
      </c>
      <c r="V19" s="7" t="s">
        <v>69</v>
      </c>
      <c r="W19" s="489"/>
      <c r="X19" s="21" t="str">
        <f>MID(J17,3,1)</f>
        <v>0</v>
      </c>
      <c r="Y19" s="26" t="str">
        <f t="shared" si="16"/>
        <v>0</v>
      </c>
      <c r="Z19" s="7" t="s">
        <v>69</v>
      </c>
      <c r="AA19" s="8" t="s">
        <v>66</v>
      </c>
      <c r="AB19" s="21" t="str">
        <f>MID(K17,3,1)</f>
        <v>0</v>
      </c>
      <c r="AC19" s="26" t="str">
        <f t="shared" si="17"/>
        <v>0</v>
      </c>
      <c r="AD19" s="7" t="s">
        <v>69</v>
      </c>
      <c r="AE19" s="8" t="s">
        <v>66</v>
      </c>
      <c r="AF19" s="21" t="str">
        <f>MID(L17,3,1)</f>
        <v>0</v>
      </c>
      <c r="AG19" s="26" t="str">
        <f t="shared" si="18"/>
        <v>0</v>
      </c>
      <c r="AH19" s="7" t="s">
        <v>69</v>
      </c>
      <c r="AI19" s="490" t="s">
        <v>1791</v>
      </c>
      <c r="AJ19" s="400"/>
      <c r="AK19" s="401"/>
    </row>
    <row r="20" spans="3:37" ht="15" thickBot="1" x14ac:dyDescent="0.35">
      <c r="C20" s="7"/>
      <c r="N20" s="8"/>
      <c r="P20" s="21" t="str">
        <f>MID(H17,4,1)</f>
        <v>0</v>
      </c>
      <c r="Q20" s="26" t="str">
        <f t="shared" si="14"/>
        <v>0</v>
      </c>
      <c r="R20" s="7" t="s">
        <v>70</v>
      </c>
      <c r="S20" s="8" t="s">
        <v>66</v>
      </c>
      <c r="T20" s="21" t="str">
        <f>MID(I17,4,1)</f>
        <v>0</v>
      </c>
      <c r="U20" s="26" t="str">
        <f t="shared" si="15"/>
        <v>0</v>
      </c>
      <c r="V20" s="7" t="s">
        <v>70</v>
      </c>
      <c r="W20" s="489"/>
      <c r="X20" s="21" t="str">
        <f>MID(J17,4,1)</f>
        <v>0</v>
      </c>
      <c r="Y20" s="26" t="str">
        <f t="shared" si="16"/>
        <v>0</v>
      </c>
      <c r="Z20" s="7" t="s">
        <v>70</v>
      </c>
      <c r="AA20" s="8" t="s">
        <v>66</v>
      </c>
      <c r="AB20" s="21" t="str">
        <f>MID(K17,4,1)</f>
        <v>0</v>
      </c>
      <c r="AC20" s="26" t="str">
        <f t="shared" si="17"/>
        <v>0</v>
      </c>
      <c r="AD20" s="7" t="s">
        <v>70</v>
      </c>
      <c r="AE20" s="8" t="s">
        <v>66</v>
      </c>
      <c r="AF20" s="21" t="str">
        <f>MID(L17,4,1)</f>
        <v>0</v>
      </c>
      <c r="AG20" s="26" t="str">
        <f t="shared" si="18"/>
        <v>0</v>
      </c>
      <c r="AH20" s="7" t="s">
        <v>70</v>
      </c>
      <c r="AI20" s="491"/>
      <c r="AJ20" s="400"/>
      <c r="AK20" s="401"/>
    </row>
    <row r="21" spans="3:37" ht="15" thickBot="1" x14ac:dyDescent="0.35">
      <c r="C21" s="7" t="s">
        <v>56</v>
      </c>
      <c r="D21" s="15" t="str">
        <f t="shared" ref="D21:G21" si="19">D16</f>
        <v>07</v>
      </c>
      <c r="E21" s="16" t="str">
        <f t="shared" si="19"/>
        <v>06</v>
      </c>
      <c r="F21" s="16" t="str">
        <f t="shared" si="19"/>
        <v>01</v>
      </c>
      <c r="G21" s="17" t="str">
        <f t="shared" si="19"/>
        <v>02</v>
      </c>
      <c r="H21" s="23" t="str">
        <f>BIN2HEX(H22,2)</f>
        <v>00</v>
      </c>
      <c r="I21" s="25" t="str">
        <f t="shared" ref="I21:L21" si="20">BIN2HEX(I22,2)</f>
        <v>00</v>
      </c>
      <c r="J21" s="24" t="str">
        <f t="shared" si="20"/>
        <v>00</v>
      </c>
      <c r="K21" s="2" t="str">
        <f t="shared" si="20"/>
        <v>00</v>
      </c>
      <c r="L21" s="18" t="str">
        <f t="shared" si="20"/>
        <v>00</v>
      </c>
      <c r="M21" s="3" t="str">
        <f>IF(LEN(M22)&gt;2,MID(M22,2,2),M22)</f>
        <v>10</v>
      </c>
      <c r="N21" s="8" t="s">
        <v>61</v>
      </c>
      <c r="P21" s="21" t="str">
        <f>MID(H17,5,1)</f>
        <v>0</v>
      </c>
      <c r="Q21" s="26" t="str">
        <f t="shared" si="14"/>
        <v>0</v>
      </c>
      <c r="R21" s="7" t="s">
        <v>71</v>
      </c>
      <c r="S21" s="8" t="s">
        <v>66</v>
      </c>
      <c r="T21" s="21" t="str">
        <f>MID(I17,5,1)</f>
        <v>0</v>
      </c>
      <c r="U21" s="26" t="str">
        <f t="shared" si="15"/>
        <v>0</v>
      </c>
      <c r="V21" s="7" t="s">
        <v>71</v>
      </c>
      <c r="W21" s="489"/>
      <c r="X21" s="21" t="str">
        <f>MID(J17,5,1)</f>
        <v>0</v>
      </c>
      <c r="Y21" s="26" t="str">
        <f t="shared" si="16"/>
        <v>0</v>
      </c>
      <c r="Z21" s="7" t="s">
        <v>71</v>
      </c>
      <c r="AA21" s="8" t="s">
        <v>66</v>
      </c>
      <c r="AB21" s="21" t="str">
        <f>MID(K17,5,1)</f>
        <v>0</v>
      </c>
      <c r="AC21" s="26" t="str">
        <f t="shared" si="17"/>
        <v>0</v>
      </c>
      <c r="AD21" s="7" t="s">
        <v>71</v>
      </c>
      <c r="AE21" s="8" t="s">
        <v>66</v>
      </c>
      <c r="AF21" s="21" t="str">
        <f>MID(L17,5,1)</f>
        <v>0</v>
      </c>
      <c r="AG21" s="26" t="str">
        <f t="shared" si="18"/>
        <v>0</v>
      </c>
      <c r="AH21" s="7" t="s">
        <v>71</v>
      </c>
      <c r="AI21" s="8" t="s">
        <v>66</v>
      </c>
      <c r="AJ21" s="400"/>
      <c r="AK21" s="401"/>
    </row>
    <row r="22" spans="3:37" x14ac:dyDescent="0.3">
      <c r="C22" s="7" t="s">
        <v>64</v>
      </c>
      <c r="D22" s="99" t="str">
        <f>HEX2BIN(D21,8)</f>
        <v>00000111</v>
      </c>
      <c r="E22" s="99" t="str">
        <f t="shared" ref="E22:G22" si="21">HEX2BIN(E21,8)</f>
        <v>00000110</v>
      </c>
      <c r="F22" s="99" t="str">
        <f t="shared" si="21"/>
        <v>00000001</v>
      </c>
      <c r="G22" s="99" t="str">
        <f t="shared" si="21"/>
        <v>00000010</v>
      </c>
      <c r="H22" s="29" t="str">
        <f>Q17&amp;Q18&amp;Q19&amp;Q20&amp;Q21&amp;Q22&amp;Q23&amp;Q24</f>
        <v>00000000</v>
      </c>
      <c r="I22" s="99" t="str">
        <f>U17&amp;U18&amp;U19&amp;U20&amp;U21&amp;U22&amp;U23&amp;U24</f>
        <v>00000000</v>
      </c>
      <c r="J22" s="29" t="str">
        <f>Y17&amp;Y18&amp;Y19&amp;Y20&amp;Y21&amp;Y22&amp;Y23&amp;Y24</f>
        <v>00000000</v>
      </c>
      <c r="K22" s="29" t="str">
        <f>AC17&amp;AC18&amp;AC19&amp;AC20&amp;AC21&amp;AC22&amp;AC23&amp;AC24</f>
        <v>00000000</v>
      </c>
      <c r="L22" s="99" t="str">
        <f>AG17&amp;AG18&amp;AG19&amp;AG20&amp;AG21&amp;AG22&amp;AG23&amp;AG24</f>
        <v>00000000</v>
      </c>
      <c r="M22" s="99" t="str">
        <f>DEC2HEX(M23)</f>
        <v>10</v>
      </c>
      <c r="N22" s="8"/>
      <c r="P22" s="21" t="str">
        <f>MID(H17,6,1)</f>
        <v>0</v>
      </c>
      <c r="Q22" s="26" t="str">
        <f t="shared" si="14"/>
        <v>0</v>
      </c>
      <c r="R22" s="7" t="s">
        <v>72</v>
      </c>
      <c r="S22" s="326" t="s">
        <v>1653</v>
      </c>
      <c r="T22" s="21" t="str">
        <f>MID(I17,6,1)</f>
        <v>0</v>
      </c>
      <c r="U22" s="26" t="str">
        <f t="shared" si="15"/>
        <v>0</v>
      </c>
      <c r="V22" s="7" t="s">
        <v>72</v>
      </c>
      <c r="W22" s="489"/>
      <c r="X22" s="21" t="str">
        <f>MID(J17,6,1)</f>
        <v>0</v>
      </c>
      <c r="Y22" s="26" t="str">
        <f t="shared" si="16"/>
        <v>0</v>
      </c>
      <c r="Z22" s="7" t="s">
        <v>72</v>
      </c>
      <c r="AA22" s="8" t="s">
        <v>66</v>
      </c>
      <c r="AB22" s="21" t="str">
        <f>MID(K17,6,1)</f>
        <v>0</v>
      </c>
      <c r="AC22" s="26" t="str">
        <f t="shared" si="17"/>
        <v>0</v>
      </c>
      <c r="AD22" s="7" t="s">
        <v>72</v>
      </c>
      <c r="AE22" s="8" t="s">
        <v>66</v>
      </c>
      <c r="AF22" s="21" t="str">
        <f>MID(L17,6,1)</f>
        <v>0</v>
      </c>
      <c r="AG22" s="26" t="str">
        <f t="shared" si="18"/>
        <v>0</v>
      </c>
      <c r="AH22" s="7" t="s">
        <v>72</v>
      </c>
      <c r="AI22" s="8" t="s">
        <v>66</v>
      </c>
      <c r="AJ22" s="400"/>
      <c r="AK22" s="401"/>
    </row>
    <row r="23" spans="3:37" x14ac:dyDescent="0.3">
      <c r="C23" s="7" t="s">
        <v>67</v>
      </c>
      <c r="D23" s="99">
        <f>HEX2DEC(D21)</f>
        <v>7</v>
      </c>
      <c r="E23" s="99">
        <f t="shared" ref="E23:L23" si="22">HEX2DEC(E21)</f>
        <v>6</v>
      </c>
      <c r="F23" s="99">
        <f t="shared" si="22"/>
        <v>1</v>
      </c>
      <c r="G23" s="99">
        <f t="shared" si="22"/>
        <v>2</v>
      </c>
      <c r="H23" s="99">
        <f t="shared" si="22"/>
        <v>0</v>
      </c>
      <c r="I23" s="99">
        <f t="shared" si="22"/>
        <v>0</v>
      </c>
      <c r="J23" s="99">
        <f t="shared" si="22"/>
        <v>0</v>
      </c>
      <c r="K23" s="99">
        <f t="shared" si="22"/>
        <v>0</v>
      </c>
      <c r="L23" s="99">
        <f t="shared" si="22"/>
        <v>0</v>
      </c>
      <c r="M23" s="99">
        <f>SUM(D23:L23)</f>
        <v>16</v>
      </c>
      <c r="N23" s="8"/>
      <c r="P23" s="21" t="str">
        <f>MID(H17,7,1)</f>
        <v>0</v>
      </c>
      <c r="Q23" s="26" t="str">
        <f t="shared" si="14"/>
        <v>0</v>
      </c>
      <c r="R23" s="7" t="s">
        <v>73</v>
      </c>
      <c r="S23" s="8" t="s">
        <v>66</v>
      </c>
      <c r="T23" s="21" t="str">
        <f>MID(I17,7,1)</f>
        <v>0</v>
      </c>
      <c r="U23" s="26" t="str">
        <f t="shared" si="15"/>
        <v>0</v>
      </c>
      <c r="V23" s="7" t="s">
        <v>73</v>
      </c>
      <c r="W23" s="489"/>
      <c r="X23" s="21" t="str">
        <f>MID(J17,7,1)</f>
        <v>0</v>
      </c>
      <c r="Y23" s="26" t="str">
        <f t="shared" si="16"/>
        <v>0</v>
      </c>
      <c r="Z23" s="7" t="s">
        <v>73</v>
      </c>
      <c r="AA23" s="8" t="s">
        <v>66</v>
      </c>
      <c r="AB23" s="21" t="str">
        <f>MID(K17,7,1)</f>
        <v>0</v>
      </c>
      <c r="AC23" s="26" t="str">
        <f t="shared" si="17"/>
        <v>0</v>
      </c>
      <c r="AD23" s="7" t="s">
        <v>73</v>
      </c>
      <c r="AE23" s="8" t="s">
        <v>66</v>
      </c>
      <c r="AF23" s="21" t="str">
        <f>MID(L17,7,1)</f>
        <v>0</v>
      </c>
      <c r="AG23" s="26" t="str">
        <f t="shared" si="18"/>
        <v>0</v>
      </c>
      <c r="AH23" s="7" t="s">
        <v>73</v>
      </c>
      <c r="AI23" s="8" t="s">
        <v>66</v>
      </c>
      <c r="AJ23" s="400"/>
      <c r="AK23" s="401"/>
    </row>
    <row r="24" spans="3:37" ht="15" thickBot="1" x14ac:dyDescent="0.35">
      <c r="C24" s="9" t="s">
        <v>1678</v>
      </c>
      <c r="D24" s="334" t="str">
        <f>D19</f>
        <v>07</v>
      </c>
      <c r="E24" s="334" t="str">
        <f t="shared" ref="E24:G24" si="23">E19</f>
        <v>06</v>
      </c>
      <c r="F24" s="334" t="str">
        <f t="shared" si="23"/>
        <v>G1</v>
      </c>
      <c r="G24" s="334" t="str">
        <f t="shared" si="23"/>
        <v>G2</v>
      </c>
      <c r="H24" s="10"/>
      <c r="I24" s="10"/>
      <c r="J24" s="10"/>
      <c r="K24" s="10"/>
      <c r="L24" s="10"/>
      <c r="M24" s="10"/>
      <c r="N24" s="11"/>
      <c r="P24" s="22" t="str">
        <f>MID(H17,8,1)</f>
        <v>0</v>
      </c>
      <c r="Q24" s="26" t="str">
        <f t="shared" si="14"/>
        <v>0</v>
      </c>
      <c r="R24" s="9" t="s">
        <v>74</v>
      </c>
      <c r="S24" s="11" t="s">
        <v>66</v>
      </c>
      <c r="T24" s="22" t="str">
        <f>MID(I17,8,1)</f>
        <v>0</v>
      </c>
      <c r="U24" s="26" t="str">
        <f t="shared" si="15"/>
        <v>0</v>
      </c>
      <c r="V24" s="9" t="s">
        <v>74</v>
      </c>
      <c r="W24" s="489"/>
      <c r="X24" s="22" t="str">
        <f>MID(J17,8,1)</f>
        <v>0</v>
      </c>
      <c r="Y24" s="26" t="str">
        <f t="shared" si="16"/>
        <v>0</v>
      </c>
      <c r="Z24" s="9" t="s">
        <v>74</v>
      </c>
      <c r="AA24" s="11" t="s">
        <v>66</v>
      </c>
      <c r="AB24" s="22" t="str">
        <f>MID(K17,8,1)</f>
        <v>0</v>
      </c>
      <c r="AC24" s="26" t="str">
        <f t="shared" si="17"/>
        <v>0</v>
      </c>
      <c r="AD24" s="9" t="s">
        <v>74</v>
      </c>
      <c r="AE24" s="11" t="s">
        <v>66</v>
      </c>
      <c r="AF24" s="22" t="str">
        <f>MID(L17,8,1)</f>
        <v>0</v>
      </c>
      <c r="AG24" s="26" t="str">
        <f t="shared" si="18"/>
        <v>0</v>
      </c>
      <c r="AH24" s="9" t="s">
        <v>74</v>
      </c>
      <c r="AI24" s="11" t="s">
        <v>66</v>
      </c>
      <c r="AJ24" s="402"/>
      <c r="AK24" s="404"/>
    </row>
    <row r="25" spans="3:37" ht="15" thickBot="1" x14ac:dyDescent="0.35">
      <c r="C25" s="4"/>
      <c r="D25" s="5"/>
      <c r="E25" s="5"/>
      <c r="F25" s="5"/>
      <c r="G25" s="5"/>
      <c r="H25" s="5"/>
      <c r="I25" s="5"/>
      <c r="J25" s="5"/>
      <c r="K25" s="5"/>
      <c r="L25" s="5"/>
      <c r="M25" s="5" t="s">
        <v>41</v>
      </c>
      <c r="N25" s="6"/>
      <c r="P25" s="392" t="s">
        <v>284</v>
      </c>
      <c r="Q25" s="392"/>
      <c r="R25" s="392"/>
      <c r="S25" s="392"/>
      <c r="T25" s="392"/>
      <c r="U25" s="392"/>
      <c r="V25" s="392"/>
      <c r="W25" s="392"/>
      <c r="X25" s="392"/>
      <c r="Y25" s="392"/>
      <c r="Z25" s="392"/>
      <c r="AA25" s="392"/>
      <c r="AB25" s="392"/>
      <c r="AC25" s="392"/>
      <c r="AD25" s="392"/>
      <c r="AE25" s="392"/>
      <c r="AF25" s="392"/>
      <c r="AG25" s="392"/>
      <c r="AH25" s="392"/>
      <c r="AI25" s="392"/>
      <c r="AJ25" s="392"/>
      <c r="AK25" s="392"/>
    </row>
    <row r="26" spans="3:37" ht="15" thickBot="1" x14ac:dyDescent="0.35">
      <c r="C26" s="7"/>
      <c r="D26" s="393" t="s">
        <v>285</v>
      </c>
      <c r="E26" s="393"/>
      <c r="F26" s="393"/>
      <c r="G26" s="393"/>
      <c r="H26" s="99" t="s">
        <v>44</v>
      </c>
      <c r="I26" s="99" t="s">
        <v>45</v>
      </c>
      <c r="J26" s="99" t="s">
        <v>46</v>
      </c>
      <c r="K26" s="99" t="s">
        <v>47</v>
      </c>
      <c r="L26" s="99" t="s">
        <v>48</v>
      </c>
      <c r="M26" s="99" t="s">
        <v>49</v>
      </c>
      <c r="N26" s="8"/>
      <c r="P26" s="394" t="s">
        <v>50</v>
      </c>
      <c r="Q26" s="395"/>
      <c r="R26" s="395"/>
      <c r="S26" s="396"/>
      <c r="T26" s="394" t="s">
        <v>51</v>
      </c>
      <c r="U26" s="395"/>
      <c r="V26" s="395"/>
      <c r="W26" s="396"/>
      <c r="X26" s="394" t="s">
        <v>52</v>
      </c>
      <c r="Y26" s="395"/>
      <c r="Z26" s="395"/>
      <c r="AA26" s="396"/>
      <c r="AB26" s="394" t="s">
        <v>53</v>
      </c>
      <c r="AC26" s="395"/>
      <c r="AD26" s="395"/>
      <c r="AE26" s="396"/>
      <c r="AF26" s="394" t="s">
        <v>97</v>
      </c>
      <c r="AG26" s="395"/>
      <c r="AH26" s="395"/>
      <c r="AI26" s="396"/>
      <c r="AJ26" s="394" t="s">
        <v>55</v>
      </c>
      <c r="AK26" s="396"/>
    </row>
    <row r="27" spans="3:37" ht="15" thickBot="1" x14ac:dyDescent="0.35">
      <c r="C27" s="7" t="s">
        <v>56</v>
      </c>
      <c r="D27" s="12" t="s">
        <v>57</v>
      </c>
      <c r="E27" s="13" t="s">
        <v>227</v>
      </c>
      <c r="F27" s="13" t="s">
        <v>59</v>
      </c>
      <c r="G27" s="14" t="s">
        <v>93</v>
      </c>
      <c r="H27" s="316" t="str">
        <f>MID($A$6,8,2)</f>
        <v>00</v>
      </c>
      <c r="I27" s="317" t="str">
        <f>MID($A$6,10,2)</f>
        <v>00</v>
      </c>
      <c r="J27" s="317" t="str">
        <f>MID($A$6,12,2)</f>
        <v>00</v>
      </c>
      <c r="K27" s="320" t="str">
        <f>MID($A$6,14,2)</f>
        <v>00</v>
      </c>
      <c r="L27" s="318" t="str">
        <f>MID($A$6,16,2)</f>
        <v>00</v>
      </c>
      <c r="M27" s="319" t="str">
        <f>MID($A$6,18,2)</f>
        <v>11</v>
      </c>
      <c r="N27" s="8" t="s">
        <v>60</v>
      </c>
      <c r="P27" s="19" t="s">
        <v>60</v>
      </c>
      <c r="Q27" s="20" t="s">
        <v>61</v>
      </c>
      <c r="R27" t="s">
        <v>62</v>
      </c>
      <c r="S27" s="8"/>
      <c r="T27" s="19" t="s">
        <v>60</v>
      </c>
      <c r="U27" s="20" t="s">
        <v>61</v>
      </c>
      <c r="V27" t="s">
        <v>62</v>
      </c>
      <c r="W27" s="8"/>
      <c r="X27" s="19" t="s">
        <v>60</v>
      </c>
      <c r="Y27" s="20" t="s">
        <v>61</v>
      </c>
      <c r="Z27" t="s">
        <v>62</v>
      </c>
      <c r="AA27" s="8"/>
      <c r="AB27" s="19" t="s">
        <v>60</v>
      </c>
      <c r="AC27" s="20" t="s">
        <v>61</v>
      </c>
      <c r="AD27" t="s">
        <v>62</v>
      </c>
      <c r="AE27" s="8"/>
      <c r="AF27" s="19" t="s">
        <v>60</v>
      </c>
      <c r="AG27" s="20" t="s">
        <v>61</v>
      </c>
      <c r="AH27" t="s">
        <v>62</v>
      </c>
      <c r="AJ27" s="394" t="s">
        <v>63</v>
      </c>
      <c r="AK27" s="396"/>
    </row>
    <row r="28" spans="3:37" x14ac:dyDescent="0.3">
      <c r="C28" s="7" t="s">
        <v>64</v>
      </c>
      <c r="D28" s="99" t="str">
        <f>HEX2BIN(D27,8)</f>
        <v>00000111</v>
      </c>
      <c r="E28" s="99" t="str">
        <f t="shared" ref="E28:L28" si="24">HEX2BIN(E27,8)</f>
        <v>00000110</v>
      </c>
      <c r="F28" s="99" t="str">
        <f t="shared" si="24"/>
        <v>00000001</v>
      </c>
      <c r="G28" s="99" t="str">
        <f t="shared" si="24"/>
        <v>00000011</v>
      </c>
      <c r="H28" s="99" t="str">
        <f t="shared" si="24"/>
        <v>00000000</v>
      </c>
      <c r="I28" s="99" t="str">
        <f t="shared" si="24"/>
        <v>00000000</v>
      </c>
      <c r="J28" s="99" t="str">
        <f t="shared" si="24"/>
        <v>00000000</v>
      </c>
      <c r="K28" s="99" t="str">
        <f t="shared" si="24"/>
        <v>00000000</v>
      </c>
      <c r="L28" s="99" t="str">
        <f t="shared" si="24"/>
        <v>00000000</v>
      </c>
      <c r="N28" s="8"/>
      <c r="P28" s="21" t="str">
        <f>MID(H28,1,1)</f>
        <v>0</v>
      </c>
      <c r="Q28" s="26" t="str">
        <f>P28</f>
        <v>0</v>
      </c>
      <c r="R28" s="7" t="s">
        <v>65</v>
      </c>
      <c r="S28" s="495" t="s">
        <v>1345</v>
      </c>
      <c r="T28" s="21" t="str">
        <f>MID(I28,1,1)</f>
        <v>0</v>
      </c>
      <c r="U28" s="26" t="str">
        <f>T28</f>
        <v>0</v>
      </c>
      <c r="V28" s="7" t="s">
        <v>65</v>
      </c>
      <c r="W28" s="492" t="s">
        <v>1345</v>
      </c>
      <c r="X28" s="21" t="str">
        <f>MID(J28,1,1)</f>
        <v>0</v>
      </c>
      <c r="Y28" s="26" t="str">
        <f>X28</f>
        <v>0</v>
      </c>
      <c r="Z28" s="7" t="s">
        <v>65</v>
      </c>
      <c r="AA28" s="8" t="s">
        <v>66</v>
      </c>
      <c r="AB28" s="21" t="str">
        <f>MID(K28,1,1)</f>
        <v>0</v>
      </c>
      <c r="AC28" s="26" t="str">
        <f>AB28</f>
        <v>0</v>
      </c>
      <c r="AD28" s="7" t="s">
        <v>65</v>
      </c>
      <c r="AE28" s="8" t="s">
        <v>66</v>
      </c>
      <c r="AF28" s="21" t="str">
        <f>MID(L28,1,1)</f>
        <v>0</v>
      </c>
      <c r="AG28" s="26" t="str">
        <f>AF28</f>
        <v>0</v>
      </c>
      <c r="AH28" s="7" t="s">
        <v>65</v>
      </c>
      <c r="AI28" s="8" t="s">
        <v>66</v>
      </c>
      <c r="AJ28" s="400"/>
      <c r="AK28" s="401"/>
    </row>
    <row r="29" spans="3:37" x14ac:dyDescent="0.3">
      <c r="C29" s="7" t="s">
        <v>67</v>
      </c>
      <c r="D29" s="99">
        <f>HEX2DEC(D27)</f>
        <v>7</v>
      </c>
      <c r="E29" s="99">
        <f t="shared" ref="E29:L29" si="25">HEX2DEC(E27)</f>
        <v>6</v>
      </c>
      <c r="F29" s="99">
        <f t="shared" si="25"/>
        <v>1</v>
      </c>
      <c r="G29" s="99">
        <f t="shared" si="25"/>
        <v>3</v>
      </c>
      <c r="H29" s="99">
        <f t="shared" si="25"/>
        <v>0</v>
      </c>
      <c r="I29" s="99">
        <f t="shared" si="25"/>
        <v>0</v>
      </c>
      <c r="J29" s="99">
        <f t="shared" si="25"/>
        <v>0</v>
      </c>
      <c r="K29" s="99">
        <f t="shared" si="25"/>
        <v>0</v>
      </c>
      <c r="L29" s="99">
        <f t="shared" si="25"/>
        <v>0</v>
      </c>
      <c r="M29" s="99">
        <f>SUM(D29:L29)</f>
        <v>17</v>
      </c>
      <c r="N29" s="8"/>
      <c r="P29" s="21" t="str">
        <f>MID(H28,2,1)</f>
        <v>0</v>
      </c>
      <c r="Q29" s="26" t="str">
        <f t="shared" ref="Q29:Q35" si="26">P29</f>
        <v>0</v>
      </c>
      <c r="R29" s="7" t="s">
        <v>68</v>
      </c>
      <c r="S29" s="496"/>
      <c r="T29" s="21" t="str">
        <f>MID(I28,2,1)</f>
        <v>0</v>
      </c>
      <c r="U29" s="26" t="str">
        <f t="shared" ref="U29:U35" si="27">T29</f>
        <v>0</v>
      </c>
      <c r="V29" s="7" t="s">
        <v>68</v>
      </c>
      <c r="W29" s="493"/>
      <c r="X29" s="21" t="str">
        <f>MID(J28,2,1)</f>
        <v>0</v>
      </c>
      <c r="Y29" s="26" t="str">
        <f t="shared" ref="Y29:Y35" si="28">X29</f>
        <v>0</v>
      </c>
      <c r="Z29" s="7" t="s">
        <v>68</v>
      </c>
      <c r="AA29" s="8" t="s">
        <v>66</v>
      </c>
      <c r="AB29" s="21" t="str">
        <f>MID(K28,2,1)</f>
        <v>0</v>
      </c>
      <c r="AC29" s="26" t="str">
        <f t="shared" ref="AC29:AC35" si="29">AB29</f>
        <v>0</v>
      </c>
      <c r="AD29" s="7" t="s">
        <v>68</v>
      </c>
      <c r="AE29" s="8" t="s">
        <v>66</v>
      </c>
      <c r="AF29" s="21" t="str">
        <f>MID(L28,2,1)</f>
        <v>0</v>
      </c>
      <c r="AG29" s="26" t="str">
        <f t="shared" ref="AG29:AG35" si="30">AF29</f>
        <v>0</v>
      </c>
      <c r="AH29" s="7" t="s">
        <v>68</v>
      </c>
      <c r="AI29" s="8" t="s">
        <v>66</v>
      </c>
      <c r="AJ29" s="400"/>
      <c r="AK29" s="401"/>
    </row>
    <row r="30" spans="3:37" x14ac:dyDescent="0.3">
      <c r="C30" s="7" t="s">
        <v>1678</v>
      </c>
      <c r="D30" s="333" t="str">
        <f>D27</f>
        <v>07</v>
      </c>
      <c r="E30" s="333" t="str">
        <f>E27</f>
        <v>06</v>
      </c>
      <c r="F30" s="99" t="str">
        <f>MID($A$6,4,2)</f>
        <v>G1</v>
      </c>
      <c r="G30" s="99" t="str">
        <f>MID($A$6,6,2)</f>
        <v>G3</v>
      </c>
      <c r="N30" s="8"/>
      <c r="P30" s="21" t="str">
        <f>MID(H28,3,1)</f>
        <v>0</v>
      </c>
      <c r="Q30" s="26" t="str">
        <f t="shared" si="26"/>
        <v>0</v>
      </c>
      <c r="R30" s="7" t="s">
        <v>69</v>
      </c>
      <c r="S30" s="496"/>
      <c r="T30" s="21" t="str">
        <f>MID(I28,3,1)</f>
        <v>0</v>
      </c>
      <c r="U30" s="26" t="str">
        <f t="shared" si="27"/>
        <v>0</v>
      </c>
      <c r="V30" s="7" t="s">
        <v>69</v>
      </c>
      <c r="W30" s="493"/>
      <c r="X30" s="21" t="str">
        <f>MID(J28,3,1)</f>
        <v>0</v>
      </c>
      <c r="Y30" s="26" t="str">
        <f t="shared" si="28"/>
        <v>0</v>
      </c>
      <c r="Z30" s="7" t="s">
        <v>69</v>
      </c>
      <c r="AA30" s="8" t="s">
        <v>66</v>
      </c>
      <c r="AB30" s="21" t="str">
        <f>MID(K28,3,1)</f>
        <v>0</v>
      </c>
      <c r="AC30" s="26" t="str">
        <f t="shared" si="29"/>
        <v>0</v>
      </c>
      <c r="AD30" s="7" t="s">
        <v>69</v>
      </c>
      <c r="AE30" s="8" t="s">
        <v>66</v>
      </c>
      <c r="AF30" s="21" t="str">
        <f>MID(L28,3,1)</f>
        <v>0</v>
      </c>
      <c r="AG30" s="26" t="str">
        <f t="shared" si="30"/>
        <v>0</v>
      </c>
      <c r="AH30" s="7" t="s">
        <v>69</v>
      </c>
      <c r="AI30" s="8" t="s">
        <v>66</v>
      </c>
      <c r="AJ30" s="400"/>
      <c r="AK30" s="401"/>
    </row>
    <row r="31" spans="3:37" ht="15" thickBot="1" x14ac:dyDescent="0.35">
      <c r="C31" s="7"/>
      <c r="N31" s="8"/>
      <c r="P31" s="21" t="str">
        <f>MID(H28,4,1)</f>
        <v>0</v>
      </c>
      <c r="Q31" s="26" t="str">
        <f t="shared" si="26"/>
        <v>0</v>
      </c>
      <c r="R31" s="7" t="s">
        <v>70</v>
      </c>
      <c r="S31" s="496"/>
      <c r="T31" s="21" t="str">
        <f>MID(I28,4,1)</f>
        <v>0</v>
      </c>
      <c r="U31" s="26" t="str">
        <f t="shared" si="27"/>
        <v>0</v>
      </c>
      <c r="V31" s="7" t="s">
        <v>70</v>
      </c>
      <c r="W31" s="493"/>
      <c r="X31" s="21" t="str">
        <f>MID(J28,4,1)</f>
        <v>0</v>
      </c>
      <c r="Y31" s="26" t="str">
        <f t="shared" si="28"/>
        <v>0</v>
      </c>
      <c r="Z31" s="7" t="s">
        <v>70</v>
      </c>
      <c r="AA31" s="8" t="s">
        <v>66</v>
      </c>
      <c r="AB31" s="21" t="str">
        <f>MID(K28,4,1)</f>
        <v>0</v>
      </c>
      <c r="AC31" s="26" t="str">
        <f t="shared" si="29"/>
        <v>0</v>
      </c>
      <c r="AD31" s="7" t="s">
        <v>70</v>
      </c>
      <c r="AE31" s="8" t="s">
        <v>66</v>
      </c>
      <c r="AF31" s="21" t="str">
        <f>MID(L28,4,1)</f>
        <v>0</v>
      </c>
      <c r="AG31" s="26" t="str">
        <f t="shared" si="30"/>
        <v>0</v>
      </c>
      <c r="AH31" s="7" t="s">
        <v>70</v>
      </c>
      <c r="AI31" s="8" t="s">
        <v>66</v>
      </c>
      <c r="AJ31" s="400"/>
      <c r="AK31" s="401"/>
    </row>
    <row r="32" spans="3:37" ht="15" thickBot="1" x14ac:dyDescent="0.35">
      <c r="C32" s="7" t="s">
        <v>56</v>
      </c>
      <c r="D32" s="15" t="str">
        <f t="shared" ref="D32:G32" si="31">D27</f>
        <v>07</v>
      </c>
      <c r="E32" s="16" t="str">
        <f t="shared" si="31"/>
        <v>06</v>
      </c>
      <c r="F32" s="16" t="str">
        <f t="shared" si="31"/>
        <v>01</v>
      </c>
      <c r="G32" s="17" t="str">
        <f t="shared" si="31"/>
        <v>03</v>
      </c>
      <c r="H32" s="23" t="str">
        <f>BIN2HEX(H33,2)</f>
        <v>00</v>
      </c>
      <c r="I32" s="25" t="str">
        <f t="shared" ref="I32:L32" si="32">BIN2HEX(I33,2)</f>
        <v>00</v>
      </c>
      <c r="J32" s="24" t="str">
        <f t="shared" si="32"/>
        <v>00</v>
      </c>
      <c r="K32" s="2" t="str">
        <f t="shared" si="32"/>
        <v>00</v>
      </c>
      <c r="L32" s="18" t="str">
        <f t="shared" si="32"/>
        <v>00</v>
      </c>
      <c r="M32" s="3" t="str">
        <f>IF(LEN(M33)&gt;2,MID(M33,2,2),M33)</f>
        <v>11</v>
      </c>
      <c r="N32" s="8" t="s">
        <v>61</v>
      </c>
      <c r="P32" s="21" t="str">
        <f>MID(H28,5,1)</f>
        <v>0</v>
      </c>
      <c r="Q32" s="26" t="str">
        <f t="shared" si="26"/>
        <v>0</v>
      </c>
      <c r="R32" s="7" t="s">
        <v>71</v>
      </c>
      <c r="S32" s="496"/>
      <c r="T32" s="21" t="str">
        <f>MID(I28,5,1)</f>
        <v>0</v>
      </c>
      <c r="U32" s="26" t="str">
        <f t="shared" si="27"/>
        <v>0</v>
      </c>
      <c r="V32" s="7" t="s">
        <v>71</v>
      </c>
      <c r="W32" s="493"/>
      <c r="X32" s="21" t="str">
        <f>MID(J28,5,1)</f>
        <v>0</v>
      </c>
      <c r="Y32" s="26" t="str">
        <f t="shared" si="28"/>
        <v>0</v>
      </c>
      <c r="Z32" s="7" t="s">
        <v>71</v>
      </c>
      <c r="AA32" s="8" t="s">
        <v>66</v>
      </c>
      <c r="AB32" s="21" t="str">
        <f>MID(K28,5,1)</f>
        <v>0</v>
      </c>
      <c r="AC32" s="26" t="str">
        <f t="shared" si="29"/>
        <v>0</v>
      </c>
      <c r="AD32" s="7" t="s">
        <v>71</v>
      </c>
      <c r="AE32" s="8" t="s">
        <v>66</v>
      </c>
      <c r="AF32" s="21" t="str">
        <f>MID(L28,5,1)</f>
        <v>0</v>
      </c>
      <c r="AG32" s="26" t="str">
        <f t="shared" si="30"/>
        <v>0</v>
      </c>
      <c r="AH32" s="7" t="s">
        <v>71</v>
      </c>
      <c r="AI32" s="8" t="s">
        <v>66</v>
      </c>
      <c r="AJ32" s="400"/>
      <c r="AK32" s="401"/>
    </row>
    <row r="33" spans="3:37" ht="15" customHeight="1" x14ac:dyDescent="0.3">
      <c r="C33" s="7" t="s">
        <v>64</v>
      </c>
      <c r="D33" s="99" t="str">
        <f>HEX2BIN(D32,8)</f>
        <v>00000111</v>
      </c>
      <c r="E33" s="99" t="str">
        <f t="shared" ref="E33:G33" si="33">HEX2BIN(E32,8)</f>
        <v>00000110</v>
      </c>
      <c r="F33" s="99" t="str">
        <f t="shared" si="33"/>
        <v>00000001</v>
      </c>
      <c r="G33" s="99" t="str">
        <f t="shared" si="33"/>
        <v>00000011</v>
      </c>
      <c r="H33" s="29" t="str">
        <f>Q28&amp;Q29&amp;Q30&amp;Q31&amp;Q32&amp;Q33&amp;Q34&amp;Q35</f>
        <v>00000000</v>
      </c>
      <c r="I33" s="99" t="str">
        <f>U28&amp;U29&amp;U30&amp;U31&amp;U32&amp;U33&amp;U34&amp;U35</f>
        <v>00000000</v>
      </c>
      <c r="J33" s="29" t="str">
        <f>Y28&amp;Y29&amp;Y30&amp;Y31&amp;Y32&amp;Y33&amp;Y34&amp;Y35</f>
        <v>00000000</v>
      </c>
      <c r="K33" s="29" t="str">
        <f>AC28&amp;AC29&amp;AC30&amp;AC31&amp;AC32&amp;AC33&amp;AC34&amp;AC35</f>
        <v>00000000</v>
      </c>
      <c r="L33" s="99" t="str">
        <f>AG28&amp;AG29&amp;AG30&amp;AG31&amp;AG32&amp;AG33&amp;AG34&amp;AG35</f>
        <v>00000000</v>
      </c>
      <c r="M33" s="99" t="str">
        <f>DEC2HEX(M34)</f>
        <v>11</v>
      </c>
      <c r="N33" s="8"/>
      <c r="P33" s="21" t="str">
        <f>MID(H28,6,1)</f>
        <v>0</v>
      </c>
      <c r="Q33" s="26" t="str">
        <f t="shared" si="26"/>
        <v>0</v>
      </c>
      <c r="R33" s="7" t="s">
        <v>72</v>
      </c>
      <c r="S33" s="483" t="s">
        <v>447</v>
      </c>
      <c r="T33" s="21" t="str">
        <f>MID(I28,6,1)</f>
        <v>0</v>
      </c>
      <c r="U33" s="26" t="str">
        <f t="shared" si="27"/>
        <v>0</v>
      </c>
      <c r="V33" s="7" t="s">
        <v>72</v>
      </c>
      <c r="W33" s="494"/>
      <c r="X33" s="21" t="str">
        <f>MID(J28,6,1)</f>
        <v>0</v>
      </c>
      <c r="Y33" s="26" t="str">
        <f t="shared" si="28"/>
        <v>0</v>
      </c>
      <c r="Z33" s="7" t="s">
        <v>72</v>
      </c>
      <c r="AA33" s="8" t="s">
        <v>66</v>
      </c>
      <c r="AB33" s="21" t="str">
        <f>MID(K28,6,1)</f>
        <v>0</v>
      </c>
      <c r="AC33" s="26" t="str">
        <f t="shared" si="29"/>
        <v>0</v>
      </c>
      <c r="AD33" s="7" t="s">
        <v>72</v>
      </c>
      <c r="AE33" s="8" t="s">
        <v>66</v>
      </c>
      <c r="AF33" s="21" t="str">
        <f>MID(L28,6,1)</f>
        <v>0</v>
      </c>
      <c r="AG33" s="26" t="str">
        <f t="shared" si="30"/>
        <v>0</v>
      </c>
      <c r="AH33" s="7" t="s">
        <v>72</v>
      </c>
      <c r="AI33" s="8" t="s">
        <v>66</v>
      </c>
      <c r="AJ33" s="400"/>
      <c r="AK33" s="401"/>
    </row>
    <row r="34" spans="3:37" x14ac:dyDescent="0.3">
      <c r="C34" s="7" t="s">
        <v>67</v>
      </c>
      <c r="D34" s="99">
        <f>HEX2DEC(D32)</f>
        <v>7</v>
      </c>
      <c r="E34" s="99">
        <f t="shared" ref="E34:L34" si="34">HEX2DEC(E32)</f>
        <v>6</v>
      </c>
      <c r="F34" s="99">
        <f t="shared" si="34"/>
        <v>1</v>
      </c>
      <c r="G34" s="99">
        <f t="shared" si="34"/>
        <v>3</v>
      </c>
      <c r="H34" s="99">
        <f t="shared" si="34"/>
        <v>0</v>
      </c>
      <c r="I34" s="99">
        <f t="shared" si="34"/>
        <v>0</v>
      </c>
      <c r="J34" s="99">
        <f t="shared" si="34"/>
        <v>0</v>
      </c>
      <c r="K34" s="99">
        <f t="shared" si="34"/>
        <v>0</v>
      </c>
      <c r="L34" s="99">
        <f t="shared" si="34"/>
        <v>0</v>
      </c>
      <c r="M34" s="99">
        <f>SUM(D34:L34)</f>
        <v>17</v>
      </c>
      <c r="N34" s="8"/>
      <c r="P34" s="21" t="str">
        <f>MID(H28,7,1)</f>
        <v>0</v>
      </c>
      <c r="Q34" s="26" t="str">
        <f t="shared" si="26"/>
        <v>0</v>
      </c>
      <c r="R34" s="7" t="s">
        <v>73</v>
      </c>
      <c r="S34" s="484"/>
      <c r="T34" s="21" t="str">
        <f>MID(I28,7,1)</f>
        <v>0</v>
      </c>
      <c r="U34" s="26" t="str">
        <f t="shared" si="27"/>
        <v>0</v>
      </c>
      <c r="V34" s="7" t="s">
        <v>73</v>
      </c>
      <c r="W34" s="483" t="s">
        <v>447</v>
      </c>
      <c r="X34" s="21" t="str">
        <f>MID(J28,7,1)</f>
        <v>0</v>
      </c>
      <c r="Y34" s="26" t="str">
        <f t="shared" si="28"/>
        <v>0</v>
      </c>
      <c r="Z34" s="7" t="s">
        <v>73</v>
      </c>
      <c r="AA34" s="8" t="s">
        <v>66</v>
      </c>
      <c r="AB34" s="21" t="str">
        <f>MID(K28,7,1)</f>
        <v>0</v>
      </c>
      <c r="AC34" s="26" t="str">
        <f t="shared" si="29"/>
        <v>0</v>
      </c>
      <c r="AD34" s="7" t="s">
        <v>73</v>
      </c>
      <c r="AE34" s="8" t="s">
        <v>66</v>
      </c>
      <c r="AF34" s="21" t="str">
        <f>MID(L28,7,1)</f>
        <v>0</v>
      </c>
      <c r="AG34" s="26" t="str">
        <f t="shared" si="30"/>
        <v>0</v>
      </c>
      <c r="AH34" s="7" t="s">
        <v>73</v>
      </c>
      <c r="AI34" s="8" t="s">
        <v>66</v>
      </c>
      <c r="AJ34" s="400"/>
      <c r="AK34" s="401"/>
    </row>
    <row r="35" spans="3:37" ht="15" thickBot="1" x14ac:dyDescent="0.35">
      <c r="C35" s="9" t="s">
        <v>1678</v>
      </c>
      <c r="D35" s="334" t="str">
        <f>D30</f>
        <v>07</v>
      </c>
      <c r="E35" s="334" t="str">
        <f t="shared" ref="E35:G35" si="35">E30</f>
        <v>06</v>
      </c>
      <c r="F35" s="334" t="str">
        <f t="shared" si="35"/>
        <v>G1</v>
      </c>
      <c r="G35" s="334" t="str">
        <f t="shared" si="35"/>
        <v>G3</v>
      </c>
      <c r="H35" s="10"/>
      <c r="I35" s="10"/>
      <c r="J35" s="10"/>
      <c r="K35" s="10"/>
      <c r="L35" s="10"/>
      <c r="M35" s="10"/>
      <c r="N35" s="11"/>
      <c r="P35" s="22" t="str">
        <f>MID(H28,8,1)</f>
        <v>0</v>
      </c>
      <c r="Q35" s="26" t="str">
        <f t="shared" si="26"/>
        <v>0</v>
      </c>
      <c r="R35" s="9" t="s">
        <v>74</v>
      </c>
      <c r="S35" s="485"/>
      <c r="T35" s="22" t="str">
        <f>MID(I28,8,1)</f>
        <v>0</v>
      </c>
      <c r="U35" s="26" t="str">
        <f t="shared" si="27"/>
        <v>0</v>
      </c>
      <c r="V35" s="9" t="s">
        <v>74</v>
      </c>
      <c r="W35" s="485"/>
      <c r="X35" s="22" t="str">
        <f>MID(J28,8,1)</f>
        <v>0</v>
      </c>
      <c r="Y35" s="26" t="str">
        <f t="shared" si="28"/>
        <v>0</v>
      </c>
      <c r="Z35" s="9" t="s">
        <v>74</v>
      </c>
      <c r="AA35" s="11" t="s">
        <v>66</v>
      </c>
      <c r="AB35" s="22" t="str">
        <f>MID(K28,8,1)</f>
        <v>0</v>
      </c>
      <c r="AC35" s="26" t="str">
        <f t="shared" si="29"/>
        <v>0</v>
      </c>
      <c r="AD35" s="9" t="s">
        <v>74</v>
      </c>
      <c r="AE35" s="11" t="s">
        <v>66</v>
      </c>
      <c r="AF35" s="22" t="str">
        <f>MID(L28,8,1)</f>
        <v>0</v>
      </c>
      <c r="AG35" s="26" t="str">
        <f t="shared" si="30"/>
        <v>0</v>
      </c>
      <c r="AH35" s="9" t="s">
        <v>74</v>
      </c>
      <c r="AI35" s="11" t="s">
        <v>66</v>
      </c>
      <c r="AJ35" s="402"/>
      <c r="AK35" s="404"/>
    </row>
    <row r="36" spans="3:37" ht="15" thickBot="1" x14ac:dyDescent="0.35">
      <c r="C36" s="4"/>
      <c r="D36" s="5"/>
      <c r="E36" s="5"/>
      <c r="F36" s="5"/>
      <c r="G36" s="5"/>
      <c r="H36" s="5"/>
      <c r="I36" s="5"/>
      <c r="J36" s="5" t="s">
        <v>41</v>
      </c>
      <c r="N36" s="6"/>
      <c r="P36" s="405" t="s">
        <v>286</v>
      </c>
      <c r="Q36" s="405"/>
      <c r="R36" s="405"/>
      <c r="S36" s="405"/>
      <c r="T36" s="405"/>
      <c r="U36" s="405"/>
      <c r="V36" s="405"/>
      <c r="W36" s="405"/>
      <c r="X36" s="405"/>
      <c r="Y36" s="405"/>
      <c r="Z36" s="405"/>
      <c r="AA36" s="405"/>
      <c r="AB36" s="405"/>
      <c r="AC36" s="405"/>
      <c r="AD36" s="405"/>
      <c r="AE36" s="405"/>
      <c r="AF36" s="405"/>
      <c r="AG36" s="405"/>
      <c r="AH36" s="405"/>
      <c r="AI36" s="405"/>
      <c r="AJ36" s="405"/>
      <c r="AK36" s="405"/>
    </row>
    <row r="37" spans="3:37" ht="15" thickBot="1" x14ac:dyDescent="0.35">
      <c r="C37" s="7"/>
      <c r="D37" s="393" t="s">
        <v>1504</v>
      </c>
      <c r="E37" s="393"/>
      <c r="F37" s="393"/>
      <c r="G37" s="393"/>
      <c r="H37" s="99" t="s">
        <v>44</v>
      </c>
      <c r="I37" s="99" t="s">
        <v>45</v>
      </c>
      <c r="J37" s="99" t="s">
        <v>46</v>
      </c>
      <c r="N37" s="8"/>
      <c r="P37" s="394" t="s">
        <v>50</v>
      </c>
      <c r="Q37" s="395"/>
      <c r="R37" s="395"/>
      <c r="S37" s="396"/>
      <c r="T37" s="394" t="s">
        <v>51</v>
      </c>
      <c r="U37" s="395"/>
      <c r="V37" s="395"/>
      <c r="W37" s="396"/>
      <c r="X37" s="448" t="s">
        <v>287</v>
      </c>
      <c r="Y37" s="407"/>
      <c r="Z37" s="407"/>
      <c r="AA37" s="408"/>
    </row>
    <row r="38" spans="3:37" ht="15" thickBot="1" x14ac:dyDescent="0.35">
      <c r="C38" s="7" t="s">
        <v>56</v>
      </c>
      <c r="D38" s="12" t="s">
        <v>57</v>
      </c>
      <c r="E38" s="13" t="s">
        <v>227</v>
      </c>
      <c r="F38" s="13" t="s">
        <v>59</v>
      </c>
      <c r="G38" s="14" t="s">
        <v>111</v>
      </c>
      <c r="H38" s="316" t="str">
        <f>MID($A$7,8,2)</f>
        <v>00</v>
      </c>
      <c r="I38" s="320" t="str">
        <f>MID($A$7,10,2)</f>
        <v>00</v>
      </c>
      <c r="J38" s="319" t="str">
        <f>MID($A$7,12,2)</f>
        <v>12</v>
      </c>
      <c r="N38" s="8" t="s">
        <v>60</v>
      </c>
      <c r="P38" s="19" t="s">
        <v>60</v>
      </c>
      <c r="Q38" s="20" t="s">
        <v>61</v>
      </c>
      <c r="R38" t="s">
        <v>62</v>
      </c>
      <c r="S38" s="45"/>
      <c r="T38" s="19" t="s">
        <v>60</v>
      </c>
      <c r="U38" s="20" t="s">
        <v>61</v>
      </c>
      <c r="V38" t="s">
        <v>62</v>
      </c>
      <c r="W38" s="8"/>
      <c r="X38" s="394"/>
      <c r="Y38" s="395"/>
      <c r="Z38" s="395"/>
      <c r="AA38" s="396"/>
    </row>
    <row r="39" spans="3:37" x14ac:dyDescent="0.3">
      <c r="C39" s="7" t="s">
        <v>64</v>
      </c>
      <c r="D39" s="99" t="str">
        <f>HEX2BIN(D38,8)</f>
        <v>00000111</v>
      </c>
      <c r="E39" s="99" t="str">
        <f t="shared" ref="E39:I39" si="36">HEX2BIN(E38,8)</f>
        <v>00000110</v>
      </c>
      <c r="F39" s="99" t="str">
        <f t="shared" si="36"/>
        <v>00000001</v>
      </c>
      <c r="G39" s="99" t="str">
        <f t="shared" si="36"/>
        <v>00000100</v>
      </c>
      <c r="H39" s="99" t="str">
        <f t="shared" si="36"/>
        <v>00000000</v>
      </c>
      <c r="I39" s="99" t="str">
        <f t="shared" si="36"/>
        <v>00000000</v>
      </c>
      <c r="J39" s="99"/>
      <c r="N39" s="8"/>
      <c r="P39" s="21" t="str">
        <f>MID(H39,1,1)</f>
        <v>0</v>
      </c>
      <c r="Q39" s="26" t="str">
        <f>P39</f>
        <v>0</v>
      </c>
      <c r="R39" s="7" t="s">
        <v>65</v>
      </c>
      <c r="S39" s="8" t="s">
        <v>66</v>
      </c>
      <c r="T39" s="21" t="str">
        <f>MID(I39,1,1)</f>
        <v>0</v>
      </c>
      <c r="U39" s="26" t="str">
        <f>T39</f>
        <v>0</v>
      </c>
      <c r="V39" s="7" t="s">
        <v>65</v>
      </c>
      <c r="W39" s="8" t="s">
        <v>66</v>
      </c>
      <c r="X39" s="400"/>
      <c r="Y39" s="381"/>
      <c r="Z39" s="381"/>
      <c r="AA39" s="401"/>
    </row>
    <row r="40" spans="3:37" x14ac:dyDescent="0.3">
      <c r="C40" s="7" t="s">
        <v>67</v>
      </c>
      <c r="D40" s="99">
        <f>HEX2DEC(D38)</f>
        <v>7</v>
      </c>
      <c r="E40" s="99">
        <f t="shared" ref="E40:I40" si="37">HEX2DEC(E38)</f>
        <v>6</v>
      </c>
      <c r="F40" s="99">
        <f t="shared" si="37"/>
        <v>1</v>
      </c>
      <c r="G40" s="99">
        <f t="shared" si="37"/>
        <v>4</v>
      </c>
      <c r="H40" s="99">
        <f t="shared" si="37"/>
        <v>0</v>
      </c>
      <c r="I40" s="99">
        <f t="shared" si="37"/>
        <v>0</v>
      </c>
      <c r="J40" s="99">
        <f>SUM(D40:I40)</f>
        <v>18</v>
      </c>
      <c r="N40" s="8"/>
      <c r="P40" s="21" t="str">
        <f>MID(H39,2,1)</f>
        <v>0</v>
      </c>
      <c r="Q40" s="26" t="str">
        <f t="shared" ref="Q40:Q46" si="38">P40</f>
        <v>0</v>
      </c>
      <c r="R40" s="7" t="s">
        <v>68</v>
      </c>
      <c r="S40" s="8" t="s">
        <v>66</v>
      </c>
      <c r="T40" s="21" t="str">
        <f>MID(I39,2,1)</f>
        <v>0</v>
      </c>
      <c r="U40" s="26" t="str">
        <f t="shared" ref="U40:U46" si="39">T40</f>
        <v>0</v>
      </c>
      <c r="V40" s="7" t="s">
        <v>68</v>
      </c>
      <c r="W40" s="8" t="s">
        <v>66</v>
      </c>
      <c r="X40" s="400"/>
      <c r="Y40" s="381"/>
      <c r="Z40" s="381"/>
      <c r="AA40" s="401"/>
    </row>
    <row r="41" spans="3:37" x14ac:dyDescent="0.3">
      <c r="C41" s="7" t="s">
        <v>1678</v>
      </c>
      <c r="D41" s="333" t="str">
        <f>D38</f>
        <v>07</v>
      </c>
      <c r="E41" s="333" t="str">
        <f>E38</f>
        <v>06</v>
      </c>
      <c r="F41" s="99" t="str">
        <f>MID($A$7,4,2)</f>
        <v>G1</v>
      </c>
      <c r="G41" s="99" t="str">
        <f>MID($A$7,6,2)</f>
        <v>G4</v>
      </c>
      <c r="N41" s="8"/>
      <c r="P41" s="21" t="str">
        <f>MID(H39,3,1)</f>
        <v>0</v>
      </c>
      <c r="Q41" s="26" t="str">
        <f t="shared" si="38"/>
        <v>0</v>
      </c>
      <c r="R41" s="7" t="s">
        <v>69</v>
      </c>
      <c r="S41" s="8" t="s">
        <v>66</v>
      </c>
      <c r="T41" s="21" t="str">
        <f>MID(I39,3,1)</f>
        <v>0</v>
      </c>
      <c r="U41" s="26" t="str">
        <f t="shared" si="39"/>
        <v>0</v>
      </c>
      <c r="V41" s="7" t="s">
        <v>69</v>
      </c>
      <c r="W41" s="8" t="s">
        <v>66</v>
      </c>
      <c r="X41" s="400"/>
      <c r="Y41" s="381"/>
      <c r="Z41" s="381"/>
      <c r="AA41" s="401"/>
    </row>
    <row r="42" spans="3:37" ht="15" thickBot="1" x14ac:dyDescent="0.35">
      <c r="C42" s="7"/>
      <c r="N42" s="8"/>
      <c r="P42" s="21" t="str">
        <f>MID(H39,4,1)</f>
        <v>0</v>
      </c>
      <c r="Q42" s="26" t="str">
        <f t="shared" si="38"/>
        <v>0</v>
      </c>
      <c r="R42" s="7" t="s">
        <v>70</v>
      </c>
      <c r="S42" s="8" t="s">
        <v>66</v>
      </c>
      <c r="T42" s="21" t="str">
        <f>MID(I39,4,1)</f>
        <v>0</v>
      </c>
      <c r="U42" s="26" t="str">
        <f t="shared" si="39"/>
        <v>0</v>
      </c>
      <c r="V42" s="7" t="s">
        <v>70</v>
      </c>
      <c r="W42" s="8" t="s">
        <v>66</v>
      </c>
      <c r="X42" s="400"/>
      <c r="Y42" s="381"/>
      <c r="Z42" s="381"/>
      <c r="AA42" s="401"/>
    </row>
    <row r="43" spans="3:37" ht="15" thickBot="1" x14ac:dyDescent="0.35">
      <c r="C43" s="7" t="s">
        <v>56</v>
      </c>
      <c r="D43" s="15" t="str">
        <f>D38</f>
        <v>07</v>
      </c>
      <c r="E43" s="16" t="str">
        <f>E38</f>
        <v>06</v>
      </c>
      <c r="F43" s="16" t="str">
        <f>F38</f>
        <v>01</v>
      </c>
      <c r="G43" s="17" t="str">
        <f>G38</f>
        <v>04</v>
      </c>
      <c r="H43" s="23" t="str">
        <f>BIN2HEX(H44,2)</f>
        <v>00</v>
      </c>
      <c r="I43" s="25" t="str">
        <f t="shared" ref="I43" si="40">BIN2HEX(I44,2)</f>
        <v>00</v>
      </c>
      <c r="J43" s="44" t="str">
        <f>IF(LEN(J44)&gt;2,MID(J44,2,2),J44)</f>
        <v>12</v>
      </c>
      <c r="N43" s="8" t="s">
        <v>61</v>
      </c>
      <c r="P43" s="21" t="str">
        <f>MID(H39,5,1)</f>
        <v>0</v>
      </c>
      <c r="Q43" s="26" t="str">
        <f t="shared" si="38"/>
        <v>0</v>
      </c>
      <c r="R43" s="7" t="s">
        <v>71</v>
      </c>
      <c r="S43" s="8" t="s">
        <v>66</v>
      </c>
      <c r="T43" s="21" t="str">
        <f>MID(I39,5,1)</f>
        <v>0</v>
      </c>
      <c r="U43" s="26" t="str">
        <f t="shared" si="39"/>
        <v>0</v>
      </c>
      <c r="V43" s="7" t="s">
        <v>71</v>
      </c>
      <c r="W43" s="8" t="s">
        <v>66</v>
      </c>
      <c r="X43" s="400"/>
      <c r="Y43" s="381"/>
      <c r="Z43" s="381"/>
      <c r="AA43" s="401"/>
    </row>
    <row r="44" spans="3:37" x14ac:dyDescent="0.3">
      <c r="C44" s="7" t="s">
        <v>64</v>
      </c>
      <c r="D44" s="99" t="str">
        <f>HEX2BIN(D43,8)</f>
        <v>00000111</v>
      </c>
      <c r="E44" s="99" t="str">
        <f t="shared" ref="E44:G44" si="41">HEX2BIN(E43,8)</f>
        <v>00000110</v>
      </c>
      <c r="F44" s="99" t="str">
        <f t="shared" si="41"/>
        <v>00000001</v>
      </c>
      <c r="G44" s="99" t="str">
        <f t="shared" si="41"/>
        <v>00000100</v>
      </c>
      <c r="H44" s="29" t="str">
        <f>Q39&amp;Q40&amp;Q41&amp;Q42&amp;Q43&amp;Q44&amp;Q45&amp;Q46</f>
        <v>00000000</v>
      </c>
      <c r="I44" s="99" t="str">
        <f>U39&amp;U40&amp;U41&amp;U42&amp;U43&amp;U44&amp;U45&amp;U46</f>
        <v>00000000</v>
      </c>
      <c r="J44" s="99" t="str">
        <f>DEC2HEX(J45)</f>
        <v>12</v>
      </c>
      <c r="N44" s="8"/>
      <c r="P44" s="21" t="str">
        <f>MID(H39,6,1)</f>
        <v>0</v>
      </c>
      <c r="Q44" s="26" t="str">
        <f t="shared" si="38"/>
        <v>0</v>
      </c>
      <c r="R44" s="7" t="s">
        <v>72</v>
      </c>
      <c r="S44" s="8" t="s">
        <v>66</v>
      </c>
      <c r="T44" s="21" t="str">
        <f>MID(I39,6,1)</f>
        <v>0</v>
      </c>
      <c r="U44" s="26" t="str">
        <f t="shared" si="39"/>
        <v>0</v>
      </c>
      <c r="V44" s="7" t="s">
        <v>72</v>
      </c>
      <c r="W44" s="8" t="s">
        <v>66</v>
      </c>
      <c r="X44" s="400"/>
      <c r="Y44" s="381"/>
      <c r="Z44" s="381"/>
      <c r="AA44" s="401"/>
    </row>
    <row r="45" spans="3:37" x14ac:dyDescent="0.3">
      <c r="C45" s="7" t="s">
        <v>67</v>
      </c>
      <c r="D45" s="99">
        <f>HEX2DEC(D43)</f>
        <v>7</v>
      </c>
      <c r="E45" s="99">
        <f t="shared" ref="E45:I45" si="42">HEX2DEC(E43)</f>
        <v>6</v>
      </c>
      <c r="F45" s="99">
        <f t="shared" si="42"/>
        <v>1</v>
      </c>
      <c r="G45" s="99">
        <f t="shared" si="42"/>
        <v>4</v>
      </c>
      <c r="H45" s="99">
        <f t="shared" si="42"/>
        <v>0</v>
      </c>
      <c r="I45" s="99">
        <f t="shared" si="42"/>
        <v>0</v>
      </c>
      <c r="J45" s="99">
        <f>SUM(D45:I45)</f>
        <v>18</v>
      </c>
      <c r="N45" s="8"/>
      <c r="P45" s="21" t="str">
        <f>MID(H39,7,1)</f>
        <v>0</v>
      </c>
      <c r="Q45" s="26" t="str">
        <f t="shared" si="38"/>
        <v>0</v>
      </c>
      <c r="R45" s="7" t="s">
        <v>73</v>
      </c>
      <c r="S45" s="8" t="s">
        <v>66</v>
      </c>
      <c r="T45" s="21" t="str">
        <f>MID(I39,7,1)</f>
        <v>0</v>
      </c>
      <c r="U45" s="26" t="str">
        <f t="shared" si="39"/>
        <v>0</v>
      </c>
      <c r="V45" s="7" t="s">
        <v>73</v>
      </c>
      <c r="W45" s="8" t="s">
        <v>66</v>
      </c>
      <c r="X45" s="400"/>
      <c r="Y45" s="381"/>
      <c r="Z45" s="381"/>
      <c r="AA45" s="401"/>
    </row>
    <row r="46" spans="3:37" ht="15" thickBot="1" x14ac:dyDescent="0.35">
      <c r="C46" s="9" t="s">
        <v>1678</v>
      </c>
      <c r="D46" s="334" t="str">
        <f>D41</f>
        <v>07</v>
      </c>
      <c r="E46" s="334" t="str">
        <f t="shared" ref="E46:G46" si="43">E41</f>
        <v>06</v>
      </c>
      <c r="F46" s="334" t="str">
        <f t="shared" si="43"/>
        <v>G1</v>
      </c>
      <c r="G46" s="334" t="str">
        <f t="shared" si="43"/>
        <v>G4</v>
      </c>
      <c r="H46" s="10"/>
      <c r="I46" s="10"/>
      <c r="J46" s="10"/>
      <c r="K46" s="10"/>
      <c r="L46" s="10"/>
      <c r="M46" s="10"/>
      <c r="N46" s="11"/>
      <c r="P46" s="22" t="str">
        <f>MID(H39,8,1)</f>
        <v>0</v>
      </c>
      <c r="Q46" s="26" t="str">
        <f t="shared" si="38"/>
        <v>0</v>
      </c>
      <c r="R46" s="9" t="s">
        <v>74</v>
      </c>
      <c r="S46" s="11" t="s">
        <v>66</v>
      </c>
      <c r="T46" s="22" t="str">
        <f>MID(I39,8,1)</f>
        <v>0</v>
      </c>
      <c r="U46" s="26" t="str">
        <f t="shared" si="39"/>
        <v>0</v>
      </c>
      <c r="V46" s="9" t="s">
        <v>74</v>
      </c>
      <c r="W46" s="11" t="s">
        <v>66</v>
      </c>
      <c r="X46" s="402"/>
      <c r="Y46" s="403"/>
      <c r="Z46" s="403"/>
      <c r="AA46" s="404"/>
    </row>
    <row r="47" spans="3:37" ht="15" thickBot="1" x14ac:dyDescent="0.35">
      <c r="C47" s="4"/>
      <c r="D47" s="5"/>
      <c r="E47" s="5"/>
      <c r="F47" s="5"/>
      <c r="G47" s="5"/>
      <c r="H47" s="5"/>
      <c r="I47" s="5"/>
      <c r="J47" s="5"/>
      <c r="K47" s="5"/>
      <c r="L47" s="5"/>
      <c r="M47" s="5" t="s">
        <v>41</v>
      </c>
      <c r="N47" s="6"/>
      <c r="P47" s="392" t="s">
        <v>288</v>
      </c>
      <c r="Q47" s="392"/>
      <c r="R47" s="392"/>
      <c r="S47" s="392"/>
      <c r="T47" s="392"/>
      <c r="U47" s="392"/>
      <c r="V47" s="392"/>
      <c r="W47" s="392"/>
      <c r="X47" s="392"/>
      <c r="Y47" s="392"/>
      <c r="Z47" s="392"/>
      <c r="AA47" s="392"/>
      <c r="AB47" s="392"/>
      <c r="AC47" s="392"/>
      <c r="AD47" s="392"/>
      <c r="AE47" s="392"/>
      <c r="AF47" s="392"/>
      <c r="AG47" s="392"/>
      <c r="AH47" s="392"/>
      <c r="AI47" s="392"/>
      <c r="AJ47" s="392"/>
      <c r="AK47" s="392"/>
    </row>
    <row r="48" spans="3:37" ht="15" thickBot="1" x14ac:dyDescent="0.35">
      <c r="C48" s="7"/>
      <c r="D48" s="393" t="s">
        <v>289</v>
      </c>
      <c r="E48" s="393"/>
      <c r="F48" s="393"/>
      <c r="G48" s="393"/>
      <c r="H48" s="99" t="s">
        <v>44</v>
      </c>
      <c r="I48" s="99" t="s">
        <v>45</v>
      </c>
      <c r="J48" s="99" t="s">
        <v>46</v>
      </c>
      <c r="K48" s="99" t="s">
        <v>47</v>
      </c>
      <c r="L48" s="99" t="s">
        <v>48</v>
      </c>
      <c r="M48" s="99" t="s">
        <v>49</v>
      </c>
      <c r="N48" s="8"/>
      <c r="P48" s="394" t="s">
        <v>50</v>
      </c>
      <c r="Q48" s="395"/>
      <c r="R48" s="395"/>
      <c r="S48" s="396"/>
      <c r="T48" s="394" t="s">
        <v>51</v>
      </c>
      <c r="U48" s="395"/>
      <c r="V48" s="395"/>
      <c r="W48" s="396"/>
      <c r="X48" s="394" t="s">
        <v>52</v>
      </c>
      <c r="Y48" s="395"/>
      <c r="Z48" s="395"/>
      <c r="AA48" s="396"/>
      <c r="AB48" s="394" t="s">
        <v>53</v>
      </c>
      <c r="AC48" s="395"/>
      <c r="AD48" s="395"/>
      <c r="AE48" s="396"/>
      <c r="AF48" s="394" t="s">
        <v>97</v>
      </c>
      <c r="AG48" s="395"/>
      <c r="AH48" s="395"/>
      <c r="AI48" s="396"/>
      <c r="AJ48" s="394" t="s">
        <v>55</v>
      </c>
      <c r="AK48" s="396"/>
    </row>
    <row r="49" spans="3:37" ht="15" thickBot="1" x14ac:dyDescent="0.35">
      <c r="C49" s="7" t="s">
        <v>56</v>
      </c>
      <c r="D49" s="12" t="s">
        <v>57</v>
      </c>
      <c r="E49" s="13" t="s">
        <v>227</v>
      </c>
      <c r="F49" s="13" t="s">
        <v>77</v>
      </c>
      <c r="G49" s="14" t="s">
        <v>59</v>
      </c>
      <c r="H49" s="316" t="str">
        <f>MID($A$9,8,2)</f>
        <v>00</v>
      </c>
      <c r="I49" s="317" t="str">
        <f>MID($A$9,10,2)</f>
        <v>00</v>
      </c>
      <c r="J49" s="317" t="str">
        <f>MID($A$9,12,2)</f>
        <v>00</v>
      </c>
      <c r="K49" s="320" t="str">
        <f>MID($A$9,14,2)</f>
        <v>00</v>
      </c>
      <c r="L49" s="318" t="str">
        <f>MID($A$9,16,2)</f>
        <v>00</v>
      </c>
      <c r="M49" s="319" t="str">
        <f>MID($A$9,18,2)</f>
        <v>10</v>
      </c>
      <c r="N49" s="8" t="s">
        <v>60</v>
      </c>
      <c r="P49" s="19" t="s">
        <v>60</v>
      </c>
      <c r="Q49" s="20" t="s">
        <v>61</v>
      </c>
      <c r="R49" t="s">
        <v>62</v>
      </c>
      <c r="S49" s="8"/>
      <c r="T49" s="19" t="s">
        <v>60</v>
      </c>
      <c r="U49" s="20" t="s">
        <v>61</v>
      </c>
      <c r="V49" t="s">
        <v>62</v>
      </c>
      <c r="W49" s="8"/>
      <c r="X49" s="19" t="s">
        <v>60</v>
      </c>
      <c r="Y49" s="20" t="s">
        <v>61</v>
      </c>
      <c r="Z49" t="s">
        <v>62</v>
      </c>
      <c r="AA49" s="8"/>
      <c r="AB49" s="19" t="s">
        <v>60</v>
      </c>
      <c r="AC49" s="20" t="s">
        <v>61</v>
      </c>
      <c r="AD49" t="s">
        <v>62</v>
      </c>
      <c r="AE49" s="8"/>
      <c r="AF49" s="19" t="s">
        <v>60</v>
      </c>
      <c r="AG49" s="20" t="s">
        <v>61</v>
      </c>
      <c r="AH49" t="s">
        <v>62</v>
      </c>
      <c r="AJ49" s="394" t="s">
        <v>63</v>
      </c>
      <c r="AK49" s="396"/>
    </row>
    <row r="50" spans="3:37" x14ac:dyDescent="0.3">
      <c r="C50" s="7" t="s">
        <v>64</v>
      </c>
      <c r="D50" s="99" t="str">
        <f>HEX2BIN(D49,8)</f>
        <v>00000111</v>
      </c>
      <c r="E50" s="99" t="str">
        <f t="shared" ref="E50:L50" si="44">HEX2BIN(E49,8)</f>
        <v>00000110</v>
      </c>
      <c r="F50" s="99" t="str">
        <f t="shared" si="44"/>
        <v>00000010</v>
      </c>
      <c r="G50" s="99" t="str">
        <f t="shared" si="44"/>
        <v>00000001</v>
      </c>
      <c r="H50" s="99" t="str">
        <f t="shared" si="44"/>
        <v>00000000</v>
      </c>
      <c r="I50" s="99" t="str">
        <f t="shared" si="44"/>
        <v>00000000</v>
      </c>
      <c r="J50" s="99" t="str">
        <f t="shared" si="44"/>
        <v>00000000</v>
      </c>
      <c r="K50" s="99" t="str">
        <f t="shared" si="44"/>
        <v>00000000</v>
      </c>
      <c r="L50" s="99" t="str">
        <f t="shared" si="44"/>
        <v>00000000</v>
      </c>
      <c r="N50" s="8"/>
      <c r="P50" s="21" t="str">
        <f>MID(H50,1,1)</f>
        <v>0</v>
      </c>
      <c r="Q50" s="26" t="str">
        <f>P50</f>
        <v>0</v>
      </c>
      <c r="R50" s="7" t="s">
        <v>65</v>
      </c>
      <c r="S50" s="8" t="s">
        <v>66</v>
      </c>
      <c r="T50" s="21" t="str">
        <f>MID(I50,1,1)</f>
        <v>0</v>
      </c>
      <c r="U50" s="26" t="str">
        <f>T50</f>
        <v>0</v>
      </c>
      <c r="V50" s="7" t="s">
        <v>65</v>
      </c>
      <c r="W50" s="465" t="s">
        <v>1654</v>
      </c>
      <c r="X50" s="21" t="str">
        <f>MID(J50,1,1)</f>
        <v>0</v>
      </c>
      <c r="Y50" s="26" t="str">
        <f>X50</f>
        <v>0</v>
      </c>
      <c r="Z50" s="7" t="s">
        <v>65</v>
      </c>
      <c r="AA50" s="465" t="s">
        <v>1655</v>
      </c>
      <c r="AB50" s="21" t="str">
        <f>MID(K50,1,1)</f>
        <v>0</v>
      </c>
      <c r="AC50" s="26" t="str">
        <f>AB50</f>
        <v>0</v>
      </c>
      <c r="AD50" s="7" t="s">
        <v>65</v>
      </c>
      <c r="AE50" s="8" t="s">
        <v>66</v>
      </c>
      <c r="AF50" s="21" t="str">
        <f>MID(L50,1,1)</f>
        <v>0</v>
      </c>
      <c r="AG50" s="26" t="str">
        <f>AF50</f>
        <v>0</v>
      </c>
      <c r="AH50" s="7" t="s">
        <v>65</v>
      </c>
      <c r="AI50" s="8" t="s">
        <v>66</v>
      </c>
      <c r="AJ50" s="400"/>
      <c r="AK50" s="401"/>
    </row>
    <row r="51" spans="3:37" ht="15" customHeight="1" x14ac:dyDescent="0.3">
      <c r="C51" s="7" t="s">
        <v>67</v>
      </c>
      <c r="D51" s="99">
        <f>HEX2DEC(D49)</f>
        <v>7</v>
      </c>
      <c r="E51" s="99">
        <f t="shared" ref="E51:L51" si="45">HEX2DEC(E49)</f>
        <v>6</v>
      </c>
      <c r="F51" s="99">
        <f t="shared" si="45"/>
        <v>2</v>
      </c>
      <c r="G51" s="99">
        <f t="shared" si="45"/>
        <v>1</v>
      </c>
      <c r="H51" s="99">
        <f t="shared" si="45"/>
        <v>0</v>
      </c>
      <c r="I51" s="99">
        <f t="shared" si="45"/>
        <v>0</v>
      </c>
      <c r="J51" s="99">
        <f t="shared" si="45"/>
        <v>0</v>
      </c>
      <c r="K51" s="99">
        <f t="shared" si="45"/>
        <v>0</v>
      </c>
      <c r="L51" s="99">
        <f t="shared" si="45"/>
        <v>0</v>
      </c>
      <c r="M51" s="99">
        <f>SUM(D51:L51)</f>
        <v>16</v>
      </c>
      <c r="N51" s="8"/>
      <c r="P51" s="21" t="str">
        <f>MID(H50,2,1)</f>
        <v>0</v>
      </c>
      <c r="Q51" s="26" t="str">
        <f t="shared" ref="Q51:Q57" si="46">P51</f>
        <v>0</v>
      </c>
      <c r="R51" s="7" t="s">
        <v>68</v>
      </c>
      <c r="S51" s="107" t="s">
        <v>290</v>
      </c>
      <c r="T51" s="21" t="str">
        <f>MID(I50,2,1)</f>
        <v>0</v>
      </c>
      <c r="U51" s="26" t="str">
        <f t="shared" ref="U51:U57" si="47">T51</f>
        <v>0</v>
      </c>
      <c r="V51" s="7" t="s">
        <v>68</v>
      </c>
      <c r="W51" s="466"/>
      <c r="X51" s="21" t="str">
        <f>MID(J50,2,1)</f>
        <v>0</v>
      </c>
      <c r="Y51" s="26" t="str">
        <f t="shared" ref="Y51:Y57" si="48">X51</f>
        <v>0</v>
      </c>
      <c r="Z51" s="7" t="s">
        <v>68</v>
      </c>
      <c r="AA51" s="466"/>
      <c r="AB51" s="21" t="str">
        <f>MID(K50,2,1)</f>
        <v>0</v>
      </c>
      <c r="AC51" s="26" t="str">
        <f t="shared" ref="AC51:AC57" si="49">AB51</f>
        <v>0</v>
      </c>
      <c r="AD51" s="7" t="s">
        <v>68</v>
      </c>
      <c r="AE51" s="8" t="s">
        <v>66</v>
      </c>
      <c r="AF51" s="21" t="str">
        <f>MID(L50,2,1)</f>
        <v>0</v>
      </c>
      <c r="AG51" s="26" t="str">
        <f t="shared" ref="AG51:AG57" si="50">AF51</f>
        <v>0</v>
      </c>
      <c r="AH51" s="7" t="s">
        <v>68</v>
      </c>
      <c r="AI51" s="8" t="s">
        <v>66</v>
      </c>
      <c r="AJ51" s="400"/>
      <c r="AK51" s="401"/>
    </row>
    <row r="52" spans="3:37" x14ac:dyDescent="0.3">
      <c r="C52" s="7" t="s">
        <v>1678</v>
      </c>
      <c r="D52" s="333" t="str">
        <f>D49</f>
        <v>07</v>
      </c>
      <c r="E52" s="333" t="str">
        <f>E49</f>
        <v>06</v>
      </c>
      <c r="F52" s="99" t="str">
        <f>MID($A$9,4,2)</f>
        <v>G2</v>
      </c>
      <c r="G52" s="99" t="str">
        <f>MID($A$9,6,2)</f>
        <v>G1</v>
      </c>
      <c r="N52" s="8"/>
      <c r="P52" s="21" t="str">
        <f>MID(H50,3,1)</f>
        <v>0</v>
      </c>
      <c r="Q52" s="26" t="str">
        <f t="shared" si="46"/>
        <v>0</v>
      </c>
      <c r="R52" s="7" t="s">
        <v>69</v>
      </c>
      <c r="S52" s="322" t="s">
        <v>331</v>
      </c>
      <c r="T52" s="21" t="str">
        <f>MID(I50,3,1)</f>
        <v>0</v>
      </c>
      <c r="U52" s="26" t="str">
        <f t="shared" si="47"/>
        <v>0</v>
      </c>
      <c r="V52" s="7" t="s">
        <v>69</v>
      </c>
      <c r="W52" s="8" t="s">
        <v>66</v>
      </c>
      <c r="X52" s="21" t="str">
        <f>MID(J50,3,1)</f>
        <v>0</v>
      </c>
      <c r="Y52" s="26" t="str">
        <f t="shared" si="48"/>
        <v>0</v>
      </c>
      <c r="Z52" s="7" t="s">
        <v>69</v>
      </c>
      <c r="AA52" s="8" t="s">
        <v>66</v>
      </c>
      <c r="AB52" s="21" t="str">
        <f>MID(K50,3,1)</f>
        <v>0</v>
      </c>
      <c r="AC52" s="26" t="str">
        <f t="shared" si="49"/>
        <v>0</v>
      </c>
      <c r="AD52" s="7" t="s">
        <v>69</v>
      </c>
      <c r="AE52" s="8" t="s">
        <v>66</v>
      </c>
      <c r="AF52" s="21" t="str">
        <f>MID(L50,3,1)</f>
        <v>0</v>
      </c>
      <c r="AG52" s="26" t="str">
        <f t="shared" si="50"/>
        <v>0</v>
      </c>
      <c r="AH52" s="7" t="s">
        <v>69</v>
      </c>
      <c r="AI52" s="322" t="s">
        <v>332</v>
      </c>
      <c r="AJ52" s="400"/>
      <c r="AK52" s="401"/>
    </row>
    <row r="53" spans="3:37" ht="15" thickBot="1" x14ac:dyDescent="0.35">
      <c r="C53" s="7"/>
      <c r="N53" s="8"/>
      <c r="P53" s="21" t="str">
        <f>MID(H50,4,1)</f>
        <v>0</v>
      </c>
      <c r="Q53" s="26" t="str">
        <f t="shared" si="46"/>
        <v>0</v>
      </c>
      <c r="R53" s="7" t="s">
        <v>70</v>
      </c>
      <c r="S53" s="8" t="s">
        <v>66</v>
      </c>
      <c r="T53" s="21" t="str">
        <f>MID(I50,4,1)</f>
        <v>0</v>
      </c>
      <c r="U53" s="26" t="str">
        <f t="shared" si="47"/>
        <v>0</v>
      </c>
      <c r="V53" s="7" t="s">
        <v>70</v>
      </c>
      <c r="W53" s="8" t="s">
        <v>66</v>
      </c>
      <c r="X53" s="21" t="str">
        <f>MID(J50,4,1)</f>
        <v>0</v>
      </c>
      <c r="Y53" s="26" t="str">
        <f t="shared" si="48"/>
        <v>0</v>
      </c>
      <c r="Z53" s="7" t="s">
        <v>70</v>
      </c>
      <c r="AA53" s="465" t="s">
        <v>1656</v>
      </c>
      <c r="AB53" s="21" t="str">
        <f>MID(K50,4,1)</f>
        <v>0</v>
      </c>
      <c r="AC53" s="26" t="str">
        <f t="shared" si="49"/>
        <v>0</v>
      </c>
      <c r="AD53" s="7" t="s">
        <v>70</v>
      </c>
      <c r="AE53" s="8" t="s">
        <v>66</v>
      </c>
      <c r="AF53" s="21" t="str">
        <f>MID(L50,4,1)</f>
        <v>0</v>
      </c>
      <c r="AG53" s="26" t="str">
        <f t="shared" si="50"/>
        <v>0</v>
      </c>
      <c r="AH53" s="7" t="s">
        <v>70</v>
      </c>
      <c r="AI53" s="465" t="s">
        <v>1657</v>
      </c>
      <c r="AJ53" s="400"/>
      <c r="AK53" s="401"/>
    </row>
    <row r="54" spans="3:37" x14ac:dyDescent="0.3">
      <c r="C54" s="7" t="s">
        <v>56</v>
      </c>
      <c r="D54" s="15" t="str">
        <f t="shared" ref="D54:G54" si="51">D49</f>
        <v>07</v>
      </c>
      <c r="E54" s="16" t="str">
        <f t="shared" si="51"/>
        <v>06</v>
      </c>
      <c r="F54" s="16" t="str">
        <f t="shared" si="51"/>
        <v>02</v>
      </c>
      <c r="G54" s="17" t="str">
        <f t="shared" si="51"/>
        <v>01</v>
      </c>
      <c r="H54" s="23" t="str">
        <f>BIN2HEX(H55,2)</f>
        <v>00</v>
      </c>
      <c r="I54" s="25" t="str">
        <f t="shared" ref="I54:L54" si="52">BIN2HEX(I55,2)</f>
        <v>00</v>
      </c>
      <c r="J54" s="24" t="str">
        <f t="shared" si="52"/>
        <v>00</v>
      </c>
      <c r="K54" s="2" t="str">
        <f t="shared" si="52"/>
        <v>00</v>
      </c>
      <c r="L54" s="18" t="str">
        <f t="shared" si="52"/>
        <v>00</v>
      </c>
      <c r="M54" s="3" t="str">
        <f>IF(LEN(M55)&gt;2,MID(M55,2,2),M55)</f>
        <v>10</v>
      </c>
      <c r="N54" s="8" t="s">
        <v>61</v>
      </c>
      <c r="P54" s="21" t="str">
        <f>MID(H50,5,1)</f>
        <v>0</v>
      </c>
      <c r="Q54" s="26" t="str">
        <f t="shared" si="46"/>
        <v>0</v>
      </c>
      <c r="R54" s="7" t="s">
        <v>71</v>
      </c>
      <c r="S54" s="497" t="s">
        <v>293</v>
      </c>
      <c r="T54" s="21" t="str">
        <f>MID(I50,5,1)</f>
        <v>0</v>
      </c>
      <c r="U54" s="26" t="str">
        <f t="shared" si="47"/>
        <v>0</v>
      </c>
      <c r="V54" s="7" t="s">
        <v>71</v>
      </c>
      <c r="W54" s="8" t="s">
        <v>66</v>
      </c>
      <c r="X54" s="21" t="str">
        <f>MID(J50,5,1)</f>
        <v>0</v>
      </c>
      <c r="Y54" s="26" t="str">
        <f t="shared" si="48"/>
        <v>0</v>
      </c>
      <c r="Z54" s="7" t="s">
        <v>71</v>
      </c>
      <c r="AA54" s="466"/>
      <c r="AB54" s="21" t="str">
        <f>MID(K50,5,1)</f>
        <v>0</v>
      </c>
      <c r="AC54" s="26" t="str">
        <f t="shared" si="49"/>
        <v>0</v>
      </c>
      <c r="AD54" s="7" t="s">
        <v>71</v>
      </c>
      <c r="AE54" s="8" t="s">
        <v>66</v>
      </c>
      <c r="AF54" s="21" t="str">
        <f>MID(L50,5,1)</f>
        <v>0</v>
      </c>
      <c r="AG54" s="26" t="str">
        <f t="shared" si="50"/>
        <v>0</v>
      </c>
      <c r="AH54" s="7" t="s">
        <v>71</v>
      </c>
      <c r="AI54" s="466"/>
      <c r="AJ54" s="400"/>
      <c r="AK54" s="401"/>
    </row>
    <row r="55" spans="3:37" x14ac:dyDescent="0.3">
      <c r="C55" s="7" t="s">
        <v>64</v>
      </c>
      <c r="D55" s="99" t="str">
        <f>HEX2BIN(D54,8)</f>
        <v>00000111</v>
      </c>
      <c r="E55" s="99" t="str">
        <f t="shared" ref="E55:G55" si="53">HEX2BIN(E54,8)</f>
        <v>00000110</v>
      </c>
      <c r="F55" s="99" t="str">
        <f t="shared" si="53"/>
        <v>00000010</v>
      </c>
      <c r="G55" s="99" t="str">
        <f t="shared" si="53"/>
        <v>00000001</v>
      </c>
      <c r="H55" s="29" t="str">
        <f>Q50&amp;Q51&amp;Q52&amp;Q53&amp;Q54&amp;Q55&amp;Q56&amp;Q57</f>
        <v>00000000</v>
      </c>
      <c r="I55" s="99" t="str">
        <f>U50&amp;U51&amp;U52&amp;U53&amp;U54&amp;U55&amp;U56&amp;U57</f>
        <v>00000000</v>
      </c>
      <c r="J55" s="29" t="str">
        <f>Y50&amp;Y51&amp;Y52&amp;Y53&amp;Y54&amp;Y55&amp;Y56&amp;Y57</f>
        <v>00000000</v>
      </c>
      <c r="K55" s="29" t="str">
        <f>AC50&amp;AC51&amp;AC52&amp;AC53&amp;AC54&amp;AC55&amp;AC56&amp;AC57</f>
        <v>00000000</v>
      </c>
      <c r="L55" s="99" t="str">
        <f>AG50&amp;AG51&amp;AG52&amp;AG53&amp;AG54&amp;AG55&amp;AG56&amp;AG57</f>
        <v>00000000</v>
      </c>
      <c r="M55" s="99" t="str">
        <f>DEC2HEX(M56)</f>
        <v>10</v>
      </c>
      <c r="N55" s="8"/>
      <c r="P55" s="21" t="str">
        <f>MID(H50,6,1)</f>
        <v>0</v>
      </c>
      <c r="Q55" s="26" t="str">
        <f t="shared" si="46"/>
        <v>0</v>
      </c>
      <c r="R55" s="7" t="s">
        <v>72</v>
      </c>
      <c r="S55" s="498"/>
      <c r="T55" s="21" t="str">
        <f>MID(I50,6,1)</f>
        <v>0</v>
      </c>
      <c r="U55" s="26" t="str">
        <f t="shared" si="47"/>
        <v>0</v>
      </c>
      <c r="V55" s="7" t="s">
        <v>72</v>
      </c>
      <c r="W55" s="8" t="s">
        <v>66</v>
      </c>
      <c r="X55" s="21" t="str">
        <f>MID(J50,6,1)</f>
        <v>0</v>
      </c>
      <c r="Y55" s="26" t="str">
        <f t="shared" si="48"/>
        <v>0</v>
      </c>
      <c r="Z55" s="7" t="s">
        <v>72</v>
      </c>
      <c r="AA55" s="8" t="s">
        <v>66</v>
      </c>
      <c r="AB55" s="21" t="str">
        <f>MID(K50,6,1)</f>
        <v>0</v>
      </c>
      <c r="AC55" s="26" t="str">
        <f t="shared" si="49"/>
        <v>0</v>
      </c>
      <c r="AD55" s="7" t="s">
        <v>72</v>
      </c>
      <c r="AE55" s="8" t="s">
        <v>66</v>
      </c>
      <c r="AF55" s="21" t="str">
        <f>MID(L50,6,1)</f>
        <v>0</v>
      </c>
      <c r="AG55" s="26" t="str">
        <f t="shared" si="50"/>
        <v>0</v>
      </c>
      <c r="AH55" s="7" t="s">
        <v>72</v>
      </c>
      <c r="AI55" s="101" t="s">
        <v>292</v>
      </c>
      <c r="AJ55" s="400"/>
      <c r="AK55" s="401"/>
    </row>
    <row r="56" spans="3:37" x14ac:dyDescent="0.3">
      <c r="C56" s="7" t="s">
        <v>67</v>
      </c>
      <c r="D56" s="99">
        <f>HEX2DEC(D54)</f>
        <v>7</v>
      </c>
      <c r="E56" s="99">
        <f t="shared" ref="E56:L56" si="54">HEX2DEC(E54)</f>
        <v>6</v>
      </c>
      <c r="F56" s="99">
        <f t="shared" si="54"/>
        <v>2</v>
      </c>
      <c r="G56" s="99">
        <f t="shared" si="54"/>
        <v>1</v>
      </c>
      <c r="H56" s="99">
        <f t="shared" si="54"/>
        <v>0</v>
      </c>
      <c r="I56" s="99">
        <f t="shared" si="54"/>
        <v>0</v>
      </c>
      <c r="J56" s="99">
        <f t="shared" si="54"/>
        <v>0</v>
      </c>
      <c r="K56" s="99">
        <f t="shared" si="54"/>
        <v>0</v>
      </c>
      <c r="L56" s="99">
        <f t="shared" si="54"/>
        <v>0</v>
      </c>
      <c r="M56" s="99">
        <f>SUM(D56:L56)</f>
        <v>16</v>
      </c>
      <c r="N56" s="8"/>
      <c r="P56" s="21" t="str">
        <f>MID(H50,7,1)</f>
        <v>0</v>
      </c>
      <c r="Q56" s="26" t="str">
        <f t="shared" si="46"/>
        <v>0</v>
      </c>
      <c r="R56" s="7" t="s">
        <v>73</v>
      </c>
      <c r="S56" s="8" t="s">
        <v>66</v>
      </c>
      <c r="T56" s="21" t="str">
        <f>MID(I50,7,1)</f>
        <v>0</v>
      </c>
      <c r="U56" s="26" t="str">
        <f t="shared" si="47"/>
        <v>0</v>
      </c>
      <c r="V56" s="7" t="s">
        <v>73</v>
      </c>
      <c r="W56" s="8" t="s">
        <v>66</v>
      </c>
      <c r="X56" s="21" t="str">
        <f>MID(J50,7,1)</f>
        <v>0</v>
      </c>
      <c r="Y56" s="26" t="str">
        <f t="shared" si="48"/>
        <v>0</v>
      </c>
      <c r="Z56" s="7" t="s">
        <v>73</v>
      </c>
      <c r="AA56" s="8" t="s">
        <v>66</v>
      </c>
      <c r="AB56" s="21" t="str">
        <f>MID(K50,7,1)</f>
        <v>0</v>
      </c>
      <c r="AC56" s="26" t="str">
        <f t="shared" si="49"/>
        <v>0</v>
      </c>
      <c r="AD56" s="7" t="s">
        <v>73</v>
      </c>
      <c r="AE56" s="8" t="s">
        <v>66</v>
      </c>
      <c r="AF56" s="21" t="str">
        <f>MID(L50,7,1)</f>
        <v>0</v>
      </c>
      <c r="AG56" s="26" t="str">
        <f t="shared" si="50"/>
        <v>0</v>
      </c>
      <c r="AH56" s="7" t="s">
        <v>73</v>
      </c>
      <c r="AI56" s="8" t="s">
        <v>66</v>
      </c>
      <c r="AJ56" s="400"/>
      <c r="AK56" s="401"/>
    </row>
    <row r="57" spans="3:37" ht="15" thickBot="1" x14ac:dyDescent="0.35">
      <c r="C57" s="9" t="s">
        <v>1678</v>
      </c>
      <c r="D57" s="334" t="str">
        <f>D52</f>
        <v>07</v>
      </c>
      <c r="E57" s="334" t="str">
        <f t="shared" ref="E57:G57" si="55">E52</f>
        <v>06</v>
      </c>
      <c r="F57" s="334" t="str">
        <f t="shared" si="55"/>
        <v>G2</v>
      </c>
      <c r="G57" s="334" t="str">
        <f t="shared" si="55"/>
        <v>G1</v>
      </c>
      <c r="H57" s="10"/>
      <c r="I57" s="10"/>
      <c r="J57" s="10"/>
      <c r="K57" s="10"/>
      <c r="L57" s="10"/>
      <c r="M57" s="10"/>
      <c r="N57" s="11"/>
      <c r="P57" s="22" t="str">
        <f>MID(H50,8,1)</f>
        <v>0</v>
      </c>
      <c r="Q57" s="26" t="str">
        <f t="shared" si="46"/>
        <v>0</v>
      </c>
      <c r="R57" s="9" t="s">
        <v>74</v>
      </c>
      <c r="S57" s="11" t="s">
        <v>66</v>
      </c>
      <c r="T57" s="22" t="str">
        <f>MID(I50,8,1)</f>
        <v>0</v>
      </c>
      <c r="U57" s="26" t="str">
        <f t="shared" si="47"/>
        <v>0</v>
      </c>
      <c r="V57" s="9" t="s">
        <v>74</v>
      </c>
      <c r="W57" s="11" t="s">
        <v>66</v>
      </c>
      <c r="X57" s="22" t="str">
        <f>MID(J50,8,1)</f>
        <v>0</v>
      </c>
      <c r="Y57" s="26" t="str">
        <f t="shared" si="48"/>
        <v>0</v>
      </c>
      <c r="Z57" s="9" t="s">
        <v>74</v>
      </c>
      <c r="AA57" s="11" t="s">
        <v>66</v>
      </c>
      <c r="AB57" s="22" t="str">
        <f>MID(K50,8,1)</f>
        <v>0</v>
      </c>
      <c r="AC57" s="26" t="str">
        <f t="shared" si="49"/>
        <v>0</v>
      </c>
      <c r="AD57" s="9" t="s">
        <v>74</v>
      </c>
      <c r="AE57" s="11" t="s">
        <v>66</v>
      </c>
      <c r="AF57" s="22" t="str">
        <f>MID(L50,8,1)</f>
        <v>0</v>
      </c>
      <c r="AG57" s="26" t="str">
        <f t="shared" si="50"/>
        <v>0</v>
      </c>
      <c r="AH57" s="9" t="s">
        <v>74</v>
      </c>
      <c r="AI57" s="11" t="s">
        <v>66</v>
      </c>
      <c r="AJ57" s="402"/>
      <c r="AK57" s="404"/>
    </row>
    <row r="58" spans="3:37" ht="15" thickBot="1" x14ac:dyDescent="0.35">
      <c r="C58" s="4"/>
      <c r="D58" s="5"/>
      <c r="E58" s="5"/>
      <c r="F58" s="5"/>
      <c r="G58" s="5"/>
      <c r="H58" s="5"/>
      <c r="I58" s="5" t="s">
        <v>41</v>
      </c>
      <c r="J58" s="5"/>
      <c r="K58" s="5"/>
      <c r="L58" s="5"/>
      <c r="N58" s="6"/>
      <c r="P58" s="392" t="s">
        <v>1502</v>
      </c>
      <c r="Q58" s="392"/>
      <c r="R58" s="392"/>
      <c r="S58" s="392"/>
      <c r="T58" s="392"/>
      <c r="U58" s="392"/>
      <c r="V58" s="392"/>
      <c r="W58" s="392"/>
      <c r="X58" s="392"/>
      <c r="Y58" s="392"/>
      <c r="Z58" s="392"/>
      <c r="AA58" s="392"/>
      <c r="AB58" s="392"/>
      <c r="AC58" s="392"/>
      <c r="AD58" s="392"/>
      <c r="AE58" s="392"/>
      <c r="AF58" s="392"/>
      <c r="AG58" s="392"/>
      <c r="AH58" s="392"/>
      <c r="AI58" s="392"/>
      <c r="AJ58" s="392"/>
      <c r="AK58" s="392"/>
    </row>
    <row r="59" spans="3:37" ht="15" thickBot="1" x14ac:dyDescent="0.35">
      <c r="C59" s="7"/>
      <c r="D59" s="393" t="s">
        <v>1503</v>
      </c>
      <c r="E59" s="393"/>
      <c r="F59" s="393"/>
      <c r="G59" s="393"/>
      <c r="H59" s="99" t="s">
        <v>44</v>
      </c>
      <c r="I59" s="99" t="s">
        <v>45</v>
      </c>
      <c r="J59" s="99"/>
      <c r="K59" s="99"/>
      <c r="L59" s="99"/>
      <c r="M59" s="99"/>
      <c r="N59" s="8"/>
      <c r="P59" s="394" t="s">
        <v>50</v>
      </c>
      <c r="Q59" s="395"/>
      <c r="R59" s="395"/>
      <c r="S59" s="396"/>
      <c r="T59" s="499" t="s">
        <v>107</v>
      </c>
      <c r="U59" s="407"/>
      <c r="V59" s="407"/>
      <c r="W59" s="408"/>
    </row>
    <row r="60" spans="3:37" ht="15" thickBot="1" x14ac:dyDescent="0.35">
      <c r="C60" s="7" t="s">
        <v>56</v>
      </c>
      <c r="D60" s="12" t="s">
        <v>57</v>
      </c>
      <c r="E60" s="13" t="s">
        <v>227</v>
      </c>
      <c r="F60" s="13" t="s">
        <v>77</v>
      </c>
      <c r="G60" s="14" t="s">
        <v>77</v>
      </c>
      <c r="H60" s="321" t="str">
        <f>MID($A$10,8,2)</f>
        <v>00</v>
      </c>
      <c r="I60" s="319" t="str">
        <f>MID($A$10,10,2)</f>
        <v>11</v>
      </c>
      <c r="N60" s="8" t="s">
        <v>60</v>
      </c>
      <c r="P60" s="19" t="s">
        <v>60</v>
      </c>
      <c r="Q60" s="20" t="s">
        <v>61</v>
      </c>
      <c r="R60" t="s">
        <v>62</v>
      </c>
      <c r="S60" s="8"/>
      <c r="T60" s="394"/>
      <c r="U60" s="395"/>
      <c r="V60" s="395"/>
      <c r="W60" s="396"/>
    </row>
    <row r="61" spans="3:37" ht="15" customHeight="1" x14ac:dyDescent="0.3">
      <c r="C61" s="7" t="s">
        <v>64</v>
      </c>
      <c r="D61" s="99" t="str">
        <f>HEX2BIN(D60,8)</f>
        <v>00000111</v>
      </c>
      <c r="E61" s="99" t="str">
        <f t="shared" ref="E61:H61" si="56">HEX2BIN(E60,8)</f>
        <v>00000110</v>
      </c>
      <c r="F61" s="99" t="str">
        <f t="shared" si="56"/>
        <v>00000010</v>
      </c>
      <c r="G61" s="99" t="str">
        <f t="shared" si="56"/>
        <v>00000010</v>
      </c>
      <c r="H61" s="99" t="str">
        <f t="shared" si="56"/>
        <v>00000000</v>
      </c>
      <c r="I61" s="99"/>
      <c r="N61" s="8"/>
      <c r="P61" s="21" t="str">
        <f>MID(H61,1,1)</f>
        <v>0</v>
      </c>
      <c r="Q61" s="26" t="str">
        <f>P61</f>
        <v>0</v>
      </c>
      <c r="R61" s="7" t="s">
        <v>65</v>
      </c>
      <c r="S61" s="8" t="s">
        <v>66</v>
      </c>
      <c r="T61" s="400"/>
      <c r="U61" s="381"/>
      <c r="V61" s="381"/>
      <c r="W61" s="401"/>
    </row>
    <row r="62" spans="3:37" x14ac:dyDescent="0.3">
      <c r="C62" s="7" t="s">
        <v>67</v>
      </c>
      <c r="D62" s="99">
        <f>HEX2DEC(D60)</f>
        <v>7</v>
      </c>
      <c r="E62" s="99">
        <f t="shared" ref="E62:H62" si="57">HEX2DEC(E60)</f>
        <v>6</v>
      </c>
      <c r="F62" s="99">
        <f t="shared" si="57"/>
        <v>2</v>
      </c>
      <c r="G62" s="99">
        <f t="shared" si="57"/>
        <v>2</v>
      </c>
      <c r="H62" s="99">
        <f t="shared" si="57"/>
        <v>0</v>
      </c>
      <c r="I62" s="99">
        <f>SUM(D62:H62)</f>
        <v>17</v>
      </c>
      <c r="N62" s="8"/>
      <c r="P62" s="21" t="str">
        <f>MID(H61,2,1)</f>
        <v>0</v>
      </c>
      <c r="Q62" s="26" t="str">
        <f t="shared" ref="Q62:Q68" si="58">P62</f>
        <v>0</v>
      </c>
      <c r="R62" s="7" t="s">
        <v>68</v>
      </c>
      <c r="S62" s="8" t="s">
        <v>66</v>
      </c>
      <c r="T62" s="400"/>
      <c r="U62" s="381"/>
      <c r="V62" s="381"/>
      <c r="W62" s="401"/>
    </row>
    <row r="63" spans="3:37" x14ac:dyDescent="0.3">
      <c r="C63" s="7" t="s">
        <v>1678</v>
      </c>
      <c r="D63" s="333" t="str">
        <f>D60</f>
        <v>07</v>
      </c>
      <c r="E63" s="333" t="str">
        <f>E60</f>
        <v>06</v>
      </c>
      <c r="F63" s="99" t="str">
        <f>MID($A$10,4,2)</f>
        <v>G2</v>
      </c>
      <c r="G63" s="99" t="str">
        <f>MID($A$10,6,2)</f>
        <v>G2</v>
      </c>
      <c r="N63" s="8"/>
      <c r="P63" s="21" t="str">
        <f>MID(H61,3,1)</f>
        <v>0</v>
      </c>
      <c r="Q63" s="26" t="str">
        <f t="shared" si="58"/>
        <v>0</v>
      </c>
      <c r="R63" s="7" t="s">
        <v>69</v>
      </c>
      <c r="S63" s="8" t="s">
        <v>66</v>
      </c>
      <c r="T63" s="400"/>
      <c r="U63" s="381"/>
      <c r="V63" s="381"/>
      <c r="W63" s="401"/>
    </row>
    <row r="64" spans="3:37" ht="15.75" customHeight="1" thickBot="1" x14ac:dyDescent="0.35">
      <c r="C64" s="7"/>
      <c r="N64" s="8"/>
      <c r="P64" s="21" t="str">
        <f>MID(H61,4,1)</f>
        <v>0</v>
      </c>
      <c r="Q64" s="26" t="str">
        <f t="shared" si="58"/>
        <v>0</v>
      </c>
      <c r="R64" s="7" t="s">
        <v>70</v>
      </c>
      <c r="S64" s="8" t="s">
        <v>66</v>
      </c>
      <c r="T64" s="400"/>
      <c r="U64" s="381"/>
      <c r="V64" s="381"/>
      <c r="W64" s="401"/>
    </row>
    <row r="65" spans="3:23" ht="15.75" customHeight="1" thickBot="1" x14ac:dyDescent="0.35">
      <c r="C65" s="7" t="s">
        <v>56</v>
      </c>
      <c r="D65" s="15" t="str">
        <f t="shared" ref="D65:G65" si="59">D60</f>
        <v>07</v>
      </c>
      <c r="E65" s="16" t="str">
        <f t="shared" si="59"/>
        <v>06</v>
      </c>
      <c r="F65" s="16" t="str">
        <f t="shared" si="59"/>
        <v>02</v>
      </c>
      <c r="G65" s="17" t="str">
        <f t="shared" si="59"/>
        <v>02</v>
      </c>
      <c r="H65" s="23" t="str">
        <f>BIN2HEX(H66,2)</f>
        <v>00</v>
      </c>
      <c r="I65" s="312" t="str">
        <f>IF(LEN(I66)&gt;2,MID(I66,2,2),I66)</f>
        <v>11</v>
      </c>
      <c r="N65" s="8" t="s">
        <v>61</v>
      </c>
      <c r="P65" s="21" t="str">
        <f>MID(H61,5,1)</f>
        <v>0</v>
      </c>
      <c r="Q65" s="26" t="str">
        <f t="shared" si="58"/>
        <v>0</v>
      </c>
      <c r="R65" s="7" t="s">
        <v>71</v>
      </c>
      <c r="S65" s="8" t="s">
        <v>66</v>
      </c>
      <c r="T65" s="400"/>
      <c r="U65" s="381"/>
      <c r="V65" s="381"/>
      <c r="W65" s="401"/>
    </row>
    <row r="66" spans="3:23" x14ac:dyDescent="0.3">
      <c r="C66" s="7" t="s">
        <v>64</v>
      </c>
      <c r="D66" s="99" t="str">
        <f>HEX2BIN(D65,8)</f>
        <v>00000111</v>
      </c>
      <c r="E66" s="99" t="str">
        <f t="shared" ref="E66:G66" si="60">HEX2BIN(E65,8)</f>
        <v>00000110</v>
      </c>
      <c r="F66" s="99" t="str">
        <f t="shared" si="60"/>
        <v>00000010</v>
      </c>
      <c r="G66" s="99" t="str">
        <f t="shared" si="60"/>
        <v>00000010</v>
      </c>
      <c r="H66" s="29" t="str">
        <f>Q61&amp;Q62&amp;Q63&amp;Q64&amp;Q65&amp;Q66&amp;Q67&amp;Q68</f>
        <v>00000000</v>
      </c>
      <c r="I66" s="99" t="str">
        <f>DEC2HEX(I67)</f>
        <v>11</v>
      </c>
      <c r="N66" s="8"/>
      <c r="P66" s="21" t="str">
        <f>MID(H61,6,1)</f>
        <v>0</v>
      </c>
      <c r="Q66" s="26" t="str">
        <f t="shared" si="58"/>
        <v>0</v>
      </c>
      <c r="R66" s="7" t="s">
        <v>72</v>
      </c>
      <c r="S66" s="8" t="s">
        <v>66</v>
      </c>
      <c r="T66" s="400"/>
      <c r="U66" s="381"/>
      <c r="V66" s="381"/>
      <c r="W66" s="401"/>
    </row>
    <row r="67" spans="3:23" x14ac:dyDescent="0.3">
      <c r="C67" s="7" t="s">
        <v>67</v>
      </c>
      <c r="D67" s="99">
        <f>HEX2DEC(D65)</f>
        <v>7</v>
      </c>
      <c r="E67" s="99">
        <f t="shared" ref="E67:H67" si="61">HEX2DEC(E65)</f>
        <v>6</v>
      </c>
      <c r="F67" s="99">
        <f t="shared" si="61"/>
        <v>2</v>
      </c>
      <c r="G67" s="99">
        <f t="shared" si="61"/>
        <v>2</v>
      </c>
      <c r="H67" s="99">
        <f t="shared" si="61"/>
        <v>0</v>
      </c>
      <c r="I67" s="99">
        <f>SUM(D67:H67)</f>
        <v>17</v>
      </c>
      <c r="J67" s="99"/>
      <c r="K67" s="99"/>
      <c r="L67" s="99"/>
      <c r="M67" s="99"/>
      <c r="N67" s="8"/>
      <c r="P67" s="21" t="str">
        <f>MID(H61,7,1)</f>
        <v>0</v>
      </c>
      <c r="Q67" s="26" t="str">
        <f t="shared" si="58"/>
        <v>0</v>
      </c>
      <c r="R67" s="7" t="s">
        <v>73</v>
      </c>
      <c r="S67" s="8" t="s">
        <v>66</v>
      </c>
      <c r="T67" s="400"/>
      <c r="U67" s="381"/>
      <c r="V67" s="381"/>
      <c r="W67" s="401"/>
    </row>
    <row r="68" spans="3:23" ht="15" thickBot="1" x14ac:dyDescent="0.35">
      <c r="C68" s="9" t="s">
        <v>1678</v>
      </c>
      <c r="D68" s="334" t="str">
        <f>D63</f>
        <v>07</v>
      </c>
      <c r="E68" s="334" t="str">
        <f t="shared" ref="E68:G68" si="62">E63</f>
        <v>06</v>
      </c>
      <c r="F68" s="334" t="str">
        <f t="shared" si="62"/>
        <v>G2</v>
      </c>
      <c r="G68" s="334" t="str">
        <f t="shared" si="62"/>
        <v>G2</v>
      </c>
      <c r="H68" s="10"/>
      <c r="I68" s="10"/>
      <c r="J68" s="10"/>
      <c r="K68" s="10"/>
      <c r="L68" s="10"/>
      <c r="M68" s="10"/>
      <c r="N68" s="11"/>
      <c r="P68" s="22" t="str">
        <f>MID(H61,8,1)</f>
        <v>0</v>
      </c>
      <c r="Q68" s="26" t="str">
        <f t="shared" si="58"/>
        <v>0</v>
      </c>
      <c r="R68" s="9" t="s">
        <v>74</v>
      </c>
      <c r="S68" s="11" t="s">
        <v>66</v>
      </c>
      <c r="T68" s="402"/>
      <c r="U68" s="403"/>
      <c r="V68" s="403"/>
      <c r="W68" s="404"/>
    </row>
  </sheetData>
  <mergeCells count="64">
    <mergeCell ref="T60:W68"/>
    <mergeCell ref="P58:AK58"/>
    <mergeCell ref="D59:G59"/>
    <mergeCell ref="P59:S59"/>
    <mergeCell ref="T59:W59"/>
    <mergeCell ref="A1:B1"/>
    <mergeCell ref="AA53:AA54"/>
    <mergeCell ref="AI53:AI54"/>
    <mergeCell ref="S54:S55"/>
    <mergeCell ref="X38:AA46"/>
    <mergeCell ref="P47:AK47"/>
    <mergeCell ref="AF48:AI48"/>
    <mergeCell ref="AJ48:AK48"/>
    <mergeCell ref="AJ49:AK57"/>
    <mergeCell ref="AJ27:AK35"/>
    <mergeCell ref="P36:AK36"/>
    <mergeCell ref="D37:G37"/>
    <mergeCell ref="P37:S37"/>
    <mergeCell ref="T37:W37"/>
    <mergeCell ref="X37:AA37"/>
    <mergeCell ref="W50:W51"/>
    <mergeCell ref="AA50:AA51"/>
    <mergeCell ref="D48:G48"/>
    <mergeCell ref="P48:S48"/>
    <mergeCell ref="T48:W48"/>
    <mergeCell ref="X48:AA48"/>
    <mergeCell ref="AB48:AE48"/>
    <mergeCell ref="AF26:AI26"/>
    <mergeCell ref="AJ26:AK26"/>
    <mergeCell ref="P15:S15"/>
    <mergeCell ref="T15:W15"/>
    <mergeCell ref="X15:AA15"/>
    <mergeCell ref="AB15:AE15"/>
    <mergeCell ref="AF15:AI15"/>
    <mergeCell ref="W28:W33"/>
    <mergeCell ref="S28:S32"/>
    <mergeCell ref="D26:G26"/>
    <mergeCell ref="P26:S26"/>
    <mergeCell ref="T26:W26"/>
    <mergeCell ref="X26:AA26"/>
    <mergeCell ref="AB26:AE26"/>
    <mergeCell ref="D15:G15"/>
    <mergeCell ref="AJ15:AK15"/>
    <mergeCell ref="S10:S11"/>
    <mergeCell ref="AJ16:AK24"/>
    <mergeCell ref="P25:AK25"/>
    <mergeCell ref="W17:W24"/>
    <mergeCell ref="AI19:AI20"/>
    <mergeCell ref="AI7:AI9"/>
    <mergeCell ref="S33:S35"/>
    <mergeCell ref="W34:W35"/>
    <mergeCell ref="C1:AK1"/>
    <mergeCell ref="C2:E2"/>
    <mergeCell ref="P3:AK3"/>
    <mergeCell ref="D4:G4"/>
    <mergeCell ref="P4:S4"/>
    <mergeCell ref="T4:W4"/>
    <mergeCell ref="X4:AA4"/>
    <mergeCell ref="AB4:AE4"/>
    <mergeCell ref="AF4:AI4"/>
    <mergeCell ref="AJ4:AK4"/>
    <mergeCell ref="AJ5:AK13"/>
    <mergeCell ref="S7:S8"/>
    <mergeCell ref="P14:AK14"/>
  </mergeCells>
  <conditionalFormatting sqref="B3:B10">
    <cfRule type="expression" dxfId="270" priority="1">
      <formula>IF(A3&lt;&gt;B3,1,0)</formula>
    </cfRule>
    <cfRule type="containsText" dxfId="269" priority="2" operator="containsText" text=";Block">
      <formula>NOT(ISERROR(SEARCH(";Block",B3)))</formula>
    </cfRule>
    <cfRule type="beginsWith" dxfId="268" priority="3" operator="beginsWith" text="70601">
      <formula>LEFT(B3,LEN("70601"))="70601"</formula>
    </cfRule>
    <cfRule type="beginsWith" dxfId="267" priority="4" operator="beginsWith" text="706G1">
      <formula>LEFT(B3,LEN("706G1"))="706G1"</formula>
    </cfRule>
    <cfRule type="beginsWith" dxfId="266" priority="5" operator="beginsWith" text="70602">
      <formula>LEFT(B3,LEN("70602"))="70602"</formula>
    </cfRule>
    <cfRule type="beginsWith" dxfId="265" priority="6" operator="beginsWith" text="706G2">
      <formula>LEFT(B3,LEN("706G2"))="706G2"</formula>
    </cfRule>
  </conditionalFormatting>
  <conditionalFormatting sqref="Q6:Q13 U50:U51 Y50:Y51 AC50:AC51 AG50:AG51">
    <cfRule type="expression" dxfId="264" priority="34">
      <formula>Q6:Q13&lt;&gt;P6:P13</formula>
    </cfRule>
  </conditionalFormatting>
  <conditionalFormatting sqref="Q17:Q24">
    <cfRule type="expression" dxfId="263" priority="29">
      <formula>Q17:Q24&lt;&gt;P17:P24</formula>
    </cfRule>
  </conditionalFormatting>
  <conditionalFormatting sqref="Q28:Q35">
    <cfRule type="expression" dxfId="262" priority="24">
      <formula>Q28:Q35&lt;&gt;P28:P35</formula>
    </cfRule>
  </conditionalFormatting>
  <conditionalFormatting sqref="Q39:Q46">
    <cfRule type="expression" dxfId="261" priority="19">
      <formula>Q39:Q46&lt;&gt;P39:P46</formula>
    </cfRule>
  </conditionalFormatting>
  <conditionalFormatting sqref="Q50:Q57">
    <cfRule type="expression" dxfId="260" priority="17">
      <formula>Q50:Q57&lt;&gt;P50:P57</formula>
    </cfRule>
  </conditionalFormatting>
  <conditionalFormatting sqref="Q61:Q68">
    <cfRule type="expression" dxfId="259" priority="11">
      <formula>Q61:Q68&lt;&gt;P61:P68</formula>
    </cfRule>
  </conditionalFormatting>
  <conditionalFormatting sqref="U6:U13">
    <cfRule type="expression" dxfId="258" priority="33">
      <formula>U6:U13&lt;&gt;T6:T13</formula>
    </cfRule>
  </conditionalFormatting>
  <conditionalFormatting sqref="U17:U24">
    <cfRule type="expression" dxfId="257" priority="28">
      <formula>U17:U24&lt;&gt;T17:T24</formula>
    </cfRule>
  </conditionalFormatting>
  <conditionalFormatting sqref="U28:U35">
    <cfRule type="expression" dxfId="256" priority="23">
      <formula>U28:U35&lt;&gt;T28:T35</formula>
    </cfRule>
  </conditionalFormatting>
  <conditionalFormatting sqref="U39:U46">
    <cfRule type="expression" dxfId="255" priority="18">
      <formula>U39:U46&lt;&gt;T39:T46</formula>
    </cfRule>
  </conditionalFormatting>
  <conditionalFormatting sqref="U52:U57 Y52:Y57 AC52:AC57 AG52:AG57">
    <cfRule type="expression" dxfId="254" priority="496">
      <formula>U52:U58&lt;&gt;T52:T58</formula>
    </cfRule>
  </conditionalFormatting>
  <conditionalFormatting sqref="Y6:Y13">
    <cfRule type="expression" dxfId="253" priority="32">
      <formula>Y6:Y13&lt;&gt;X6:X13</formula>
    </cfRule>
  </conditionalFormatting>
  <conditionalFormatting sqref="Y17:Y24">
    <cfRule type="expression" dxfId="252" priority="27">
      <formula>Y17:Y24&lt;&gt;X17:X24</formula>
    </cfRule>
  </conditionalFormatting>
  <conditionalFormatting sqref="Y28:Y35">
    <cfRule type="expression" dxfId="251" priority="22">
      <formula>Y28:Y35&lt;&gt;X28:X35</formula>
    </cfRule>
  </conditionalFormatting>
  <conditionalFormatting sqref="AC6:AC13">
    <cfRule type="expression" dxfId="250" priority="31">
      <formula>AC6:AC13&lt;&gt;AB6:AB13</formula>
    </cfRule>
  </conditionalFormatting>
  <conditionalFormatting sqref="AC17:AC24">
    <cfRule type="expression" dxfId="249" priority="26">
      <formula>AC17:AC24&lt;&gt;AB17:AB24</formula>
    </cfRule>
  </conditionalFormatting>
  <conditionalFormatting sqref="AC28:AC35">
    <cfRule type="expression" dxfId="248" priority="21">
      <formula>AC28:AC35&lt;&gt;AB28:AB35</formula>
    </cfRule>
  </conditionalFormatting>
  <conditionalFormatting sqref="AG6:AG13">
    <cfRule type="expression" dxfId="247" priority="30">
      <formula>AG6:AG13&lt;&gt;AF6:AF13</formula>
    </cfRule>
  </conditionalFormatting>
  <conditionalFormatting sqref="AG17:AG24">
    <cfRule type="expression" dxfId="246" priority="25">
      <formula>AG17:AG24&lt;&gt;AF17:AF24</formula>
    </cfRule>
  </conditionalFormatting>
  <conditionalFormatting sqref="AG28:AG35">
    <cfRule type="expression" dxfId="245" priority="20">
      <formula>AG28:AG35&lt;&gt;AF28:AF35</formula>
    </cfRule>
  </conditionalFormatting>
  <dataValidations count="1">
    <dataValidation type="whole" allowBlank="1" showInputMessage="1" showErrorMessage="1" errorTitle="Wrong Value" error="This is a Binary value, which can be either 0 or 1." sqref="AG6:AG13 U39:U46 Y17:Y24 AC17:AC24 Q6:Q13 Q28:Q35 U17:U24 AG17:AG24 AC6:AC13 Q17:Q24 U6:U13 Q39:Q46 Y6:Y13 Y28:Y35 AC28:AC35 U28:U35 AG28:AG35 AG50:AG57 Q50:Q57 U50:U57 Y50:Y57 AC50:AC57 Q61:Q68" xr:uid="{00000000-0002-0000-0800-000000000000}">
      <formula1>0</formula1>
      <formula2>1</formula2>
    </dataValidation>
  </dataValidations>
  <hyperlinks>
    <hyperlink ref="C1" r:id="rId1" xr:uid="{00000000-0004-0000-0800-000000000000}"/>
  </hyperlinks>
  <pageMargins left="0.7" right="0.7" top="0.75" bottom="0.75" header="0.3" footer="0.3"/>
  <pageSetup orientation="portrait"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10AD3-E545-40EC-B4BD-AAB46AADA635}">
  <dimension ref="A1:KT700"/>
  <sheetViews>
    <sheetView zoomScaleNormal="100" workbookViewId="0">
      <pane ySplit="1" topLeftCell="A2" activePane="bottomLeft" state="frozen"/>
      <selection pane="bottomLeft" activeCell="A3" sqref="A3"/>
    </sheetView>
  </sheetViews>
  <sheetFormatPr defaultColWidth="0" defaultRowHeight="14.4" zeroHeight="1" x14ac:dyDescent="0.3"/>
  <cols>
    <col min="1" max="2" width="21.109375" bestFit="1" customWidth="1"/>
    <col min="3" max="3" width="4.5546875" customWidth="1"/>
    <col min="4" max="13" width="9.109375" customWidth="1"/>
    <col min="14" max="14" width="5.6640625" customWidth="1"/>
    <col min="15" max="15" width="1.6640625" customWidth="1"/>
    <col min="16" max="16" width="5.44140625" customWidth="1"/>
    <col min="17" max="17" width="5.33203125" customWidth="1"/>
    <col min="18" max="18" width="3.44140625" customWidth="1"/>
    <col min="19" max="19" width="20.109375" customWidth="1"/>
    <col min="20" max="20" width="5.44140625" customWidth="1"/>
    <col min="21" max="21" width="5.33203125" customWidth="1"/>
    <col min="22" max="22" width="3.44140625" customWidth="1"/>
    <col min="23" max="23" width="20.44140625" customWidth="1"/>
    <col min="24" max="24" width="5.44140625" customWidth="1"/>
    <col min="25" max="25" width="5.33203125" customWidth="1"/>
    <col min="26" max="26" width="3.44140625" customWidth="1"/>
    <col min="27" max="27" width="20.5546875" customWidth="1"/>
    <col min="28" max="28" width="5.44140625" customWidth="1"/>
    <col min="29" max="29" width="5.33203125" customWidth="1"/>
    <col min="30" max="30" width="3.44140625" customWidth="1"/>
    <col min="31" max="31" width="20.44140625" customWidth="1"/>
    <col min="32" max="32" width="5.44140625" customWidth="1"/>
    <col min="33" max="33" width="5.33203125" customWidth="1"/>
    <col min="34" max="34" width="3.44140625" customWidth="1"/>
    <col min="35" max="35" width="20" customWidth="1"/>
    <col min="36" max="37" width="9.109375" customWidth="1"/>
    <col min="38" max="38" width="12.5546875" customWidth="1"/>
    <col min="39" max="39" width="12.5546875" bestFit="1" customWidth="1"/>
    <col min="40" max="40" width="9.109375" style="35" customWidth="1"/>
    <col min="41" max="41" width="21.88671875" hidden="1" customWidth="1"/>
    <col min="42" max="42" width="12.109375" hidden="1" customWidth="1"/>
    <col min="43" max="306" width="0" hidden="1" customWidth="1"/>
    <col min="307" max="16384" width="9.109375" hidden="1"/>
  </cols>
  <sheetData>
    <row r="1" spans="1:306" ht="15" thickBot="1" x14ac:dyDescent="0.35">
      <c r="A1" s="398" t="s">
        <v>1240</v>
      </c>
      <c r="B1" s="399"/>
      <c r="C1" t="s">
        <v>56</v>
      </c>
      <c r="D1" s="12" t="str">
        <f t="shared" ref="D1:M1" si="0">D120</f>
        <v>07</v>
      </c>
      <c r="E1" s="16" t="str">
        <f t="shared" si="0"/>
        <v>20</v>
      </c>
      <c r="F1" s="37" t="str">
        <f t="shared" si="0"/>
        <v>04</v>
      </c>
      <c r="G1" s="40" t="str">
        <f t="shared" si="0"/>
        <v>01</v>
      </c>
      <c r="H1" s="39" t="str">
        <f t="shared" si="0"/>
        <v>00</v>
      </c>
      <c r="I1" s="38" t="str">
        <f t="shared" si="0"/>
        <v>00</v>
      </c>
      <c r="J1" s="24" t="str">
        <f t="shared" si="0"/>
        <v>00</v>
      </c>
      <c r="K1" s="2" t="str">
        <f t="shared" si="0"/>
        <v>00</v>
      </c>
      <c r="L1" s="18" t="str">
        <f t="shared" si="0"/>
        <v>00</v>
      </c>
      <c r="M1" s="3" t="str">
        <f t="shared" si="0"/>
        <v>2C</v>
      </c>
      <c r="N1" s="8" t="s">
        <v>61</v>
      </c>
      <c r="O1" s="510" t="s">
        <v>1260</v>
      </c>
      <c r="P1" s="511"/>
      <c r="Q1" s="511"/>
      <c r="R1" s="511"/>
      <c r="S1" s="511"/>
      <c r="T1" s="381" t="s">
        <v>1757</v>
      </c>
      <c r="U1" s="381"/>
      <c r="V1" s="381"/>
      <c r="W1" s="46" t="str">
        <f>AS36&amp;AS37&amp;AS38&amp;AS39&amp;AS40&amp;AS41&amp;AS42&amp;AS43&amp;AS44&amp;AS45&amp;AS46&amp;AS47&amp;AS48&amp;AS49&amp;AS50&amp;AS51&amp;AS52</f>
        <v/>
      </c>
      <c r="X1" s="381" t="str">
        <f>IF(P137&amp;T137&amp;X137&amp;AB137&amp;AF137&amp;P148&amp;AB148&amp;AF148&amp;P159&amp;T159&amp;X159&amp;AB159&amp;T170&amp;X170&amp;AB170&amp;AF170&amp;P181=W1,"","New VIN")</f>
        <v/>
      </c>
      <c r="Y1" s="381"/>
      <c r="Z1" s="381"/>
      <c r="AA1" s="46" t="str">
        <f>IF(P137&amp;T137&amp;X137&amp;AB137&amp;AF137&amp;P148&amp;AB148&amp;AF148&amp;P159&amp;T159&amp;X159&amp;AB159&amp;T170&amp;X170&amp;AB170&amp;AF170&amp;P181=W1,"",P137&amp;T137&amp;X137&amp;AB137&amp;AF137&amp;P148&amp;AB148&amp;AF148&amp;P159&amp;T159&amp;X159&amp;AB159&amp;T170&amp;X170&amp;AB170&amp;AF170&amp;P181)</f>
        <v/>
      </c>
      <c r="AB1" s="102" t="s">
        <v>354</v>
      </c>
    </row>
    <row r="2" spans="1:306" ht="15" thickBot="1" x14ac:dyDescent="0.35">
      <c r="A2" s="268" t="s">
        <v>1241</v>
      </c>
      <c r="B2" s="269" t="s">
        <v>1242</v>
      </c>
      <c r="C2" s="391" t="s">
        <v>40</v>
      </c>
      <c r="D2" s="391"/>
      <c r="E2" s="391"/>
      <c r="G2" s="512"/>
      <c r="H2" s="512"/>
      <c r="I2" s="512"/>
      <c r="J2" s="512"/>
      <c r="K2" s="512"/>
      <c r="L2" s="512"/>
      <c r="M2" s="512"/>
    </row>
    <row r="3" spans="1:306" ht="15" thickBot="1" x14ac:dyDescent="0.35">
      <c r="A3" s="281" t="s">
        <v>1277</v>
      </c>
      <c r="B3" s="87" t="s">
        <v>1243</v>
      </c>
      <c r="C3" s="4"/>
      <c r="D3" s="5"/>
      <c r="E3" s="5"/>
      <c r="F3" s="5"/>
      <c r="G3" s="5"/>
      <c r="H3" s="5"/>
      <c r="I3" s="5"/>
      <c r="J3" s="5"/>
      <c r="K3" s="5"/>
      <c r="L3" s="5"/>
      <c r="M3" s="5" t="s">
        <v>41</v>
      </c>
      <c r="N3" s="6"/>
      <c r="P3" s="392" t="s">
        <v>128</v>
      </c>
      <c r="Q3" s="392"/>
      <c r="R3" s="392"/>
      <c r="S3" s="392"/>
      <c r="T3" s="392"/>
      <c r="U3" s="392"/>
      <c r="V3" s="392"/>
      <c r="W3" s="392"/>
      <c r="X3" s="392"/>
      <c r="Y3" s="392"/>
      <c r="Z3" s="392"/>
      <c r="AA3" s="392"/>
      <c r="AB3" s="392"/>
      <c r="AC3" s="392"/>
      <c r="AD3" s="392"/>
      <c r="AE3" s="392"/>
      <c r="AF3" s="392"/>
      <c r="AG3" s="392"/>
      <c r="AH3" s="392"/>
      <c r="AI3" s="392"/>
      <c r="AJ3" s="392"/>
      <c r="AK3" s="392"/>
      <c r="AO3" t="s">
        <v>61</v>
      </c>
      <c r="AQ3">
        <v>1</v>
      </c>
      <c r="AR3">
        <v>3</v>
      </c>
      <c r="AS3">
        <v>5</v>
      </c>
      <c r="AT3">
        <v>7</v>
      </c>
      <c r="AU3">
        <v>9</v>
      </c>
      <c r="AV3">
        <v>11</v>
      </c>
      <c r="AW3">
        <v>13</v>
      </c>
      <c r="AX3">
        <v>15</v>
      </c>
      <c r="AY3">
        <v>17</v>
      </c>
      <c r="AZ3">
        <v>19</v>
      </c>
      <c r="BA3">
        <v>21</v>
      </c>
      <c r="BB3">
        <v>23</v>
      </c>
      <c r="BC3">
        <v>25</v>
      </c>
      <c r="BD3">
        <v>27</v>
      </c>
      <c r="BE3">
        <v>29</v>
      </c>
      <c r="BF3">
        <v>31</v>
      </c>
      <c r="BG3">
        <v>33</v>
      </c>
      <c r="BH3">
        <v>35</v>
      </c>
      <c r="BI3">
        <v>37</v>
      </c>
      <c r="BJ3">
        <v>39</v>
      </c>
      <c r="BK3">
        <v>41</v>
      </c>
      <c r="BL3">
        <v>43</v>
      </c>
      <c r="BM3">
        <v>45</v>
      </c>
      <c r="BN3">
        <v>47</v>
      </c>
      <c r="BO3">
        <v>49</v>
      </c>
      <c r="BP3">
        <v>51</v>
      </c>
      <c r="BQ3">
        <v>53</v>
      </c>
      <c r="BR3">
        <v>55</v>
      </c>
      <c r="BS3">
        <v>57</v>
      </c>
      <c r="BT3">
        <v>59</v>
      </c>
      <c r="BU3">
        <v>61</v>
      </c>
      <c r="BV3">
        <v>63</v>
      </c>
      <c r="BW3">
        <v>65</v>
      </c>
      <c r="BX3">
        <v>67</v>
      </c>
      <c r="BY3">
        <v>69</v>
      </c>
      <c r="BZ3">
        <v>71</v>
      </c>
      <c r="CA3">
        <v>73</v>
      </c>
      <c r="CB3">
        <v>75</v>
      </c>
      <c r="CC3">
        <v>77</v>
      </c>
      <c r="CD3">
        <v>79</v>
      </c>
      <c r="CE3">
        <v>81</v>
      </c>
      <c r="CF3">
        <v>83</v>
      </c>
      <c r="CG3">
        <v>85</v>
      </c>
      <c r="CH3">
        <v>87</v>
      </c>
      <c r="CI3">
        <v>89</v>
      </c>
      <c r="CJ3">
        <v>91</v>
      </c>
      <c r="CK3">
        <v>93</v>
      </c>
      <c r="CL3">
        <v>95</v>
      </c>
      <c r="CM3">
        <v>97</v>
      </c>
      <c r="CN3">
        <v>99</v>
      </c>
      <c r="CO3">
        <v>101</v>
      </c>
      <c r="CP3">
        <v>103</v>
      </c>
      <c r="CQ3">
        <v>105</v>
      </c>
      <c r="CR3">
        <v>107</v>
      </c>
      <c r="CS3">
        <v>109</v>
      </c>
      <c r="CT3">
        <v>111</v>
      </c>
      <c r="CU3">
        <v>113</v>
      </c>
      <c r="CV3">
        <v>115</v>
      </c>
      <c r="CW3">
        <v>117</v>
      </c>
      <c r="CX3">
        <v>119</v>
      </c>
      <c r="CY3">
        <v>121</v>
      </c>
      <c r="CZ3">
        <v>123</v>
      </c>
      <c r="DA3">
        <v>125</v>
      </c>
      <c r="DB3">
        <v>127</v>
      </c>
      <c r="DC3">
        <v>129</v>
      </c>
      <c r="DD3">
        <v>131</v>
      </c>
      <c r="DE3">
        <v>133</v>
      </c>
      <c r="DF3">
        <v>135</v>
      </c>
      <c r="DG3">
        <v>137</v>
      </c>
      <c r="DH3">
        <v>139</v>
      </c>
      <c r="DI3">
        <v>141</v>
      </c>
      <c r="DJ3">
        <v>143</v>
      </c>
      <c r="DK3">
        <v>145</v>
      </c>
      <c r="DL3">
        <v>147</v>
      </c>
      <c r="DM3">
        <v>149</v>
      </c>
      <c r="DN3">
        <v>151</v>
      </c>
      <c r="DO3">
        <v>153</v>
      </c>
      <c r="DP3">
        <v>155</v>
      </c>
      <c r="DQ3">
        <v>157</v>
      </c>
      <c r="DR3">
        <v>159</v>
      </c>
      <c r="DS3">
        <v>161</v>
      </c>
      <c r="DT3">
        <v>163</v>
      </c>
      <c r="DU3">
        <v>165</v>
      </c>
      <c r="DV3">
        <v>167</v>
      </c>
      <c r="DW3">
        <v>169</v>
      </c>
      <c r="DX3">
        <v>171</v>
      </c>
      <c r="DY3">
        <v>173</v>
      </c>
      <c r="DZ3">
        <v>175</v>
      </c>
      <c r="EA3">
        <v>177</v>
      </c>
      <c r="EB3">
        <v>179</v>
      </c>
      <c r="EC3">
        <v>181</v>
      </c>
      <c r="ED3">
        <v>183</v>
      </c>
      <c r="EE3">
        <v>185</v>
      </c>
      <c r="EF3">
        <v>187</v>
      </c>
      <c r="EG3">
        <v>189</v>
      </c>
      <c r="EH3">
        <v>191</v>
      </c>
      <c r="EI3">
        <v>193</v>
      </c>
      <c r="EJ3">
        <v>195</v>
      </c>
      <c r="EK3">
        <v>197</v>
      </c>
      <c r="EL3">
        <v>199</v>
      </c>
      <c r="EM3">
        <v>201</v>
      </c>
      <c r="EN3">
        <v>203</v>
      </c>
      <c r="EO3">
        <v>205</v>
      </c>
      <c r="EP3">
        <v>207</v>
      </c>
      <c r="EQ3">
        <v>209</v>
      </c>
      <c r="ER3">
        <v>211</v>
      </c>
      <c r="ES3">
        <v>213</v>
      </c>
      <c r="ET3">
        <v>215</v>
      </c>
      <c r="EU3">
        <v>217</v>
      </c>
      <c r="EV3">
        <v>219</v>
      </c>
      <c r="EW3">
        <v>221</v>
      </c>
      <c r="EX3">
        <v>223</v>
      </c>
      <c r="EY3">
        <v>225</v>
      </c>
      <c r="EZ3">
        <v>227</v>
      </c>
      <c r="FA3">
        <v>229</v>
      </c>
      <c r="FB3">
        <v>231</v>
      </c>
      <c r="FC3">
        <v>233</v>
      </c>
      <c r="FD3">
        <v>235</v>
      </c>
      <c r="FE3">
        <v>237</v>
      </c>
      <c r="FF3">
        <v>239</v>
      </c>
      <c r="FG3">
        <v>241</v>
      </c>
      <c r="FH3">
        <v>243</v>
      </c>
      <c r="FI3">
        <v>245</v>
      </c>
      <c r="FJ3">
        <v>247</v>
      </c>
      <c r="FK3">
        <v>249</v>
      </c>
      <c r="FL3">
        <v>251</v>
      </c>
      <c r="FM3">
        <v>253</v>
      </c>
      <c r="FN3">
        <v>255</v>
      </c>
      <c r="FO3">
        <v>257</v>
      </c>
      <c r="FP3">
        <v>259</v>
      </c>
      <c r="FQ3">
        <v>261</v>
      </c>
      <c r="FR3">
        <v>263</v>
      </c>
      <c r="FS3">
        <v>265</v>
      </c>
      <c r="FT3">
        <v>267</v>
      </c>
      <c r="FU3">
        <v>269</v>
      </c>
      <c r="FV3">
        <v>271</v>
      </c>
      <c r="FW3">
        <v>273</v>
      </c>
      <c r="FX3">
        <v>275</v>
      </c>
      <c r="FY3">
        <v>277</v>
      </c>
      <c r="FZ3">
        <v>279</v>
      </c>
      <c r="GA3">
        <v>281</v>
      </c>
      <c r="GB3">
        <v>283</v>
      </c>
      <c r="GC3">
        <v>285</v>
      </c>
      <c r="GD3">
        <v>287</v>
      </c>
      <c r="GE3">
        <v>289</v>
      </c>
      <c r="GF3">
        <v>291</v>
      </c>
      <c r="GG3">
        <v>293</v>
      </c>
      <c r="GH3">
        <v>295</v>
      </c>
      <c r="GI3">
        <v>297</v>
      </c>
      <c r="GJ3">
        <v>299</v>
      </c>
      <c r="GK3">
        <v>301</v>
      </c>
      <c r="GL3">
        <v>303</v>
      </c>
      <c r="GM3">
        <v>305</v>
      </c>
      <c r="GN3">
        <v>307</v>
      </c>
      <c r="GO3">
        <v>309</v>
      </c>
      <c r="GP3">
        <v>311</v>
      </c>
      <c r="GQ3">
        <v>313</v>
      </c>
      <c r="GR3">
        <v>315</v>
      </c>
      <c r="GS3">
        <v>317</v>
      </c>
      <c r="GT3">
        <v>319</v>
      </c>
      <c r="GU3">
        <v>321</v>
      </c>
      <c r="GV3">
        <v>323</v>
      </c>
      <c r="GW3">
        <v>325</v>
      </c>
      <c r="GX3">
        <v>327</v>
      </c>
      <c r="GY3">
        <v>329</v>
      </c>
      <c r="GZ3">
        <v>331</v>
      </c>
      <c r="HA3">
        <v>333</v>
      </c>
      <c r="HB3">
        <v>335</v>
      </c>
      <c r="HC3">
        <v>337</v>
      </c>
      <c r="HD3">
        <v>339</v>
      </c>
      <c r="HE3">
        <v>341</v>
      </c>
      <c r="HF3">
        <v>343</v>
      </c>
      <c r="HG3">
        <v>345</v>
      </c>
      <c r="HH3">
        <v>347</v>
      </c>
      <c r="HI3">
        <v>349</v>
      </c>
      <c r="HJ3">
        <v>351</v>
      </c>
      <c r="HK3">
        <v>353</v>
      </c>
      <c r="HL3">
        <v>355</v>
      </c>
      <c r="HM3">
        <v>357</v>
      </c>
      <c r="HN3">
        <v>359</v>
      </c>
      <c r="HO3">
        <v>361</v>
      </c>
      <c r="HP3">
        <v>363</v>
      </c>
      <c r="HQ3">
        <v>365</v>
      </c>
      <c r="HR3">
        <v>367</v>
      </c>
      <c r="HS3">
        <v>369</v>
      </c>
      <c r="HT3">
        <v>371</v>
      </c>
      <c r="HU3">
        <v>373</v>
      </c>
      <c r="HV3">
        <v>375</v>
      </c>
      <c r="HW3">
        <v>377</v>
      </c>
      <c r="HX3">
        <v>379</v>
      </c>
      <c r="HY3">
        <v>381</v>
      </c>
      <c r="HZ3">
        <v>383</v>
      </c>
      <c r="IA3">
        <v>385</v>
      </c>
      <c r="IB3">
        <v>387</v>
      </c>
      <c r="IC3">
        <v>389</v>
      </c>
      <c r="ID3">
        <v>391</v>
      </c>
      <c r="IE3">
        <v>393</v>
      </c>
      <c r="IF3">
        <v>395</v>
      </c>
      <c r="IG3">
        <v>397</v>
      </c>
      <c r="IH3">
        <v>399</v>
      </c>
      <c r="II3">
        <v>401</v>
      </c>
      <c r="IJ3">
        <v>403</v>
      </c>
      <c r="IK3">
        <v>405</v>
      </c>
      <c r="IL3">
        <v>407</v>
      </c>
      <c r="IM3">
        <v>409</v>
      </c>
      <c r="IN3">
        <v>411</v>
      </c>
      <c r="IO3">
        <v>413</v>
      </c>
      <c r="IP3">
        <v>415</v>
      </c>
      <c r="IQ3">
        <v>417</v>
      </c>
      <c r="IR3">
        <v>419</v>
      </c>
      <c r="IS3">
        <v>421</v>
      </c>
      <c r="IT3">
        <v>423</v>
      </c>
      <c r="IU3">
        <v>425</v>
      </c>
      <c r="IV3">
        <v>427</v>
      </c>
      <c r="IW3">
        <v>429</v>
      </c>
      <c r="IX3">
        <v>431</v>
      </c>
      <c r="IY3">
        <v>433</v>
      </c>
      <c r="IZ3">
        <v>435</v>
      </c>
      <c r="JA3">
        <v>437</v>
      </c>
      <c r="JB3">
        <v>439</v>
      </c>
      <c r="JC3">
        <v>441</v>
      </c>
      <c r="JD3">
        <v>443</v>
      </c>
      <c r="JE3">
        <v>445</v>
      </c>
      <c r="JF3">
        <v>447</v>
      </c>
      <c r="JG3">
        <v>449</v>
      </c>
      <c r="JH3">
        <v>451</v>
      </c>
      <c r="JI3">
        <v>453</v>
      </c>
      <c r="JJ3">
        <v>455</v>
      </c>
      <c r="JK3">
        <v>457</v>
      </c>
      <c r="JL3">
        <v>459</v>
      </c>
      <c r="JM3">
        <v>461</v>
      </c>
      <c r="JN3">
        <v>463</v>
      </c>
      <c r="JO3">
        <v>465</v>
      </c>
      <c r="JP3">
        <v>467</v>
      </c>
      <c r="JQ3">
        <v>469</v>
      </c>
      <c r="JR3">
        <v>471</v>
      </c>
      <c r="JS3">
        <v>473</v>
      </c>
      <c r="JT3">
        <v>475</v>
      </c>
      <c r="JU3">
        <v>477</v>
      </c>
      <c r="JV3">
        <v>479</v>
      </c>
      <c r="JW3">
        <v>481</v>
      </c>
      <c r="JX3">
        <v>483</v>
      </c>
      <c r="JY3">
        <v>485</v>
      </c>
      <c r="JZ3">
        <v>487</v>
      </c>
      <c r="KA3">
        <v>489</v>
      </c>
      <c r="KB3">
        <v>491</v>
      </c>
      <c r="KC3">
        <v>493</v>
      </c>
      <c r="KD3">
        <v>495</v>
      </c>
      <c r="KE3">
        <v>497</v>
      </c>
      <c r="KF3">
        <v>499</v>
      </c>
      <c r="KG3">
        <v>501</v>
      </c>
      <c r="KH3">
        <v>503</v>
      </c>
      <c r="KI3">
        <v>505</v>
      </c>
      <c r="KJ3">
        <v>507</v>
      </c>
      <c r="KK3">
        <v>509</v>
      </c>
      <c r="KL3">
        <v>511</v>
      </c>
      <c r="KM3">
        <v>513</v>
      </c>
      <c r="KN3">
        <v>515</v>
      </c>
      <c r="KO3">
        <v>517</v>
      </c>
      <c r="KP3">
        <v>519</v>
      </c>
      <c r="KQ3">
        <v>521</v>
      </c>
      <c r="KR3">
        <v>523</v>
      </c>
    </row>
    <row r="4" spans="1:306" ht="15" thickBot="1" x14ac:dyDescent="0.35">
      <c r="A4" s="270" t="s">
        <v>1722</v>
      </c>
      <c r="B4" s="87" t="str">
        <f>RIGHT(D13,1)&amp;E13&amp;F13&amp;G13&amp;H10&amp;I10&amp;J10&amp;K10&amp;L10&amp;M10</f>
        <v>720G1G1000000000029</v>
      </c>
      <c r="C4" s="7"/>
      <c r="D4" s="393" t="s">
        <v>129</v>
      </c>
      <c r="E4" s="393"/>
      <c r="F4" s="393"/>
      <c r="G4" s="393"/>
      <c r="H4" s="99" t="s">
        <v>44</v>
      </c>
      <c r="I4" s="99" t="s">
        <v>45</v>
      </c>
      <c r="J4" s="99" t="s">
        <v>46</v>
      </c>
      <c r="K4" s="99" t="s">
        <v>47</v>
      </c>
      <c r="L4" s="99" t="s">
        <v>48</v>
      </c>
      <c r="M4" s="99" t="s">
        <v>49</v>
      </c>
      <c r="N4" s="8"/>
      <c r="P4" s="394" t="s">
        <v>50</v>
      </c>
      <c r="Q4" s="395"/>
      <c r="R4" s="395"/>
      <c r="S4" s="396"/>
      <c r="T4" s="394" t="s">
        <v>51</v>
      </c>
      <c r="U4" s="395"/>
      <c r="V4" s="395"/>
      <c r="W4" s="396"/>
      <c r="X4" s="394" t="s">
        <v>52</v>
      </c>
      <c r="Y4" s="395"/>
      <c r="Z4" s="395"/>
      <c r="AA4" s="396"/>
      <c r="AB4" s="394" t="s">
        <v>53</v>
      </c>
      <c r="AC4" s="395"/>
      <c r="AD4" s="395"/>
      <c r="AE4" s="396"/>
      <c r="AF4" s="394" t="s">
        <v>97</v>
      </c>
      <c r="AG4" s="395"/>
      <c r="AH4" s="395"/>
      <c r="AI4" s="396"/>
      <c r="AJ4" s="394" t="s">
        <v>55</v>
      </c>
      <c r="AK4" s="396"/>
      <c r="AO4" t="str">
        <f>J120&amp;K120&amp;L120</f>
        <v>000000</v>
      </c>
      <c r="AP4" t="str">
        <f>AO4</f>
        <v>000000</v>
      </c>
      <c r="AQ4" t="str">
        <f>AP4&amp;AP5&amp;AP6&amp;AP7&amp;AP8&amp;AP9&amp;AP10&amp;AP11&amp;AP12&amp;AP13&amp;AP14&amp;AP15&amp;AP16&amp;AP17&amp;AP18&amp;AP19&amp;AP20&amp;AP21&amp;AP22&amp;AP23&amp;AP24&amp;AP25&amp;AP26&amp;AP27&amp;AP28&amp;AP29&amp;AP30&amp;AP31&amp;AP32&amp;AP33&amp;AP34&amp;AP35&amp;AP36&amp;AP37&amp;AP38&amp;AP39&amp;AP40&amp;AP41&amp;AP42&amp;AP43&amp;AP44&amp;AP45&amp;AP46&amp;AP47&amp;AP48&amp;AP49&amp;AP50&amp;AP51&amp;AP52&amp;AP53&amp;AP54&amp;AP55&amp;AP56</f>
        <v>000000000000000000000000000000000000000000000000000000000000000000000000000000000000000000000000000000000000000000000000000000000000000000000000000000000000000000000000000000000000000000000000000000000000000000000000000000000000000000000000000000000000000000000000000053</v>
      </c>
    </row>
    <row r="5" spans="1:306" ht="15" thickBot="1" x14ac:dyDescent="0.35">
      <c r="A5" s="270" t="s">
        <v>1723</v>
      </c>
      <c r="B5" s="87" t="str">
        <f>RIGHT(D24,1)&amp;E24&amp;F24&amp;G24&amp;H21&amp;I21&amp;J21&amp;K21&amp;L21&amp;M21</f>
        <v>720G1G200000000002A</v>
      </c>
      <c r="C5" s="7" t="s">
        <v>56</v>
      </c>
      <c r="D5" s="12" t="s">
        <v>57</v>
      </c>
      <c r="E5" s="13" t="s">
        <v>130</v>
      </c>
      <c r="F5" s="13" t="s">
        <v>59</v>
      </c>
      <c r="G5" s="277" t="s">
        <v>59</v>
      </c>
      <c r="H5" s="317" t="str" cm="1">
        <f t="array" ref="H5">MID(INDEX($A$3:$A$70,IF(ISNA(MATCH("720G1G1*",$A$3:$A$70,0))=TRUE,MATCH("7200101*",$A$3:$A$70,0),MATCH("720G1G1*",$A$3:$A$70,0))),$AU$8,2)</f>
        <v>00</v>
      </c>
      <c r="I5" s="317" t="str" cm="1">
        <f t="array" ref="I5">MID(INDEX($A$3:$A$70,IF(ISNA(MATCH("720G1G1*",$A$3:$A$70,0))=TRUE,MATCH("7200101*",$A$3:$A$70,0),MATCH("720G1G1*",$A$3:$A$70,0))),$AV$8,2)</f>
        <v>00</v>
      </c>
      <c r="J5" s="317" t="str" cm="1">
        <f t="array" ref="J5">MID(INDEX($A$3:$A$70,IF(ISNA(MATCH("720G1G1*",$A$3:$A$70,0))=TRUE,MATCH("7200101*",$A$3:$A$70,0),MATCH("720G1G1*",$A$3:$A$70,0))),$AW$8,2)</f>
        <v>00</v>
      </c>
      <c r="K5" s="317" t="str" cm="1">
        <f t="array" ref="K5">MID(INDEX($A$3:$A$70,IF(ISNA(MATCH("720G1G1*",$A$3:$A$70,0))=TRUE,MATCH("7200101*",$A$3:$A$70,0),MATCH("720G1G1*",$A$3:$A$70,0))),$AX$8,2)</f>
        <v>00</v>
      </c>
      <c r="L5" s="320" t="str" cm="1">
        <f t="array" ref="L5">MID(INDEX($A$3:$A$70,IF(ISNA(MATCH("720G1G1*",$A$3:$A$70,0))=TRUE,MATCH("7200101*",$A$3:$A$70,0),MATCH("720G1G1*",$A$3:$A$70,0))),$AY$8,2)</f>
        <v>00</v>
      </c>
      <c r="M5" s="319" t="str" cm="1">
        <f t="array" ref="M5">MID(INDEX($A$3:$A$70,IF(ISNA(MATCH("720G1G1*",$A$3:$A$70,0))=TRUE,MATCH("7200101*",$A$3:$A$70,0),MATCH("720G1G1*",$A$3:$A$70,0))),$AZ$8,2)</f>
        <v>29</v>
      </c>
      <c r="N5" s="8" t="s">
        <v>60</v>
      </c>
      <c r="P5" s="19" t="s">
        <v>60</v>
      </c>
      <c r="Q5" s="20" t="s">
        <v>61</v>
      </c>
      <c r="R5" t="s">
        <v>62</v>
      </c>
      <c r="S5" s="8"/>
      <c r="T5" s="19" t="s">
        <v>60</v>
      </c>
      <c r="U5" s="20" t="s">
        <v>61</v>
      </c>
      <c r="V5" t="s">
        <v>62</v>
      </c>
      <c r="W5" s="8"/>
      <c r="X5" s="19" t="s">
        <v>60</v>
      </c>
      <c r="Y5" s="20" t="s">
        <v>61</v>
      </c>
      <c r="Z5" t="s">
        <v>62</v>
      </c>
      <c r="AA5" s="8"/>
      <c r="AB5" s="19" t="s">
        <v>60</v>
      </c>
      <c r="AC5" s="20" t="s">
        <v>61</v>
      </c>
      <c r="AD5" t="s">
        <v>62</v>
      </c>
      <c r="AE5" s="8"/>
      <c r="AF5" s="19" t="s">
        <v>60</v>
      </c>
      <c r="AG5" s="20" t="s">
        <v>61</v>
      </c>
      <c r="AH5" t="s">
        <v>62</v>
      </c>
      <c r="AJ5" s="394" t="s">
        <v>63</v>
      </c>
      <c r="AK5" s="396"/>
      <c r="AO5" t="str">
        <f>H131&amp;I131&amp;J131&amp;K131&amp;L131</f>
        <v>0000000000</v>
      </c>
      <c r="AP5" t="str">
        <f t="shared" ref="AP5:AP56" si="1">AO5</f>
        <v>0000000000</v>
      </c>
      <c r="AQ5" t="str">
        <f t="shared" ref="AQ5:DB5" si="2">MID($AQ$4,AQ3,2)</f>
        <v>00</v>
      </c>
      <c r="AR5" t="str">
        <f t="shared" si="2"/>
        <v>00</v>
      </c>
      <c r="AS5" t="str">
        <f t="shared" si="2"/>
        <v>00</v>
      </c>
      <c r="AT5" t="str">
        <f t="shared" si="2"/>
        <v>00</v>
      </c>
      <c r="AU5" t="str">
        <f t="shared" si="2"/>
        <v>00</v>
      </c>
      <c r="AV5" t="str">
        <f t="shared" si="2"/>
        <v>00</v>
      </c>
      <c r="AW5" t="str">
        <f t="shared" si="2"/>
        <v>00</v>
      </c>
      <c r="AX5" t="str">
        <f t="shared" si="2"/>
        <v>00</v>
      </c>
      <c r="AY5" t="str">
        <f t="shared" si="2"/>
        <v>00</v>
      </c>
      <c r="AZ5" t="str">
        <f t="shared" si="2"/>
        <v>00</v>
      </c>
      <c r="BA5" t="str">
        <f t="shared" si="2"/>
        <v>00</v>
      </c>
      <c r="BB5" t="str">
        <f t="shared" si="2"/>
        <v>00</v>
      </c>
      <c r="BC5" t="str">
        <f t="shared" si="2"/>
        <v>00</v>
      </c>
      <c r="BD5" t="str">
        <f t="shared" si="2"/>
        <v>00</v>
      </c>
      <c r="BE5" t="str">
        <f t="shared" si="2"/>
        <v>00</v>
      </c>
      <c r="BF5" t="str">
        <f t="shared" si="2"/>
        <v>00</v>
      </c>
      <c r="BG5" t="str">
        <f t="shared" si="2"/>
        <v>00</v>
      </c>
      <c r="BH5" t="str">
        <f t="shared" si="2"/>
        <v>00</v>
      </c>
      <c r="BI5" t="str">
        <f t="shared" si="2"/>
        <v>00</v>
      </c>
      <c r="BJ5" t="str">
        <f t="shared" si="2"/>
        <v>00</v>
      </c>
      <c r="BK5" t="str">
        <f t="shared" si="2"/>
        <v>00</v>
      </c>
      <c r="BL5" t="str">
        <f t="shared" si="2"/>
        <v>00</v>
      </c>
      <c r="BM5" t="str">
        <f t="shared" si="2"/>
        <v>00</v>
      </c>
      <c r="BN5" t="str">
        <f t="shared" si="2"/>
        <v>00</v>
      </c>
      <c r="BO5" t="str">
        <f t="shared" si="2"/>
        <v>00</v>
      </c>
      <c r="BP5" t="str">
        <f t="shared" si="2"/>
        <v>00</v>
      </c>
      <c r="BQ5" t="str">
        <f t="shared" si="2"/>
        <v>00</v>
      </c>
      <c r="BR5" t="str">
        <f t="shared" si="2"/>
        <v>00</v>
      </c>
      <c r="BS5" t="str">
        <f t="shared" si="2"/>
        <v>00</v>
      </c>
      <c r="BT5" t="str">
        <f t="shared" si="2"/>
        <v>00</v>
      </c>
      <c r="BU5" t="str">
        <f t="shared" si="2"/>
        <v>00</v>
      </c>
      <c r="BV5" t="str">
        <f t="shared" si="2"/>
        <v>00</v>
      </c>
      <c r="BW5" t="str">
        <f t="shared" si="2"/>
        <v>00</v>
      </c>
      <c r="BX5" t="str">
        <f t="shared" si="2"/>
        <v>00</v>
      </c>
      <c r="BY5" t="str">
        <f t="shared" si="2"/>
        <v>00</v>
      </c>
      <c r="BZ5" t="str">
        <f t="shared" si="2"/>
        <v>00</v>
      </c>
      <c r="CA5" t="str">
        <f t="shared" si="2"/>
        <v>00</v>
      </c>
      <c r="CB5" t="str">
        <f t="shared" si="2"/>
        <v>00</v>
      </c>
      <c r="CC5" t="str">
        <f t="shared" si="2"/>
        <v>00</v>
      </c>
      <c r="CD5" t="str">
        <f t="shared" si="2"/>
        <v>00</v>
      </c>
      <c r="CE5" t="str">
        <f t="shared" si="2"/>
        <v>00</v>
      </c>
      <c r="CF5" t="str">
        <f t="shared" si="2"/>
        <v>00</v>
      </c>
      <c r="CG5" t="str">
        <f t="shared" si="2"/>
        <v>00</v>
      </c>
      <c r="CH5" t="str">
        <f t="shared" si="2"/>
        <v>00</v>
      </c>
      <c r="CI5" t="str">
        <f t="shared" si="2"/>
        <v>00</v>
      </c>
      <c r="CJ5" t="str">
        <f t="shared" si="2"/>
        <v>00</v>
      </c>
      <c r="CK5" t="str">
        <f t="shared" si="2"/>
        <v>00</v>
      </c>
      <c r="CL5" t="str">
        <f t="shared" si="2"/>
        <v>00</v>
      </c>
      <c r="CM5" t="str">
        <f t="shared" si="2"/>
        <v>00</v>
      </c>
      <c r="CN5" t="str">
        <f t="shared" si="2"/>
        <v>00</v>
      </c>
      <c r="CO5" t="str">
        <f t="shared" si="2"/>
        <v>00</v>
      </c>
      <c r="CP5" t="str">
        <f t="shared" si="2"/>
        <v>00</v>
      </c>
      <c r="CQ5" t="str">
        <f t="shared" si="2"/>
        <v>00</v>
      </c>
      <c r="CR5" t="str">
        <f t="shared" si="2"/>
        <v>00</v>
      </c>
      <c r="CS5" t="str">
        <f t="shared" si="2"/>
        <v>00</v>
      </c>
      <c r="CT5" t="str">
        <f t="shared" si="2"/>
        <v>00</v>
      </c>
      <c r="CU5" t="str">
        <f t="shared" si="2"/>
        <v>00</v>
      </c>
      <c r="CV5" t="str">
        <f t="shared" si="2"/>
        <v>00</v>
      </c>
      <c r="CW5" t="str">
        <f t="shared" si="2"/>
        <v>00</v>
      </c>
      <c r="CX5" t="str">
        <f t="shared" si="2"/>
        <v>00</v>
      </c>
      <c r="CY5" t="str">
        <f t="shared" si="2"/>
        <v>00</v>
      </c>
      <c r="CZ5" t="str">
        <f t="shared" si="2"/>
        <v>00</v>
      </c>
      <c r="DA5" t="str">
        <f t="shared" si="2"/>
        <v>00</v>
      </c>
      <c r="DB5" t="str">
        <f t="shared" si="2"/>
        <v>00</v>
      </c>
      <c r="DC5" t="str">
        <f t="shared" ref="DC5:FN5" si="3">MID($AQ$4,DC3,2)</f>
        <v>00</v>
      </c>
      <c r="DD5" t="str">
        <f t="shared" si="3"/>
        <v>00</v>
      </c>
      <c r="DE5" t="str">
        <f t="shared" si="3"/>
        <v>00</v>
      </c>
      <c r="DF5" t="str">
        <f t="shared" si="3"/>
        <v>00</v>
      </c>
      <c r="DG5" t="str">
        <f t="shared" si="3"/>
        <v>00</v>
      </c>
      <c r="DH5" t="str">
        <f t="shared" si="3"/>
        <v>00</v>
      </c>
      <c r="DI5" t="str">
        <f t="shared" si="3"/>
        <v>00</v>
      </c>
      <c r="DJ5" t="str">
        <f t="shared" si="3"/>
        <v>00</v>
      </c>
      <c r="DK5" t="str">
        <f t="shared" si="3"/>
        <v>00</v>
      </c>
      <c r="DL5" t="str">
        <f t="shared" si="3"/>
        <v>00</v>
      </c>
      <c r="DM5" t="str">
        <f t="shared" si="3"/>
        <v>00</v>
      </c>
      <c r="DN5" t="str">
        <f t="shared" si="3"/>
        <v>00</v>
      </c>
      <c r="DO5" t="str">
        <f t="shared" si="3"/>
        <v>00</v>
      </c>
      <c r="DP5" t="str">
        <f t="shared" si="3"/>
        <v>00</v>
      </c>
      <c r="DQ5" t="str">
        <f t="shared" si="3"/>
        <v>00</v>
      </c>
      <c r="DR5" t="str">
        <f t="shared" si="3"/>
        <v>00</v>
      </c>
      <c r="DS5" t="str">
        <f t="shared" si="3"/>
        <v>00</v>
      </c>
      <c r="DT5" t="str">
        <f t="shared" si="3"/>
        <v>00</v>
      </c>
      <c r="DU5" t="str">
        <f t="shared" si="3"/>
        <v>00</v>
      </c>
      <c r="DV5" t="str">
        <f t="shared" si="3"/>
        <v>00</v>
      </c>
      <c r="DW5" t="str">
        <f t="shared" si="3"/>
        <v>00</v>
      </c>
      <c r="DX5" t="str">
        <f t="shared" si="3"/>
        <v>00</v>
      </c>
      <c r="DY5" t="str">
        <f t="shared" si="3"/>
        <v>00</v>
      </c>
      <c r="DZ5" t="str">
        <f t="shared" si="3"/>
        <v>00</v>
      </c>
      <c r="EA5" t="str">
        <f t="shared" si="3"/>
        <v>00</v>
      </c>
      <c r="EB5" t="str">
        <f t="shared" si="3"/>
        <v>00</v>
      </c>
      <c r="EC5" t="str">
        <f t="shared" si="3"/>
        <v>00</v>
      </c>
      <c r="ED5" t="str">
        <f t="shared" si="3"/>
        <v>00</v>
      </c>
      <c r="EE5" t="str">
        <f t="shared" si="3"/>
        <v>00</v>
      </c>
      <c r="EF5" t="str">
        <f t="shared" si="3"/>
        <v>00</v>
      </c>
      <c r="EG5" t="str">
        <f t="shared" si="3"/>
        <v>00</v>
      </c>
      <c r="EH5" t="str">
        <f t="shared" si="3"/>
        <v>00</v>
      </c>
      <c r="EI5" t="str">
        <f t="shared" si="3"/>
        <v>00</v>
      </c>
      <c r="EJ5" t="str">
        <f t="shared" si="3"/>
        <v>00</v>
      </c>
      <c r="EK5" t="str">
        <f t="shared" si="3"/>
        <v>00</v>
      </c>
      <c r="EL5" t="str">
        <f t="shared" si="3"/>
        <v>00</v>
      </c>
      <c r="EM5" t="str">
        <f t="shared" si="3"/>
        <v>00</v>
      </c>
      <c r="EN5" t="str">
        <f t="shared" si="3"/>
        <v>00</v>
      </c>
      <c r="EO5" t="str">
        <f t="shared" si="3"/>
        <v>00</v>
      </c>
      <c r="EP5" t="str">
        <f t="shared" si="3"/>
        <v>00</v>
      </c>
      <c r="EQ5" t="str">
        <f t="shared" si="3"/>
        <v>00</v>
      </c>
      <c r="ER5" t="str">
        <f t="shared" si="3"/>
        <v>00</v>
      </c>
      <c r="ES5" t="str">
        <f t="shared" si="3"/>
        <v>00</v>
      </c>
      <c r="ET5" t="str">
        <f t="shared" si="3"/>
        <v>00</v>
      </c>
      <c r="EU5" t="str">
        <f t="shared" si="3"/>
        <v>00</v>
      </c>
      <c r="EV5" t="str">
        <f t="shared" si="3"/>
        <v>00</v>
      </c>
      <c r="EW5" t="str">
        <f t="shared" si="3"/>
        <v>00</v>
      </c>
      <c r="EX5" t="str">
        <f t="shared" si="3"/>
        <v>00</v>
      </c>
      <c r="EY5" t="str">
        <f t="shared" si="3"/>
        <v>00</v>
      </c>
      <c r="EZ5" t="str">
        <f t="shared" si="3"/>
        <v>00</v>
      </c>
      <c r="FA5" t="str">
        <f t="shared" si="3"/>
        <v>00</v>
      </c>
      <c r="FB5" t="str">
        <f t="shared" si="3"/>
        <v>00</v>
      </c>
      <c r="FC5" t="str">
        <f t="shared" si="3"/>
        <v>00</v>
      </c>
      <c r="FD5" t="str">
        <f t="shared" si="3"/>
        <v>00</v>
      </c>
      <c r="FE5" t="str">
        <f t="shared" si="3"/>
        <v>00</v>
      </c>
      <c r="FF5" t="str">
        <f t="shared" si="3"/>
        <v>00</v>
      </c>
      <c r="FG5" t="str">
        <f t="shared" si="3"/>
        <v>00</v>
      </c>
      <c r="FH5" t="str">
        <f t="shared" si="3"/>
        <v>00</v>
      </c>
      <c r="FI5" t="str">
        <f t="shared" si="3"/>
        <v>00</v>
      </c>
      <c r="FJ5" t="str">
        <f t="shared" si="3"/>
        <v>00</v>
      </c>
      <c r="FK5" t="str">
        <f t="shared" si="3"/>
        <v>00</v>
      </c>
      <c r="FL5" t="str">
        <f t="shared" si="3"/>
        <v>00</v>
      </c>
      <c r="FM5" t="str">
        <f t="shared" si="3"/>
        <v>00</v>
      </c>
      <c r="FN5" t="str">
        <f t="shared" si="3"/>
        <v>00</v>
      </c>
      <c r="FO5" t="str">
        <f t="shared" ref="FO5:HZ5" si="4">MID($AQ$4,FO3,2)</f>
        <v>00</v>
      </c>
      <c r="FP5" t="str">
        <f t="shared" si="4"/>
        <v>00</v>
      </c>
      <c r="FQ5" t="str">
        <f t="shared" si="4"/>
        <v>00</v>
      </c>
      <c r="FR5" t="str">
        <f t="shared" si="4"/>
        <v>00</v>
      </c>
      <c r="FS5" t="str">
        <f t="shared" si="4"/>
        <v>00</v>
      </c>
      <c r="FT5" t="str">
        <f t="shared" si="4"/>
        <v>00</v>
      </c>
      <c r="FU5" t="str">
        <f t="shared" si="4"/>
        <v>53</v>
      </c>
      <c r="FV5" t="str">
        <f t="shared" si="4"/>
        <v/>
      </c>
      <c r="FW5" t="str">
        <f t="shared" si="4"/>
        <v/>
      </c>
      <c r="FX5" t="str">
        <f t="shared" si="4"/>
        <v/>
      </c>
      <c r="FY5" t="str">
        <f t="shared" si="4"/>
        <v/>
      </c>
      <c r="FZ5" t="str">
        <f t="shared" si="4"/>
        <v/>
      </c>
      <c r="GA5" t="str">
        <f t="shared" si="4"/>
        <v/>
      </c>
      <c r="GB5" t="str">
        <f t="shared" si="4"/>
        <v/>
      </c>
      <c r="GC5" t="str">
        <f t="shared" si="4"/>
        <v/>
      </c>
      <c r="GD5" t="str">
        <f t="shared" si="4"/>
        <v/>
      </c>
      <c r="GE5" t="str">
        <f t="shared" si="4"/>
        <v/>
      </c>
      <c r="GF5" t="str">
        <f t="shared" si="4"/>
        <v/>
      </c>
      <c r="GG5" t="str">
        <f t="shared" si="4"/>
        <v/>
      </c>
      <c r="GH5" t="str">
        <f t="shared" si="4"/>
        <v/>
      </c>
      <c r="GI5" t="str">
        <f t="shared" si="4"/>
        <v/>
      </c>
      <c r="GJ5" t="str">
        <f t="shared" si="4"/>
        <v/>
      </c>
      <c r="GK5" t="str">
        <f t="shared" si="4"/>
        <v/>
      </c>
      <c r="GL5" t="str">
        <f t="shared" si="4"/>
        <v/>
      </c>
      <c r="GM5" t="str">
        <f t="shared" si="4"/>
        <v/>
      </c>
      <c r="GN5" t="str">
        <f t="shared" si="4"/>
        <v/>
      </c>
      <c r="GO5" t="str">
        <f t="shared" si="4"/>
        <v/>
      </c>
      <c r="GP5" t="str">
        <f t="shared" si="4"/>
        <v/>
      </c>
      <c r="GQ5" t="str">
        <f t="shared" si="4"/>
        <v/>
      </c>
      <c r="GR5" t="str">
        <f t="shared" si="4"/>
        <v/>
      </c>
      <c r="GS5" t="str">
        <f t="shared" si="4"/>
        <v/>
      </c>
      <c r="GT5" t="str">
        <f t="shared" si="4"/>
        <v/>
      </c>
      <c r="GU5" t="str">
        <f t="shared" si="4"/>
        <v/>
      </c>
      <c r="GV5" t="str">
        <f t="shared" si="4"/>
        <v/>
      </c>
      <c r="GW5" t="str">
        <f t="shared" si="4"/>
        <v/>
      </c>
      <c r="GX5" t="str">
        <f t="shared" si="4"/>
        <v/>
      </c>
      <c r="GY5" t="str">
        <f t="shared" si="4"/>
        <v/>
      </c>
      <c r="GZ5" t="str">
        <f t="shared" si="4"/>
        <v/>
      </c>
      <c r="HA5" t="str">
        <f t="shared" si="4"/>
        <v/>
      </c>
      <c r="HB5" t="str">
        <f t="shared" si="4"/>
        <v/>
      </c>
      <c r="HC5" t="str">
        <f t="shared" si="4"/>
        <v/>
      </c>
      <c r="HD5" t="str">
        <f t="shared" si="4"/>
        <v/>
      </c>
      <c r="HE5" t="str">
        <f t="shared" si="4"/>
        <v/>
      </c>
      <c r="HF5" t="str">
        <f t="shared" si="4"/>
        <v/>
      </c>
      <c r="HG5" t="str">
        <f t="shared" si="4"/>
        <v/>
      </c>
      <c r="HH5" t="str">
        <f t="shared" si="4"/>
        <v/>
      </c>
      <c r="HI5" t="str">
        <f t="shared" si="4"/>
        <v/>
      </c>
      <c r="HJ5" t="str">
        <f t="shared" si="4"/>
        <v/>
      </c>
      <c r="HK5" t="str">
        <f t="shared" si="4"/>
        <v/>
      </c>
      <c r="HL5" t="str">
        <f t="shared" si="4"/>
        <v/>
      </c>
      <c r="HM5" t="str">
        <f t="shared" si="4"/>
        <v/>
      </c>
      <c r="HN5" t="str">
        <f t="shared" si="4"/>
        <v/>
      </c>
      <c r="HO5" t="str">
        <f t="shared" si="4"/>
        <v/>
      </c>
      <c r="HP5" t="str">
        <f t="shared" si="4"/>
        <v/>
      </c>
      <c r="HQ5" t="str">
        <f t="shared" si="4"/>
        <v/>
      </c>
      <c r="HR5" t="str">
        <f t="shared" si="4"/>
        <v/>
      </c>
      <c r="HS5" t="str">
        <f t="shared" si="4"/>
        <v/>
      </c>
      <c r="HT5" t="str">
        <f t="shared" si="4"/>
        <v/>
      </c>
      <c r="HU5" t="str">
        <f t="shared" si="4"/>
        <v/>
      </c>
      <c r="HV5" t="str">
        <f t="shared" si="4"/>
        <v/>
      </c>
      <c r="HW5" t="str">
        <f t="shared" si="4"/>
        <v/>
      </c>
      <c r="HX5" t="str">
        <f t="shared" si="4"/>
        <v/>
      </c>
      <c r="HY5" t="str">
        <f t="shared" si="4"/>
        <v/>
      </c>
      <c r="HZ5" t="str">
        <f t="shared" si="4"/>
        <v/>
      </c>
      <c r="IA5" t="str">
        <f t="shared" ref="IA5:KL5" si="5">MID($AQ$4,IA3,2)</f>
        <v/>
      </c>
      <c r="IB5" t="str">
        <f t="shared" si="5"/>
        <v/>
      </c>
      <c r="IC5" t="str">
        <f t="shared" si="5"/>
        <v/>
      </c>
      <c r="ID5" t="str">
        <f t="shared" si="5"/>
        <v/>
      </c>
      <c r="IE5" t="str">
        <f t="shared" si="5"/>
        <v/>
      </c>
      <c r="IF5" t="str">
        <f t="shared" si="5"/>
        <v/>
      </c>
      <c r="IG5" t="str">
        <f t="shared" si="5"/>
        <v/>
      </c>
      <c r="IH5" t="str">
        <f t="shared" si="5"/>
        <v/>
      </c>
      <c r="II5" t="str">
        <f t="shared" si="5"/>
        <v/>
      </c>
      <c r="IJ5" t="str">
        <f t="shared" si="5"/>
        <v/>
      </c>
      <c r="IK5" t="str">
        <f t="shared" si="5"/>
        <v/>
      </c>
      <c r="IL5" t="str">
        <f t="shared" si="5"/>
        <v/>
      </c>
      <c r="IM5" t="str">
        <f t="shared" si="5"/>
        <v/>
      </c>
      <c r="IN5" t="str">
        <f t="shared" si="5"/>
        <v/>
      </c>
      <c r="IO5" t="str">
        <f t="shared" si="5"/>
        <v/>
      </c>
      <c r="IP5" t="str">
        <f t="shared" si="5"/>
        <v/>
      </c>
      <c r="IQ5" t="str">
        <f t="shared" si="5"/>
        <v/>
      </c>
      <c r="IR5" t="str">
        <f t="shared" si="5"/>
        <v/>
      </c>
      <c r="IS5" t="str">
        <f t="shared" si="5"/>
        <v/>
      </c>
      <c r="IT5" t="str">
        <f t="shared" si="5"/>
        <v/>
      </c>
      <c r="IU5" t="str">
        <f t="shared" si="5"/>
        <v/>
      </c>
      <c r="IV5" t="str">
        <f t="shared" si="5"/>
        <v/>
      </c>
      <c r="IW5" t="str">
        <f t="shared" si="5"/>
        <v/>
      </c>
      <c r="IX5" t="str">
        <f t="shared" si="5"/>
        <v/>
      </c>
      <c r="IY5" t="str">
        <f t="shared" si="5"/>
        <v/>
      </c>
      <c r="IZ5" t="str">
        <f t="shared" si="5"/>
        <v/>
      </c>
      <c r="JA5" t="str">
        <f t="shared" si="5"/>
        <v/>
      </c>
      <c r="JB5" t="str">
        <f t="shared" si="5"/>
        <v/>
      </c>
      <c r="JC5" t="str">
        <f t="shared" si="5"/>
        <v/>
      </c>
      <c r="JD5" t="str">
        <f t="shared" si="5"/>
        <v/>
      </c>
      <c r="JE5" t="str">
        <f t="shared" si="5"/>
        <v/>
      </c>
      <c r="JF5" t="str">
        <f t="shared" si="5"/>
        <v/>
      </c>
      <c r="JG5" t="str">
        <f t="shared" si="5"/>
        <v/>
      </c>
      <c r="JH5" t="str">
        <f t="shared" si="5"/>
        <v/>
      </c>
      <c r="JI5" t="str">
        <f t="shared" si="5"/>
        <v/>
      </c>
      <c r="JJ5" t="str">
        <f t="shared" si="5"/>
        <v/>
      </c>
      <c r="JK5" t="str">
        <f t="shared" si="5"/>
        <v/>
      </c>
      <c r="JL5" t="str">
        <f t="shared" si="5"/>
        <v/>
      </c>
      <c r="JM5" t="str">
        <f t="shared" si="5"/>
        <v/>
      </c>
      <c r="JN5" t="str">
        <f t="shared" si="5"/>
        <v/>
      </c>
      <c r="JO5" t="str">
        <f t="shared" si="5"/>
        <v/>
      </c>
      <c r="JP5" t="str">
        <f t="shared" si="5"/>
        <v/>
      </c>
      <c r="JQ5" t="str">
        <f t="shared" si="5"/>
        <v/>
      </c>
      <c r="JR5" t="str">
        <f t="shared" si="5"/>
        <v/>
      </c>
      <c r="JS5" t="str">
        <f t="shared" si="5"/>
        <v/>
      </c>
      <c r="JT5" t="str">
        <f t="shared" si="5"/>
        <v/>
      </c>
      <c r="JU5" t="str">
        <f t="shared" si="5"/>
        <v/>
      </c>
      <c r="JV5" t="str">
        <f t="shared" si="5"/>
        <v/>
      </c>
      <c r="JW5" t="str">
        <f t="shared" si="5"/>
        <v/>
      </c>
      <c r="JX5" t="str">
        <f t="shared" si="5"/>
        <v/>
      </c>
      <c r="JY5" t="str">
        <f t="shared" si="5"/>
        <v/>
      </c>
      <c r="JZ5" t="str">
        <f t="shared" si="5"/>
        <v/>
      </c>
      <c r="KA5" t="str">
        <f t="shared" si="5"/>
        <v/>
      </c>
      <c r="KB5" t="str">
        <f t="shared" si="5"/>
        <v/>
      </c>
      <c r="KC5" t="str">
        <f t="shared" si="5"/>
        <v/>
      </c>
      <c r="KD5" t="str">
        <f t="shared" si="5"/>
        <v/>
      </c>
      <c r="KE5" t="str">
        <f t="shared" si="5"/>
        <v/>
      </c>
      <c r="KF5" t="str">
        <f t="shared" si="5"/>
        <v/>
      </c>
      <c r="KG5" t="str">
        <f t="shared" si="5"/>
        <v/>
      </c>
      <c r="KH5" t="str">
        <f t="shared" si="5"/>
        <v/>
      </c>
      <c r="KI5" t="str">
        <f t="shared" si="5"/>
        <v/>
      </c>
      <c r="KJ5" t="str">
        <f t="shared" si="5"/>
        <v/>
      </c>
      <c r="KK5" t="str">
        <f t="shared" si="5"/>
        <v/>
      </c>
      <c r="KL5" t="str">
        <f t="shared" si="5"/>
        <v/>
      </c>
      <c r="KM5" t="str">
        <f t="shared" ref="KM5:KR5" si="6">MID($AQ$4,KM3,2)</f>
        <v/>
      </c>
      <c r="KN5" t="str">
        <f t="shared" si="6"/>
        <v/>
      </c>
      <c r="KO5" t="str">
        <f t="shared" si="6"/>
        <v/>
      </c>
      <c r="KP5" t="str">
        <f t="shared" si="6"/>
        <v/>
      </c>
      <c r="KQ5" t="str">
        <f t="shared" si="6"/>
        <v/>
      </c>
      <c r="KR5" t="str">
        <f t="shared" si="6"/>
        <v/>
      </c>
    </row>
    <row r="6" spans="1:306" x14ac:dyDescent="0.3">
      <c r="A6" s="270" t="s">
        <v>1316</v>
      </c>
      <c r="B6" s="87" t="str">
        <f>RIGHT(D35,1)&amp;E35&amp;F35&amp;G35&amp;H32&amp;I32&amp;J32&amp;K32&amp;L32&amp;M32</f>
        <v>720G1G300000000002B</v>
      </c>
      <c r="C6" s="7" t="s">
        <v>64</v>
      </c>
      <c r="D6" s="99" t="str">
        <f t="shared" ref="D6:E6" si="7">HEX2BIN(D5,8)</f>
        <v>00000111</v>
      </c>
      <c r="E6" s="99" t="str">
        <f t="shared" si="7"/>
        <v>00100000</v>
      </c>
      <c r="F6" s="99" t="str">
        <f>HEX2BIN(F5,8)</f>
        <v>00000001</v>
      </c>
      <c r="G6" s="99" t="str">
        <f t="shared" ref="G6:L6" si="8">HEX2BIN(G5,8)</f>
        <v>00000001</v>
      </c>
      <c r="H6" s="99" t="str">
        <f t="shared" si="8"/>
        <v>00000000</v>
      </c>
      <c r="I6" s="99" t="str">
        <f t="shared" si="8"/>
        <v>00000000</v>
      </c>
      <c r="J6" s="99" t="str">
        <f t="shared" si="8"/>
        <v>00000000</v>
      </c>
      <c r="K6" s="99" t="str">
        <f t="shared" si="8"/>
        <v>00000000</v>
      </c>
      <c r="L6" s="99" t="str">
        <f t="shared" si="8"/>
        <v>00000000</v>
      </c>
      <c r="M6" s="99"/>
      <c r="N6" s="8"/>
      <c r="P6" s="21" t="str">
        <f>MID(H6,1,1)</f>
        <v>0</v>
      </c>
      <c r="Q6" s="26" t="str">
        <f>P6</f>
        <v>0</v>
      </c>
      <c r="R6" s="7" t="s">
        <v>65</v>
      </c>
      <c r="S6" s="282" t="s">
        <v>131</v>
      </c>
      <c r="T6" s="21" t="str">
        <f>MID(I6,1,1)</f>
        <v>0</v>
      </c>
      <c r="U6" s="26" t="str">
        <f>T6</f>
        <v>0</v>
      </c>
      <c r="V6" s="7" t="s">
        <v>65</v>
      </c>
      <c r="W6" s="285" t="s">
        <v>1318</v>
      </c>
      <c r="X6" s="21" t="str">
        <f>MID(J6,1,1)</f>
        <v>0</v>
      </c>
      <c r="Y6" s="26" t="str">
        <f>X6</f>
        <v>0</v>
      </c>
      <c r="Z6" s="7" t="s">
        <v>65</v>
      </c>
      <c r="AA6" s="8" t="s">
        <v>66</v>
      </c>
      <c r="AB6" s="21" t="str">
        <f>MID(K6,1,1)</f>
        <v>0</v>
      </c>
      <c r="AC6" s="26" t="str">
        <f>AB6</f>
        <v>0</v>
      </c>
      <c r="AD6" s="7" t="s">
        <v>65</v>
      </c>
      <c r="AE6" s="8" t="s">
        <v>66</v>
      </c>
      <c r="AF6" s="21" t="str">
        <f>MID(L6,1,1)</f>
        <v>0</v>
      </c>
      <c r="AG6" s="26" t="str">
        <f>AF6</f>
        <v>0</v>
      </c>
      <c r="AH6" s="7" t="s">
        <v>65</v>
      </c>
      <c r="AI6" s="285" t="s">
        <v>1783</v>
      </c>
      <c r="AJ6" s="400"/>
      <c r="AK6" s="401"/>
      <c r="AO6" t="str">
        <f>H142&amp;I142&amp;J142&amp;K142&amp;L142</f>
        <v>0000000000</v>
      </c>
      <c r="AP6" t="str">
        <f t="shared" si="1"/>
        <v>0000000000</v>
      </c>
      <c r="AQ6">
        <f>HEX2DEC(AQ5)</f>
        <v>0</v>
      </c>
      <c r="AR6">
        <f t="shared" ref="AR6:DC6" si="9">HEX2DEC(AR5)</f>
        <v>0</v>
      </c>
      <c r="AS6">
        <f t="shared" si="9"/>
        <v>0</v>
      </c>
      <c r="AT6">
        <f t="shared" si="9"/>
        <v>0</v>
      </c>
      <c r="AU6">
        <f t="shared" si="9"/>
        <v>0</v>
      </c>
      <c r="AV6">
        <f t="shared" si="9"/>
        <v>0</v>
      </c>
      <c r="AW6">
        <f t="shared" si="9"/>
        <v>0</v>
      </c>
      <c r="AX6">
        <f t="shared" si="9"/>
        <v>0</v>
      </c>
      <c r="AY6">
        <f t="shared" si="9"/>
        <v>0</v>
      </c>
      <c r="AZ6">
        <f t="shared" si="9"/>
        <v>0</v>
      </c>
      <c r="BA6">
        <f t="shared" si="9"/>
        <v>0</v>
      </c>
      <c r="BB6">
        <f t="shared" si="9"/>
        <v>0</v>
      </c>
      <c r="BC6">
        <f t="shared" si="9"/>
        <v>0</v>
      </c>
      <c r="BD6">
        <f t="shared" si="9"/>
        <v>0</v>
      </c>
      <c r="BE6">
        <f t="shared" si="9"/>
        <v>0</v>
      </c>
      <c r="BF6">
        <f t="shared" si="9"/>
        <v>0</v>
      </c>
      <c r="BG6">
        <f t="shared" si="9"/>
        <v>0</v>
      </c>
      <c r="BH6">
        <f t="shared" si="9"/>
        <v>0</v>
      </c>
      <c r="BI6">
        <f t="shared" si="9"/>
        <v>0</v>
      </c>
      <c r="BJ6">
        <f t="shared" si="9"/>
        <v>0</v>
      </c>
      <c r="BK6">
        <f t="shared" si="9"/>
        <v>0</v>
      </c>
      <c r="BL6">
        <f t="shared" si="9"/>
        <v>0</v>
      </c>
      <c r="BM6">
        <f t="shared" si="9"/>
        <v>0</v>
      </c>
      <c r="BN6">
        <f t="shared" si="9"/>
        <v>0</v>
      </c>
      <c r="BO6">
        <f t="shared" si="9"/>
        <v>0</v>
      </c>
      <c r="BP6">
        <f t="shared" si="9"/>
        <v>0</v>
      </c>
      <c r="BQ6">
        <f t="shared" si="9"/>
        <v>0</v>
      </c>
      <c r="BR6">
        <f t="shared" si="9"/>
        <v>0</v>
      </c>
      <c r="BS6">
        <f t="shared" si="9"/>
        <v>0</v>
      </c>
      <c r="BT6">
        <f t="shared" si="9"/>
        <v>0</v>
      </c>
      <c r="BU6">
        <f t="shared" si="9"/>
        <v>0</v>
      </c>
      <c r="BV6">
        <f t="shared" si="9"/>
        <v>0</v>
      </c>
      <c r="BW6">
        <f t="shared" si="9"/>
        <v>0</v>
      </c>
      <c r="BX6">
        <f t="shared" si="9"/>
        <v>0</v>
      </c>
      <c r="BY6">
        <f t="shared" si="9"/>
        <v>0</v>
      </c>
      <c r="BZ6">
        <f t="shared" si="9"/>
        <v>0</v>
      </c>
      <c r="CA6">
        <f t="shared" si="9"/>
        <v>0</v>
      </c>
      <c r="CB6">
        <f t="shared" si="9"/>
        <v>0</v>
      </c>
      <c r="CC6">
        <f t="shared" si="9"/>
        <v>0</v>
      </c>
      <c r="CD6">
        <f t="shared" si="9"/>
        <v>0</v>
      </c>
      <c r="CE6">
        <f t="shared" si="9"/>
        <v>0</v>
      </c>
      <c r="CF6">
        <f t="shared" si="9"/>
        <v>0</v>
      </c>
      <c r="CG6">
        <f t="shared" si="9"/>
        <v>0</v>
      </c>
      <c r="CH6">
        <f t="shared" si="9"/>
        <v>0</v>
      </c>
      <c r="CI6">
        <f t="shared" si="9"/>
        <v>0</v>
      </c>
      <c r="CJ6">
        <f t="shared" si="9"/>
        <v>0</v>
      </c>
      <c r="CK6">
        <f t="shared" si="9"/>
        <v>0</v>
      </c>
      <c r="CL6">
        <f t="shared" si="9"/>
        <v>0</v>
      </c>
      <c r="CM6">
        <f t="shared" si="9"/>
        <v>0</v>
      </c>
      <c r="CN6">
        <f t="shared" si="9"/>
        <v>0</v>
      </c>
      <c r="CO6">
        <f t="shared" si="9"/>
        <v>0</v>
      </c>
      <c r="CP6">
        <f t="shared" si="9"/>
        <v>0</v>
      </c>
      <c r="CQ6">
        <f t="shared" si="9"/>
        <v>0</v>
      </c>
      <c r="CR6">
        <f t="shared" si="9"/>
        <v>0</v>
      </c>
      <c r="CS6">
        <f t="shared" si="9"/>
        <v>0</v>
      </c>
      <c r="CT6">
        <f t="shared" si="9"/>
        <v>0</v>
      </c>
      <c r="CU6">
        <f t="shared" si="9"/>
        <v>0</v>
      </c>
      <c r="CV6">
        <f t="shared" si="9"/>
        <v>0</v>
      </c>
      <c r="CW6">
        <f t="shared" si="9"/>
        <v>0</v>
      </c>
      <c r="CX6">
        <f t="shared" si="9"/>
        <v>0</v>
      </c>
      <c r="CY6">
        <f t="shared" si="9"/>
        <v>0</v>
      </c>
      <c r="CZ6">
        <f t="shared" si="9"/>
        <v>0</v>
      </c>
      <c r="DA6">
        <f t="shared" si="9"/>
        <v>0</v>
      </c>
      <c r="DB6">
        <f t="shared" si="9"/>
        <v>0</v>
      </c>
      <c r="DC6">
        <f t="shared" si="9"/>
        <v>0</v>
      </c>
      <c r="DD6">
        <f t="shared" ref="DD6:FO6" si="10">HEX2DEC(DD5)</f>
        <v>0</v>
      </c>
      <c r="DE6">
        <f t="shared" si="10"/>
        <v>0</v>
      </c>
      <c r="DF6">
        <f t="shared" si="10"/>
        <v>0</v>
      </c>
      <c r="DG6">
        <f t="shared" si="10"/>
        <v>0</v>
      </c>
      <c r="DH6">
        <f t="shared" si="10"/>
        <v>0</v>
      </c>
      <c r="DI6">
        <f t="shared" si="10"/>
        <v>0</v>
      </c>
      <c r="DJ6">
        <f t="shared" si="10"/>
        <v>0</v>
      </c>
      <c r="DK6">
        <f t="shared" si="10"/>
        <v>0</v>
      </c>
      <c r="DL6">
        <f t="shared" si="10"/>
        <v>0</v>
      </c>
      <c r="DM6">
        <f t="shared" si="10"/>
        <v>0</v>
      </c>
      <c r="DN6">
        <f t="shared" si="10"/>
        <v>0</v>
      </c>
      <c r="DO6">
        <f t="shared" si="10"/>
        <v>0</v>
      </c>
      <c r="DP6">
        <f t="shared" si="10"/>
        <v>0</v>
      </c>
      <c r="DQ6">
        <f t="shared" si="10"/>
        <v>0</v>
      </c>
      <c r="DR6">
        <f t="shared" si="10"/>
        <v>0</v>
      </c>
      <c r="DS6">
        <f t="shared" si="10"/>
        <v>0</v>
      </c>
      <c r="DT6">
        <f t="shared" si="10"/>
        <v>0</v>
      </c>
      <c r="DU6">
        <f t="shared" si="10"/>
        <v>0</v>
      </c>
      <c r="DV6">
        <f t="shared" si="10"/>
        <v>0</v>
      </c>
      <c r="DW6">
        <f t="shared" si="10"/>
        <v>0</v>
      </c>
      <c r="DX6">
        <f t="shared" si="10"/>
        <v>0</v>
      </c>
      <c r="DY6">
        <f t="shared" si="10"/>
        <v>0</v>
      </c>
      <c r="DZ6">
        <f t="shared" si="10"/>
        <v>0</v>
      </c>
      <c r="EA6">
        <f t="shared" si="10"/>
        <v>0</v>
      </c>
      <c r="EB6">
        <f t="shared" si="10"/>
        <v>0</v>
      </c>
      <c r="EC6">
        <f t="shared" si="10"/>
        <v>0</v>
      </c>
      <c r="ED6">
        <f t="shared" si="10"/>
        <v>0</v>
      </c>
      <c r="EE6">
        <f t="shared" si="10"/>
        <v>0</v>
      </c>
      <c r="EF6">
        <f t="shared" si="10"/>
        <v>0</v>
      </c>
      <c r="EG6">
        <f t="shared" si="10"/>
        <v>0</v>
      </c>
      <c r="EH6">
        <f t="shared" si="10"/>
        <v>0</v>
      </c>
      <c r="EI6">
        <f t="shared" si="10"/>
        <v>0</v>
      </c>
      <c r="EJ6">
        <f t="shared" si="10"/>
        <v>0</v>
      </c>
      <c r="EK6">
        <f t="shared" si="10"/>
        <v>0</v>
      </c>
      <c r="EL6">
        <f t="shared" si="10"/>
        <v>0</v>
      </c>
      <c r="EM6">
        <f t="shared" si="10"/>
        <v>0</v>
      </c>
      <c r="EN6">
        <f t="shared" si="10"/>
        <v>0</v>
      </c>
      <c r="EO6">
        <f t="shared" si="10"/>
        <v>0</v>
      </c>
      <c r="EP6">
        <f t="shared" si="10"/>
        <v>0</v>
      </c>
      <c r="EQ6">
        <f t="shared" si="10"/>
        <v>0</v>
      </c>
      <c r="ER6">
        <f t="shared" si="10"/>
        <v>0</v>
      </c>
      <c r="ES6">
        <f t="shared" si="10"/>
        <v>0</v>
      </c>
      <c r="ET6">
        <f t="shared" si="10"/>
        <v>0</v>
      </c>
      <c r="EU6">
        <f t="shared" si="10"/>
        <v>0</v>
      </c>
      <c r="EV6">
        <f t="shared" si="10"/>
        <v>0</v>
      </c>
      <c r="EW6">
        <f t="shared" si="10"/>
        <v>0</v>
      </c>
      <c r="EX6">
        <f t="shared" si="10"/>
        <v>0</v>
      </c>
      <c r="EY6">
        <f t="shared" si="10"/>
        <v>0</v>
      </c>
      <c r="EZ6">
        <f t="shared" si="10"/>
        <v>0</v>
      </c>
      <c r="FA6">
        <f t="shared" si="10"/>
        <v>0</v>
      </c>
      <c r="FB6">
        <f t="shared" si="10"/>
        <v>0</v>
      </c>
      <c r="FC6">
        <f t="shared" si="10"/>
        <v>0</v>
      </c>
      <c r="FD6">
        <f t="shared" si="10"/>
        <v>0</v>
      </c>
      <c r="FE6">
        <f t="shared" si="10"/>
        <v>0</v>
      </c>
      <c r="FF6">
        <f t="shared" si="10"/>
        <v>0</v>
      </c>
      <c r="FG6">
        <f t="shared" si="10"/>
        <v>0</v>
      </c>
      <c r="FH6">
        <f t="shared" si="10"/>
        <v>0</v>
      </c>
      <c r="FI6">
        <f t="shared" si="10"/>
        <v>0</v>
      </c>
      <c r="FJ6">
        <f t="shared" si="10"/>
        <v>0</v>
      </c>
      <c r="FK6">
        <f t="shared" si="10"/>
        <v>0</v>
      </c>
      <c r="FL6">
        <f t="shared" si="10"/>
        <v>0</v>
      </c>
      <c r="FM6">
        <f t="shared" si="10"/>
        <v>0</v>
      </c>
      <c r="FN6">
        <f t="shared" si="10"/>
        <v>0</v>
      </c>
      <c r="FO6">
        <f t="shared" si="10"/>
        <v>0</v>
      </c>
      <c r="FP6">
        <f t="shared" ref="FP6:FS6" si="11">HEX2DEC(FP5)</f>
        <v>0</v>
      </c>
      <c r="FQ6">
        <f t="shared" si="11"/>
        <v>0</v>
      </c>
      <c r="FR6">
        <f t="shared" si="11"/>
        <v>0</v>
      </c>
      <c r="FS6">
        <f t="shared" si="11"/>
        <v>0</v>
      </c>
      <c r="FT6">
        <f>HEX2DEC(FT5)</f>
        <v>0</v>
      </c>
      <c r="FU6">
        <f t="shared" ref="FU6:IF6" si="12">HEX2DEC(FU5)</f>
        <v>83</v>
      </c>
      <c r="FV6">
        <f t="shared" si="12"/>
        <v>0</v>
      </c>
      <c r="FW6">
        <f t="shared" si="12"/>
        <v>0</v>
      </c>
      <c r="FX6">
        <f t="shared" si="12"/>
        <v>0</v>
      </c>
      <c r="FY6">
        <f t="shared" si="12"/>
        <v>0</v>
      </c>
      <c r="FZ6">
        <f t="shared" si="12"/>
        <v>0</v>
      </c>
      <c r="GA6">
        <f t="shared" si="12"/>
        <v>0</v>
      </c>
      <c r="GB6">
        <f t="shared" si="12"/>
        <v>0</v>
      </c>
      <c r="GC6">
        <f t="shared" si="12"/>
        <v>0</v>
      </c>
      <c r="GD6">
        <f t="shared" si="12"/>
        <v>0</v>
      </c>
      <c r="GE6">
        <f t="shared" si="12"/>
        <v>0</v>
      </c>
      <c r="GF6">
        <f t="shared" si="12"/>
        <v>0</v>
      </c>
      <c r="GG6">
        <f t="shared" si="12"/>
        <v>0</v>
      </c>
      <c r="GH6">
        <f t="shared" si="12"/>
        <v>0</v>
      </c>
      <c r="GI6">
        <f t="shared" si="12"/>
        <v>0</v>
      </c>
      <c r="GJ6">
        <f t="shared" si="12"/>
        <v>0</v>
      </c>
      <c r="GK6">
        <f t="shared" si="12"/>
        <v>0</v>
      </c>
      <c r="GL6">
        <f t="shared" si="12"/>
        <v>0</v>
      </c>
      <c r="GM6">
        <f t="shared" si="12"/>
        <v>0</v>
      </c>
      <c r="GN6">
        <f t="shared" si="12"/>
        <v>0</v>
      </c>
      <c r="GO6">
        <f t="shared" si="12"/>
        <v>0</v>
      </c>
      <c r="GP6">
        <f t="shared" si="12"/>
        <v>0</v>
      </c>
      <c r="GQ6">
        <f t="shared" si="12"/>
        <v>0</v>
      </c>
      <c r="GR6">
        <f t="shared" si="12"/>
        <v>0</v>
      </c>
      <c r="GS6">
        <f t="shared" si="12"/>
        <v>0</v>
      </c>
      <c r="GT6">
        <f t="shared" si="12"/>
        <v>0</v>
      </c>
      <c r="GU6">
        <f t="shared" si="12"/>
        <v>0</v>
      </c>
      <c r="GV6">
        <f t="shared" si="12"/>
        <v>0</v>
      </c>
      <c r="GW6">
        <f t="shared" si="12"/>
        <v>0</v>
      </c>
      <c r="GX6">
        <f t="shared" si="12"/>
        <v>0</v>
      </c>
      <c r="GY6">
        <f t="shared" si="12"/>
        <v>0</v>
      </c>
      <c r="GZ6">
        <f t="shared" si="12"/>
        <v>0</v>
      </c>
      <c r="HA6">
        <f t="shared" si="12"/>
        <v>0</v>
      </c>
      <c r="HB6">
        <f t="shared" si="12"/>
        <v>0</v>
      </c>
      <c r="HC6">
        <f t="shared" si="12"/>
        <v>0</v>
      </c>
      <c r="HD6">
        <f t="shared" si="12"/>
        <v>0</v>
      </c>
      <c r="HE6">
        <f t="shared" si="12"/>
        <v>0</v>
      </c>
      <c r="HF6">
        <f t="shared" si="12"/>
        <v>0</v>
      </c>
      <c r="HG6">
        <f t="shared" si="12"/>
        <v>0</v>
      </c>
      <c r="HH6">
        <f t="shared" si="12"/>
        <v>0</v>
      </c>
      <c r="HI6">
        <f t="shared" si="12"/>
        <v>0</v>
      </c>
      <c r="HJ6">
        <f t="shared" si="12"/>
        <v>0</v>
      </c>
      <c r="HK6">
        <f t="shared" si="12"/>
        <v>0</v>
      </c>
      <c r="HL6">
        <f t="shared" si="12"/>
        <v>0</v>
      </c>
      <c r="HM6">
        <f t="shared" si="12"/>
        <v>0</v>
      </c>
      <c r="HN6">
        <f t="shared" si="12"/>
        <v>0</v>
      </c>
      <c r="HO6">
        <f t="shared" si="12"/>
        <v>0</v>
      </c>
      <c r="HP6">
        <f t="shared" si="12"/>
        <v>0</v>
      </c>
      <c r="HQ6">
        <f t="shared" si="12"/>
        <v>0</v>
      </c>
      <c r="HR6">
        <f t="shared" si="12"/>
        <v>0</v>
      </c>
      <c r="HS6">
        <f t="shared" si="12"/>
        <v>0</v>
      </c>
      <c r="HT6">
        <f t="shared" si="12"/>
        <v>0</v>
      </c>
      <c r="HU6">
        <f t="shared" si="12"/>
        <v>0</v>
      </c>
      <c r="HV6">
        <f t="shared" si="12"/>
        <v>0</v>
      </c>
      <c r="HW6">
        <f t="shared" si="12"/>
        <v>0</v>
      </c>
      <c r="HX6">
        <f t="shared" si="12"/>
        <v>0</v>
      </c>
      <c r="HY6">
        <f t="shared" si="12"/>
        <v>0</v>
      </c>
      <c r="HZ6">
        <f t="shared" si="12"/>
        <v>0</v>
      </c>
      <c r="IA6">
        <f t="shared" si="12"/>
        <v>0</v>
      </c>
      <c r="IB6">
        <f t="shared" si="12"/>
        <v>0</v>
      </c>
      <c r="IC6">
        <f t="shared" si="12"/>
        <v>0</v>
      </c>
      <c r="ID6">
        <f t="shared" si="12"/>
        <v>0</v>
      </c>
      <c r="IE6">
        <f t="shared" si="12"/>
        <v>0</v>
      </c>
      <c r="IF6">
        <f t="shared" si="12"/>
        <v>0</v>
      </c>
      <c r="IG6">
        <f t="shared" ref="IG6:KR6" si="13">HEX2DEC(IG5)</f>
        <v>0</v>
      </c>
      <c r="IH6">
        <f t="shared" si="13"/>
        <v>0</v>
      </c>
      <c r="II6">
        <f t="shared" si="13"/>
        <v>0</v>
      </c>
      <c r="IJ6">
        <f t="shared" si="13"/>
        <v>0</v>
      </c>
      <c r="IK6">
        <f t="shared" si="13"/>
        <v>0</v>
      </c>
      <c r="IL6">
        <f t="shared" si="13"/>
        <v>0</v>
      </c>
      <c r="IM6">
        <f t="shared" si="13"/>
        <v>0</v>
      </c>
      <c r="IN6">
        <f t="shared" si="13"/>
        <v>0</v>
      </c>
      <c r="IO6">
        <f t="shared" si="13"/>
        <v>0</v>
      </c>
      <c r="IP6">
        <f t="shared" si="13"/>
        <v>0</v>
      </c>
      <c r="IQ6">
        <f t="shared" si="13"/>
        <v>0</v>
      </c>
      <c r="IR6">
        <f t="shared" si="13"/>
        <v>0</v>
      </c>
      <c r="IS6">
        <f t="shared" si="13"/>
        <v>0</v>
      </c>
      <c r="IT6">
        <f t="shared" si="13"/>
        <v>0</v>
      </c>
      <c r="IU6">
        <f t="shared" si="13"/>
        <v>0</v>
      </c>
      <c r="IV6">
        <f t="shared" si="13"/>
        <v>0</v>
      </c>
      <c r="IW6">
        <f t="shared" si="13"/>
        <v>0</v>
      </c>
      <c r="IX6">
        <f t="shared" si="13"/>
        <v>0</v>
      </c>
      <c r="IY6">
        <f t="shared" si="13"/>
        <v>0</v>
      </c>
      <c r="IZ6">
        <f t="shared" si="13"/>
        <v>0</v>
      </c>
      <c r="JA6">
        <f t="shared" si="13"/>
        <v>0</v>
      </c>
      <c r="JB6">
        <f t="shared" si="13"/>
        <v>0</v>
      </c>
      <c r="JC6">
        <f t="shared" si="13"/>
        <v>0</v>
      </c>
      <c r="JD6">
        <f t="shared" si="13"/>
        <v>0</v>
      </c>
      <c r="JE6">
        <f t="shared" si="13"/>
        <v>0</v>
      </c>
      <c r="JF6">
        <f t="shared" si="13"/>
        <v>0</v>
      </c>
      <c r="JG6">
        <f t="shared" si="13"/>
        <v>0</v>
      </c>
      <c r="JH6">
        <f t="shared" si="13"/>
        <v>0</v>
      </c>
      <c r="JI6">
        <f t="shared" si="13"/>
        <v>0</v>
      </c>
      <c r="JJ6">
        <f t="shared" si="13"/>
        <v>0</v>
      </c>
      <c r="JK6">
        <f t="shared" si="13"/>
        <v>0</v>
      </c>
      <c r="JL6">
        <f t="shared" si="13"/>
        <v>0</v>
      </c>
      <c r="JM6">
        <f t="shared" si="13"/>
        <v>0</v>
      </c>
      <c r="JN6">
        <f t="shared" si="13"/>
        <v>0</v>
      </c>
      <c r="JO6">
        <f t="shared" si="13"/>
        <v>0</v>
      </c>
      <c r="JP6">
        <f t="shared" si="13"/>
        <v>0</v>
      </c>
      <c r="JQ6">
        <f t="shared" si="13"/>
        <v>0</v>
      </c>
      <c r="JR6">
        <f t="shared" si="13"/>
        <v>0</v>
      </c>
      <c r="JS6">
        <f t="shared" si="13"/>
        <v>0</v>
      </c>
      <c r="JT6">
        <f t="shared" si="13"/>
        <v>0</v>
      </c>
      <c r="JU6">
        <f t="shared" si="13"/>
        <v>0</v>
      </c>
      <c r="JV6">
        <f t="shared" si="13"/>
        <v>0</v>
      </c>
      <c r="JW6">
        <f t="shared" si="13"/>
        <v>0</v>
      </c>
      <c r="JX6">
        <f t="shared" si="13"/>
        <v>0</v>
      </c>
      <c r="JY6">
        <f t="shared" si="13"/>
        <v>0</v>
      </c>
      <c r="JZ6">
        <f t="shared" si="13"/>
        <v>0</v>
      </c>
      <c r="KA6">
        <f t="shared" si="13"/>
        <v>0</v>
      </c>
      <c r="KB6">
        <f t="shared" si="13"/>
        <v>0</v>
      </c>
      <c r="KC6">
        <f t="shared" si="13"/>
        <v>0</v>
      </c>
      <c r="KD6">
        <f t="shared" si="13"/>
        <v>0</v>
      </c>
      <c r="KE6">
        <f t="shared" si="13"/>
        <v>0</v>
      </c>
      <c r="KF6">
        <f t="shared" si="13"/>
        <v>0</v>
      </c>
      <c r="KG6">
        <f t="shared" si="13"/>
        <v>0</v>
      </c>
      <c r="KH6">
        <f t="shared" si="13"/>
        <v>0</v>
      </c>
      <c r="KI6">
        <f t="shared" si="13"/>
        <v>0</v>
      </c>
      <c r="KJ6">
        <f t="shared" si="13"/>
        <v>0</v>
      </c>
      <c r="KK6">
        <f t="shared" si="13"/>
        <v>0</v>
      </c>
      <c r="KL6">
        <f t="shared" si="13"/>
        <v>0</v>
      </c>
      <c r="KM6">
        <f t="shared" si="13"/>
        <v>0</v>
      </c>
      <c r="KN6">
        <f t="shared" si="13"/>
        <v>0</v>
      </c>
      <c r="KO6">
        <f t="shared" si="13"/>
        <v>0</v>
      </c>
      <c r="KP6">
        <f t="shared" si="13"/>
        <v>0</v>
      </c>
      <c r="KQ6">
        <f t="shared" si="13"/>
        <v>0</v>
      </c>
      <c r="KR6">
        <f t="shared" si="13"/>
        <v>0</v>
      </c>
      <c r="KT6">
        <f>IF(ISNA(MATCH("720G4HD*",$A$3:$A$70,0))=TRUE,IF(ISNA(MATCH("7200429*",$A$3:$A$70,0))=TRUE,SUM(AQ6:FT6),SUM(AQ6:KS6)),SUM(AQ6:KS6))</f>
        <v>0</v>
      </c>
    </row>
    <row r="7" spans="1:306" ht="15" customHeight="1" x14ac:dyDescent="0.3">
      <c r="A7" s="270" t="s">
        <v>1256</v>
      </c>
      <c r="B7" s="87" t="str">
        <f>RIGHT(D46,1)&amp;E46&amp;F46&amp;G46&amp;H43&amp;I43&amp;J43&amp;K43&amp;L43&amp;M43</f>
        <v>720G1G400000000002C</v>
      </c>
      <c r="C7" s="7" t="s">
        <v>67</v>
      </c>
      <c r="D7" s="99">
        <f>HEX2DEC(D5)</f>
        <v>7</v>
      </c>
      <c r="E7" s="99">
        <f t="shared" ref="E7:L7" si="14">HEX2DEC(E5)</f>
        <v>32</v>
      </c>
      <c r="F7" s="99">
        <f t="shared" si="14"/>
        <v>1</v>
      </c>
      <c r="G7" s="99">
        <f t="shared" si="14"/>
        <v>1</v>
      </c>
      <c r="H7" s="99">
        <f t="shared" si="14"/>
        <v>0</v>
      </c>
      <c r="I7" s="99">
        <f t="shared" si="14"/>
        <v>0</v>
      </c>
      <c r="J7" s="99">
        <f t="shared" si="14"/>
        <v>0</v>
      </c>
      <c r="K7" s="99">
        <f t="shared" si="14"/>
        <v>0</v>
      </c>
      <c r="L7" s="99">
        <f t="shared" si="14"/>
        <v>0</v>
      </c>
      <c r="M7" s="99">
        <f>SUM(D7:L7)</f>
        <v>41</v>
      </c>
      <c r="N7" s="8"/>
      <c r="P7" s="21" t="str">
        <f>MID(H6,2,1)</f>
        <v>0</v>
      </c>
      <c r="Q7" s="26" t="str">
        <f t="shared" ref="Q7:Q13" si="15">P7</f>
        <v>0</v>
      </c>
      <c r="R7" s="7" t="s">
        <v>68</v>
      </c>
      <c r="S7" s="513" t="s">
        <v>1317</v>
      </c>
      <c r="T7" s="21" t="str">
        <f>MID(I6,2,1)</f>
        <v>0</v>
      </c>
      <c r="U7" s="26" t="str">
        <f t="shared" ref="U7:U13" si="16">T7</f>
        <v>0</v>
      </c>
      <c r="V7" s="7" t="s">
        <v>68</v>
      </c>
      <c r="W7" s="285" t="s">
        <v>1319</v>
      </c>
      <c r="X7" s="21" t="str">
        <f>MID(J6,2,1)</f>
        <v>0</v>
      </c>
      <c r="Y7" s="26" t="str">
        <f t="shared" ref="Y7:Y13" si="17">X7</f>
        <v>0</v>
      </c>
      <c r="Z7" s="7" t="s">
        <v>68</v>
      </c>
      <c r="AA7" s="282" t="s">
        <v>132</v>
      </c>
      <c r="AB7" s="21" t="str">
        <f>MID(K6,2,1)</f>
        <v>0</v>
      </c>
      <c r="AC7" s="26" t="str">
        <f t="shared" ref="AC7:AC13" si="18">AB7</f>
        <v>0</v>
      </c>
      <c r="AD7" s="7" t="s">
        <v>68</v>
      </c>
      <c r="AE7" s="360" t="s">
        <v>1770</v>
      </c>
      <c r="AF7" s="33" t="str">
        <f>MID(L6,2,1)</f>
        <v>0</v>
      </c>
      <c r="AG7" s="26" t="str">
        <f t="shared" ref="AG7:AG13" si="19">AF7</f>
        <v>0</v>
      </c>
      <c r="AH7" s="7" t="s">
        <v>68</v>
      </c>
      <c r="AI7" s="285" t="s">
        <v>1784</v>
      </c>
      <c r="AJ7" s="400"/>
      <c r="AK7" s="401"/>
      <c r="AO7" t="str">
        <f>H153&amp;I153&amp;J153&amp;K153&amp;L153</f>
        <v>0000000000</v>
      </c>
      <c r="AP7" t="str">
        <f t="shared" si="1"/>
        <v>0000000000</v>
      </c>
    </row>
    <row r="8" spans="1:306" x14ac:dyDescent="0.3">
      <c r="A8" s="270" t="s">
        <v>1257</v>
      </c>
      <c r="B8" s="87" t="str">
        <f>RIGHT(D57,1)&amp;E57&amp;F57&amp;G57&amp;H54&amp;I54&amp;J54&amp;K54&amp;L54&amp;M54</f>
        <v>720G1G500000000002D</v>
      </c>
      <c r="C8" s="7" t="s">
        <v>1678</v>
      </c>
      <c r="D8" s="333" t="str">
        <f>D5</f>
        <v>07</v>
      </c>
      <c r="E8" s="333" t="str">
        <f>E5</f>
        <v>20</v>
      </c>
      <c r="F8" s="99" t="str">
        <f>MID(INDEX($A$3:$A$70,IF(ISNA(MATCH("720G1G1*",$A$3:$A$70,0))=TRUE,MATCH("7200101*",$A$3:$A$70,0),MATCH("720G1G1*",$A$3:$A$70,0))),$AS$8,2)</f>
        <v>G1</v>
      </c>
      <c r="G8" s="99" t="str">
        <f>MID(INDEX($A$3:$A$70,IF(ISNA(MATCH("720G1G1*",$A$3:$A$70,0))=TRUE,MATCH("7200101*",$A$3:$A$70,0),MATCH("720G1G1*",$A$3:$A$70,0))),$AT$8,2)</f>
        <v>G1</v>
      </c>
      <c r="N8" s="8"/>
      <c r="P8" s="21" t="str">
        <f>MID(H6,3,1)</f>
        <v>0</v>
      </c>
      <c r="Q8" s="26" t="str">
        <f t="shared" si="15"/>
        <v>0</v>
      </c>
      <c r="R8" s="7" t="s">
        <v>69</v>
      </c>
      <c r="S8" s="514"/>
      <c r="T8" s="21" t="str">
        <f>MID(I6,3,1)</f>
        <v>0</v>
      </c>
      <c r="U8" s="26" t="str">
        <f t="shared" si="16"/>
        <v>0</v>
      </c>
      <c r="V8" s="7" t="s">
        <v>69</v>
      </c>
      <c r="W8" s="282" t="s">
        <v>133</v>
      </c>
      <c r="X8" s="21" t="str">
        <f>MID(J6,3,1)</f>
        <v>0</v>
      </c>
      <c r="Y8" s="26" t="str">
        <f t="shared" si="17"/>
        <v>0</v>
      </c>
      <c r="Z8" s="7" t="s">
        <v>69</v>
      </c>
      <c r="AA8" s="282" t="s">
        <v>134</v>
      </c>
      <c r="AB8" s="21" t="str">
        <f>MID(K6,3,1)</f>
        <v>0</v>
      </c>
      <c r="AC8" s="26" t="str">
        <f t="shared" si="18"/>
        <v>0</v>
      </c>
      <c r="AD8" s="7" t="s">
        <v>69</v>
      </c>
      <c r="AE8" s="569" t="s">
        <v>1712</v>
      </c>
      <c r="AF8" s="33" t="str">
        <f>MID(L6,3,1)</f>
        <v>0</v>
      </c>
      <c r="AG8" s="26" t="str">
        <f t="shared" si="19"/>
        <v>0</v>
      </c>
      <c r="AH8" s="7" t="s">
        <v>69</v>
      </c>
      <c r="AI8" s="285" t="s">
        <v>1784</v>
      </c>
      <c r="AJ8" s="400"/>
      <c r="AK8" s="401"/>
      <c r="AO8" t="str">
        <f>H164&amp;I164&amp;J164&amp;K164&amp;L164</f>
        <v>0000000000</v>
      </c>
      <c r="AP8" t="str">
        <f t="shared" si="1"/>
        <v>0000000000</v>
      </c>
      <c r="AS8">
        <v>4</v>
      </c>
      <c r="AT8">
        <v>6</v>
      </c>
      <c r="AU8">
        <v>8</v>
      </c>
      <c r="AV8">
        <v>10</v>
      </c>
      <c r="AW8">
        <v>12</v>
      </c>
      <c r="AX8">
        <v>14</v>
      </c>
      <c r="AY8">
        <v>16</v>
      </c>
      <c r="AZ8">
        <v>18</v>
      </c>
    </row>
    <row r="9" spans="1:306" ht="15" thickBot="1" x14ac:dyDescent="0.35">
      <c r="A9" s="278" t="s">
        <v>1718</v>
      </c>
      <c r="B9" s="87" t="str">
        <f>RIGHT(D68,1)&amp;E68&amp;F68&amp;G68&amp;H65&amp;I65&amp;J65&amp;K65&amp;L65&amp;M65</f>
        <v>720G1G60000002E</v>
      </c>
      <c r="C9" s="7"/>
      <c r="N9" s="8"/>
      <c r="P9" s="21" t="str">
        <f>MID(H6,4,1)</f>
        <v>0</v>
      </c>
      <c r="Q9" s="26" t="str">
        <f t="shared" si="15"/>
        <v>0</v>
      </c>
      <c r="R9" s="7" t="s">
        <v>70</v>
      </c>
      <c r="S9" s="514"/>
      <c r="T9" s="21" t="str">
        <f>MID(I6,4,1)</f>
        <v>0</v>
      </c>
      <c r="U9" s="26" t="str">
        <f t="shared" si="16"/>
        <v>0</v>
      </c>
      <c r="V9" s="7" t="s">
        <v>70</v>
      </c>
      <c r="W9" s="292" t="s">
        <v>1326</v>
      </c>
      <c r="X9" s="21" t="str">
        <f>MID(J6,4,1)</f>
        <v>0</v>
      </c>
      <c r="Y9" s="26" t="str">
        <f t="shared" si="17"/>
        <v>0</v>
      </c>
      <c r="Z9" s="7" t="s">
        <v>70</v>
      </c>
      <c r="AA9" s="94" t="s">
        <v>135</v>
      </c>
      <c r="AB9" s="21" t="str">
        <f>MID(K6,4,1)</f>
        <v>0</v>
      </c>
      <c r="AC9" s="26" t="str">
        <f t="shared" si="18"/>
        <v>0</v>
      </c>
      <c r="AD9" s="7" t="s">
        <v>70</v>
      </c>
      <c r="AE9" s="570"/>
      <c r="AF9" s="33" t="str">
        <f>MID(L6,4,1)</f>
        <v>0</v>
      </c>
      <c r="AG9" s="26" t="str">
        <f t="shared" si="19"/>
        <v>0</v>
      </c>
      <c r="AH9" s="7" t="s">
        <v>70</v>
      </c>
      <c r="AI9" s="285" t="s">
        <v>1784</v>
      </c>
      <c r="AJ9" s="400"/>
      <c r="AK9" s="401"/>
      <c r="AO9" t="str">
        <f>H175&amp;I175&amp;J175&amp;K175&amp;L175</f>
        <v>0000000000</v>
      </c>
      <c r="AP9" t="str">
        <f t="shared" si="1"/>
        <v>0000000000</v>
      </c>
    </row>
    <row r="10" spans="1:306" ht="15.75" customHeight="1" thickBot="1" x14ac:dyDescent="0.35">
      <c r="A10" s="278" t="s">
        <v>1244</v>
      </c>
      <c r="B10" s="87" t="str">
        <f>IF(OR(LEFT(A10,7)="720G1G7",LEFT(A10,7)="7200107"),RIGHT(D79,1)&amp;E79&amp;F79&amp;G79&amp;H76&amp;I76&amp;J76&amp;K76&amp;L76&amp;M76,A10)</f>
        <v>;Block 2</v>
      </c>
      <c r="C10" s="7" t="s">
        <v>56</v>
      </c>
      <c r="D10" s="15" t="str">
        <f>D5</f>
        <v>07</v>
      </c>
      <c r="E10" s="16" t="str">
        <f>E5</f>
        <v>20</v>
      </c>
      <c r="F10" s="16" t="str">
        <f>F5</f>
        <v>01</v>
      </c>
      <c r="G10" s="17" t="str">
        <f>G5</f>
        <v>01</v>
      </c>
      <c r="H10" s="23" t="str">
        <f>BIN2HEX(H11,2)</f>
        <v>00</v>
      </c>
      <c r="I10" s="25" t="str">
        <f t="shared" ref="I10:L10" si="20">BIN2HEX(I11,2)</f>
        <v>00</v>
      </c>
      <c r="J10" s="24" t="str">
        <f t="shared" si="20"/>
        <v>00</v>
      </c>
      <c r="K10" s="2" t="str">
        <f t="shared" si="20"/>
        <v>00</v>
      </c>
      <c r="L10" s="18" t="str">
        <f t="shared" si="20"/>
        <v>00</v>
      </c>
      <c r="M10" s="3" t="str">
        <f>IF(LEN(M11)&gt;2,MID(M11,2,2),M11)</f>
        <v>29</v>
      </c>
      <c r="N10" s="8" t="s">
        <v>61</v>
      </c>
      <c r="P10" s="21" t="str">
        <f>MID(H6,5,1)</f>
        <v>0</v>
      </c>
      <c r="Q10" s="26" t="str">
        <f t="shared" si="15"/>
        <v>0</v>
      </c>
      <c r="R10" s="7" t="s">
        <v>71</v>
      </c>
      <c r="S10" s="515" t="s">
        <v>1709</v>
      </c>
      <c r="T10" s="21" t="str">
        <f>MID(I6,5,1)</f>
        <v>0</v>
      </c>
      <c r="U10" s="26" t="str">
        <f t="shared" si="16"/>
        <v>0</v>
      </c>
      <c r="V10" s="7" t="s">
        <v>71</v>
      </c>
      <c r="W10" s="285" t="s">
        <v>1346</v>
      </c>
      <c r="X10" s="21" t="str">
        <f>MID(J6,5,1)</f>
        <v>0</v>
      </c>
      <c r="Y10" s="26" t="str">
        <f t="shared" si="17"/>
        <v>0</v>
      </c>
      <c r="Z10" s="7" t="s">
        <v>71</v>
      </c>
      <c r="AA10" s="282" t="s">
        <v>136</v>
      </c>
      <c r="AB10" s="21" t="str">
        <f>MID(K6,5,1)</f>
        <v>0</v>
      </c>
      <c r="AC10" s="26" t="str">
        <f t="shared" si="18"/>
        <v>0</v>
      </c>
      <c r="AD10" s="7" t="s">
        <v>71</v>
      </c>
      <c r="AE10" s="285" t="s">
        <v>1784</v>
      </c>
      <c r="AF10" s="21" t="str">
        <f>MID(L6,5,1)</f>
        <v>0</v>
      </c>
      <c r="AG10" s="26" t="str">
        <f t="shared" si="19"/>
        <v>0</v>
      </c>
      <c r="AH10" s="7" t="s">
        <v>71</v>
      </c>
      <c r="AI10" s="285" t="s">
        <v>1784</v>
      </c>
      <c r="AJ10" s="400"/>
      <c r="AK10" s="401"/>
      <c r="AN10" s="284"/>
      <c r="AO10" t="str">
        <f>H186&amp;I186&amp;J186&amp;K186&amp;L186</f>
        <v>0000000000</v>
      </c>
      <c r="AP10" t="str">
        <f t="shared" si="1"/>
        <v>0000000000</v>
      </c>
      <c r="AT10" s="53"/>
      <c r="AU10" s="54"/>
    </row>
    <row r="11" spans="1:306" ht="15" customHeight="1" x14ac:dyDescent="0.3">
      <c r="A11" s="270" t="s">
        <v>1724</v>
      </c>
      <c r="B11" s="87" t="str">
        <f>IF(OR(LEFT(A11,7)="720G1G8",LEFT(A11,7)="7200108"),RIGHT(D90,1)&amp;E90&amp;F90&amp;G90&amp;H87&amp;I87&amp;J87&amp;K87&amp;L87&amp;M87,IF(OR(LEFT(A11,7)="720G2G1",LEFT(A11,7)="7200201"),RIGHT(D112,1)&amp;E112&amp;F112&amp;G112&amp;H109&amp;I109&amp;J109&amp;K109&amp;L109&amp;M109,A11))</f>
        <v>720G2G100000000002A</v>
      </c>
      <c r="C11" s="7" t="s">
        <v>64</v>
      </c>
      <c r="D11" s="99" t="str">
        <f>HEX2BIN(D10,8)</f>
        <v>00000111</v>
      </c>
      <c r="E11" s="99" t="str">
        <f t="shared" ref="E11:G11" si="21">HEX2BIN(E10,8)</f>
        <v>00100000</v>
      </c>
      <c r="F11" s="99" t="str">
        <f t="shared" si="21"/>
        <v>00000001</v>
      </c>
      <c r="G11" s="99" t="str">
        <f t="shared" si="21"/>
        <v>00000001</v>
      </c>
      <c r="H11" s="29" t="str">
        <f>Q6&amp;Q7&amp;Q8&amp;Q9&amp;Q10&amp;Q11&amp;Q12&amp;Q13</f>
        <v>00000000</v>
      </c>
      <c r="I11" s="99" t="str">
        <f>U6&amp;U7&amp;U8&amp;U9&amp;U10&amp;U11&amp;U12&amp;U13</f>
        <v>00000000</v>
      </c>
      <c r="J11" s="29" t="str">
        <f>Y6&amp;Y7&amp;Y8&amp;Y9&amp;Y10&amp;Y11&amp;Y12&amp;Y13</f>
        <v>00000000</v>
      </c>
      <c r="K11" s="29" t="str">
        <f>AC6&amp;AC7&amp;AC8&amp;AC9&amp;AC10&amp;AC11&amp;AC12&amp;AC13</f>
        <v>00000000</v>
      </c>
      <c r="L11" s="99" t="str">
        <f>AG6&amp;AG7&amp;AG8&amp;AG9&amp;AG10&amp;AG11&amp;AG12&amp;AG13</f>
        <v>00000000</v>
      </c>
      <c r="M11" s="99" t="str">
        <f>DEC2HEX(M12)</f>
        <v>29</v>
      </c>
      <c r="N11" s="8"/>
      <c r="P11" s="21" t="str">
        <f>MID(H6,6,1)</f>
        <v>0</v>
      </c>
      <c r="Q11" s="26" t="str">
        <f t="shared" si="15"/>
        <v>0</v>
      </c>
      <c r="R11" s="7" t="s">
        <v>72</v>
      </c>
      <c r="S11" s="480"/>
      <c r="T11" s="21" t="str">
        <f>MID(I6,6,1)</f>
        <v>0</v>
      </c>
      <c r="U11" s="26" t="str">
        <f t="shared" si="16"/>
        <v>0</v>
      </c>
      <c r="V11" s="7" t="s">
        <v>72</v>
      </c>
      <c r="W11" s="285" t="s">
        <v>1347</v>
      </c>
      <c r="X11" s="21" t="str">
        <f>MID(J6,6,1)</f>
        <v>0</v>
      </c>
      <c r="Y11" s="26" t="str">
        <f t="shared" si="17"/>
        <v>0</v>
      </c>
      <c r="Z11" s="7" t="s">
        <v>72</v>
      </c>
      <c r="AA11" s="516" t="s">
        <v>1321</v>
      </c>
      <c r="AB11" s="21" t="str">
        <f>MID(K6,6,1)</f>
        <v>0</v>
      </c>
      <c r="AC11" s="26" t="str">
        <f t="shared" si="18"/>
        <v>0</v>
      </c>
      <c r="AD11" s="7" t="s">
        <v>72</v>
      </c>
      <c r="AE11" s="285" t="s">
        <v>1783</v>
      </c>
      <c r="AF11" s="21" t="str">
        <f>MID(L6,6,1)</f>
        <v>0</v>
      </c>
      <c r="AG11" s="26" t="str">
        <f t="shared" si="19"/>
        <v>0</v>
      </c>
      <c r="AH11" s="7" t="s">
        <v>72</v>
      </c>
      <c r="AI11" s="285" t="s">
        <v>1784</v>
      </c>
      <c r="AJ11" s="400"/>
      <c r="AK11" s="401"/>
      <c r="AN11" s="284"/>
      <c r="AO11" t="str">
        <f>H197&amp;I197&amp;J197&amp;K197&amp;L197</f>
        <v>0000000000</v>
      </c>
      <c r="AP11" t="str">
        <f t="shared" si="1"/>
        <v>0000000000</v>
      </c>
      <c r="AT11" s="53"/>
      <c r="AU11" s="54"/>
    </row>
    <row r="12" spans="1:306" x14ac:dyDescent="0.3">
      <c r="A12" s="278" t="s">
        <v>1245</v>
      </c>
      <c r="B12" s="87" t="str">
        <f>IF(OR(LEFT(A12,7)="720G1G9",LEFT(A12,7)="7200109"),RIGHT(D101,1)&amp;E101&amp;F101&amp;G101&amp;H98&amp;I98&amp;J98&amp;K98&amp;L98,IF(OR(LEFT(A12,7)="720G2G1",LEFT(A12,7)="7200201"),RIGHT(D112,1)&amp;E112&amp;F112&amp;G112&amp;H109&amp;I109&amp;J109&amp;K109&amp;L109&amp;M109,A12))</f>
        <v>;Block 3</v>
      </c>
      <c r="C12" s="7" t="s">
        <v>67</v>
      </c>
      <c r="D12" s="99">
        <f>HEX2DEC(D10)</f>
        <v>7</v>
      </c>
      <c r="E12" s="99">
        <f t="shared" ref="E12:L12" si="22">HEX2DEC(E10)</f>
        <v>32</v>
      </c>
      <c r="F12" s="99">
        <f t="shared" si="22"/>
        <v>1</v>
      </c>
      <c r="G12" s="99">
        <f t="shared" si="22"/>
        <v>1</v>
      </c>
      <c r="H12" s="99">
        <f t="shared" si="22"/>
        <v>0</v>
      </c>
      <c r="I12" s="99">
        <f>HEX2DEC(I10)</f>
        <v>0</v>
      </c>
      <c r="J12" s="99">
        <f t="shared" si="22"/>
        <v>0</v>
      </c>
      <c r="K12" s="99">
        <f t="shared" si="22"/>
        <v>0</v>
      </c>
      <c r="L12" s="99">
        <f t="shared" si="22"/>
        <v>0</v>
      </c>
      <c r="M12" s="99">
        <f>SUM(D12:L12)</f>
        <v>41</v>
      </c>
      <c r="N12" s="8"/>
      <c r="P12" s="21" t="str">
        <f>MID(H6,7,1)</f>
        <v>0</v>
      </c>
      <c r="Q12" s="26" t="str">
        <f t="shared" si="15"/>
        <v>0</v>
      </c>
      <c r="R12" s="7" t="s">
        <v>73</v>
      </c>
      <c r="S12" s="481"/>
      <c r="T12" s="21" t="str">
        <f>MID(I6,7,1)</f>
        <v>0</v>
      </c>
      <c r="U12" s="26" t="str">
        <f t="shared" si="16"/>
        <v>0</v>
      </c>
      <c r="V12" s="7" t="s">
        <v>73</v>
      </c>
      <c r="W12" s="286" t="s">
        <v>1348</v>
      </c>
      <c r="X12" s="21" t="str">
        <f>MID(J6,7,1)</f>
        <v>0</v>
      </c>
      <c r="Y12" s="26" t="str">
        <f t="shared" si="17"/>
        <v>0</v>
      </c>
      <c r="Z12" s="7" t="s">
        <v>73</v>
      </c>
      <c r="AA12" s="516"/>
      <c r="AB12" s="21" t="str">
        <f>MID(K6,7,1)</f>
        <v>0</v>
      </c>
      <c r="AC12" s="26" t="str">
        <f t="shared" si="18"/>
        <v>0</v>
      </c>
      <c r="AD12" s="7" t="s">
        <v>73</v>
      </c>
      <c r="AE12" s="285" t="s">
        <v>1783</v>
      </c>
      <c r="AF12" s="21" t="str">
        <f>MID(L6,7,1)</f>
        <v>0</v>
      </c>
      <c r="AG12" s="26" t="str">
        <f t="shared" si="19"/>
        <v>0</v>
      </c>
      <c r="AH12" s="7" t="s">
        <v>73</v>
      </c>
      <c r="AI12" s="285" t="s">
        <v>1784</v>
      </c>
      <c r="AJ12" s="400"/>
      <c r="AK12" s="401"/>
      <c r="AN12" s="284"/>
      <c r="AO12" t="str">
        <f>H208&amp;I208&amp;J208&amp;K208&amp;L208</f>
        <v>0000000000</v>
      </c>
      <c r="AP12" t="str">
        <f t="shared" si="1"/>
        <v>0000000000</v>
      </c>
      <c r="AT12" s="53"/>
      <c r="AU12" s="54"/>
    </row>
    <row r="13" spans="1:306" ht="15" thickBot="1" x14ac:dyDescent="0.35">
      <c r="A13" s="278" t="s">
        <v>1258</v>
      </c>
      <c r="B13" s="87" t="str">
        <f>A13</f>
        <v>720G3G1012C</v>
      </c>
      <c r="C13" s="9" t="s">
        <v>1678</v>
      </c>
      <c r="D13" s="334" t="str">
        <f>D8</f>
        <v>07</v>
      </c>
      <c r="E13" s="334" t="str">
        <f t="shared" ref="E13:G13" si="23">E8</f>
        <v>20</v>
      </c>
      <c r="F13" s="334" t="str">
        <f t="shared" si="23"/>
        <v>G1</v>
      </c>
      <c r="G13" s="334" t="str">
        <f t="shared" si="23"/>
        <v>G1</v>
      </c>
      <c r="H13" s="10"/>
      <c r="I13" s="10"/>
      <c r="J13" s="10"/>
      <c r="K13" s="10"/>
      <c r="L13" s="10"/>
      <c r="M13" s="10"/>
      <c r="N13" s="11"/>
      <c r="P13" s="22" t="str">
        <f>MID(H6,8,1)</f>
        <v>0</v>
      </c>
      <c r="Q13" s="55" t="str">
        <f t="shared" si="15"/>
        <v>0</v>
      </c>
      <c r="R13" s="9" t="s">
        <v>74</v>
      </c>
      <c r="S13" s="344" t="s">
        <v>1693</v>
      </c>
      <c r="T13" s="22" t="str">
        <f>MID(I6,8,1)</f>
        <v>0</v>
      </c>
      <c r="U13" s="55" t="str">
        <f t="shared" si="16"/>
        <v>0</v>
      </c>
      <c r="V13" s="9" t="s">
        <v>74</v>
      </c>
      <c r="W13" s="287" t="s">
        <v>1320</v>
      </c>
      <c r="X13" s="22" t="str">
        <f>MID(J6,8,1)</f>
        <v>0</v>
      </c>
      <c r="Y13" s="55" t="str">
        <f t="shared" si="17"/>
        <v>0</v>
      </c>
      <c r="Z13" s="9" t="s">
        <v>74</v>
      </c>
      <c r="AA13" s="315" t="s">
        <v>1572</v>
      </c>
      <c r="AB13" s="22" t="str">
        <f>MID(K6,8,1)</f>
        <v>0</v>
      </c>
      <c r="AC13" s="55" t="str">
        <f t="shared" si="18"/>
        <v>0</v>
      </c>
      <c r="AD13" s="9" t="s">
        <v>74</v>
      </c>
      <c r="AE13" s="287" t="s">
        <v>1784</v>
      </c>
      <c r="AF13" s="22" t="str">
        <f>MID(L6,8,1)</f>
        <v>0</v>
      </c>
      <c r="AG13" s="55" t="str">
        <f t="shared" si="19"/>
        <v>0</v>
      </c>
      <c r="AH13" s="9" t="s">
        <v>74</v>
      </c>
      <c r="AI13" s="287" t="s">
        <v>1784</v>
      </c>
      <c r="AJ13" s="402"/>
      <c r="AK13" s="404"/>
      <c r="AN13" s="284"/>
      <c r="AO13" t="str">
        <f>H219&amp;I219&amp;J219&amp;K219&amp;L219</f>
        <v>0000000000</v>
      </c>
      <c r="AP13" t="str">
        <f t="shared" si="1"/>
        <v>0000000000</v>
      </c>
      <c r="AT13" s="53"/>
      <c r="AU13" s="54"/>
    </row>
    <row r="14" spans="1:306" ht="15" thickBot="1" x14ac:dyDescent="0.35">
      <c r="A14" s="278" t="s">
        <v>1252</v>
      </c>
      <c r="B14" s="87" t="str">
        <f>IF(OR(LEFT(A14,7)="720G2G1",LEFT(A14,7)="7200201"),RIGHT(D112,1)&amp;E112&amp;F112&amp;G112&amp;H109&amp;I109&amp;J109&amp;K109&amp;L109&amp;M109,A14)</f>
        <v>;Block 4</v>
      </c>
      <c r="C14" s="4"/>
      <c r="D14" s="5"/>
      <c r="E14" s="5"/>
      <c r="F14" s="5"/>
      <c r="G14" s="5"/>
      <c r="H14" s="5"/>
      <c r="I14" s="5"/>
      <c r="J14" s="5"/>
      <c r="K14" s="5"/>
      <c r="L14" s="5"/>
      <c r="M14" s="5" t="s">
        <v>41</v>
      </c>
      <c r="N14" s="6"/>
      <c r="P14" s="392" t="s">
        <v>137</v>
      </c>
      <c r="Q14" s="392"/>
      <c r="R14" s="392"/>
      <c r="S14" s="392"/>
      <c r="T14" s="392"/>
      <c r="U14" s="392"/>
      <c r="V14" s="392"/>
      <c r="W14" s="392"/>
      <c r="X14" s="392"/>
      <c r="Y14" s="392"/>
      <c r="Z14" s="392"/>
      <c r="AA14" s="392"/>
      <c r="AB14" s="392"/>
      <c r="AC14" s="392"/>
      <c r="AD14" s="392"/>
      <c r="AE14" s="392"/>
      <c r="AF14" s="392"/>
      <c r="AG14" s="392"/>
      <c r="AH14" s="392"/>
      <c r="AI14" s="392"/>
      <c r="AJ14" s="392"/>
      <c r="AK14" s="392"/>
      <c r="AN14" s="284"/>
      <c r="AO14" t="str">
        <f>H230&amp;I230&amp;J230&amp;K230&amp;L230</f>
        <v>0000000000</v>
      </c>
      <c r="AP14" t="str">
        <f t="shared" si="1"/>
        <v>0000000000</v>
      </c>
      <c r="AT14" s="53"/>
      <c r="AU14" s="54"/>
      <c r="BB14">
        <v>40</v>
      </c>
      <c r="BC14" s="35" t="s">
        <v>1284</v>
      </c>
      <c r="BD14">
        <v>25</v>
      </c>
      <c r="BE14">
        <v>384</v>
      </c>
      <c r="BF14" s="35" t="s">
        <v>1285</v>
      </c>
      <c r="BG14">
        <v>26</v>
      </c>
      <c r="BH14">
        <v>395</v>
      </c>
      <c r="BI14">
        <f>BE14-22</f>
        <v>362</v>
      </c>
      <c r="BK14" t="str">
        <f>"=IF(OR(LEFT(A"&amp;BB14&amp;";7)=""720G4"&amp;BC14&amp;""";LEFT(A"&amp;BB14&amp;";7)=""72004"&amp;BD14&amp;""");RIGHT(D"&amp;BE14&amp;";1)&amp;E"&amp;BE14&amp;"&amp;F"&amp;BE14&amp;"&amp;G"&amp;BE14&amp;"&amp;H"&amp;BE14&amp;"&amp;I"&amp;BE14&amp;"&amp;J"&amp;BE14&amp;"&amp;K"&amp;BE14&amp;"&amp;L"&amp;BE14&amp;"&amp;M"&amp;BE14&amp;";IF(OR(LEFT(A"&amp;BB14&amp;";7)=""720G4"&amp;BF14&amp;""";LEFT(A"&amp;BB14&amp;";7)=""72004"&amp;BG14&amp;""");RIGHT(D"&amp;BH14&amp;";1)&amp;E"&amp;BH14&amp;"&amp;F"&amp;BH14&amp;"&amp;G"&amp;BH14&amp;"&amp;H"&amp;BH14&amp;"&amp;I"&amp;BH14&amp;"&amp;J"&amp;BH14&amp;"&amp;K"&amp;BH14&amp;"&amp;L"&amp;BH14&amp;"&amp;M"&amp;BH14&amp;";RIGHT(D"&amp;BI14&amp;";1)&amp;E"&amp;BI14&amp;"&amp;F"&amp;BI14&amp;"&amp;G"&amp;BI14&amp;"&amp;H"&amp;BI14&amp;"&amp;I"&amp;BI14&amp;"&amp;J"&amp;BI14&amp;"&amp;K"&amp;BI14&amp;"&amp;L"&amp;BI14&amp;"&amp;M"&amp;BI14&amp;"))"</f>
        <v>=IF(OR(LEFT(A40;7)="720G4H9";LEFT(A40;7)="7200425");RIGHT(D384;1)&amp;E384&amp;F384&amp;G384&amp;H384&amp;I384&amp;J384&amp;K384&amp;L384&amp;M384;IF(OR(LEFT(A40;7)="720G4HA";LEFT(A40;7)="7200426");RIGHT(D395;1)&amp;E395&amp;F395&amp;G395&amp;H395&amp;I395&amp;J395&amp;K395&amp;L395&amp;M395;RIGHT(D362;1)&amp;E362&amp;F362&amp;G362&amp;H362&amp;I362&amp;J362&amp;K362&amp;L362&amp;M362))</v>
      </c>
      <c r="BN14" t="str">
        <f>IF(OR(LEFT(A40,7)="720G4H9",LEFT(A40,7)="7200425"),RIGHT(D384,1)&amp;E384&amp;F384&amp;G384&amp;H384&amp;I384&amp;J384&amp;K384&amp;L384&amp;M384,IF(OR(LEFT(A40,7)="720G4HA",LEFT(A40,7)="7200426"),RIGHT(D395,1)&amp;E395&amp;F395&amp;G395&amp;H395&amp;I395&amp;J395&amp;K395&amp;L395&amp;M395,RIGHT(D362,1)&amp;E362&amp;F362&amp;G362&amp;H362&amp;I362&amp;J362&amp;K362&amp;L362&amp;M362))</f>
        <v>7200426000000000051</v>
      </c>
    </row>
    <row r="15" spans="1:306" ht="15" thickBot="1" x14ac:dyDescent="0.35">
      <c r="A15" s="270" t="s">
        <v>1725</v>
      </c>
      <c r="B15" s="87" t="str">
        <f>IF(OR(LEFT(A15,7)="720G4G1",LEFT(A15,7)="7200401"),RIGHT(D123,1)&amp;E123&amp;F123&amp;G123&amp;H120&amp;I120&amp;J120&amp;K120&amp;L120&amp;M120,A15)</f>
        <v>720G4G100000000002C</v>
      </c>
      <c r="C15" s="7"/>
      <c r="D15" s="393" t="s">
        <v>138</v>
      </c>
      <c r="E15" s="393"/>
      <c r="F15" s="393"/>
      <c r="G15" s="393"/>
      <c r="H15" s="99" t="s">
        <v>44</v>
      </c>
      <c r="I15" s="99" t="s">
        <v>45</v>
      </c>
      <c r="J15" s="99" t="s">
        <v>46</v>
      </c>
      <c r="K15" s="99" t="s">
        <v>47</v>
      </c>
      <c r="L15" s="99" t="s">
        <v>48</v>
      </c>
      <c r="M15" s="99" t="s">
        <v>49</v>
      </c>
      <c r="N15" s="8"/>
      <c r="P15" s="394" t="s">
        <v>50</v>
      </c>
      <c r="Q15" s="395"/>
      <c r="R15" s="395"/>
      <c r="S15" s="396"/>
      <c r="T15" s="394" t="s">
        <v>51</v>
      </c>
      <c r="U15" s="395"/>
      <c r="V15" s="395"/>
      <c r="W15" s="396"/>
      <c r="X15" s="394" t="s">
        <v>52</v>
      </c>
      <c r="Y15" s="395"/>
      <c r="Z15" s="395"/>
      <c r="AA15" s="396"/>
      <c r="AB15" s="394" t="s">
        <v>53</v>
      </c>
      <c r="AC15" s="395"/>
      <c r="AD15" s="395"/>
      <c r="AE15" s="396"/>
      <c r="AF15" s="394" t="s">
        <v>97</v>
      </c>
      <c r="AG15" s="395"/>
      <c r="AH15" s="395"/>
      <c r="AI15" s="396"/>
      <c r="AJ15" s="394" t="s">
        <v>55</v>
      </c>
      <c r="AK15" s="396"/>
      <c r="AN15" s="284"/>
      <c r="AO15" t="str">
        <f>H241&amp;I241&amp;J241&amp;K241&amp;L241</f>
        <v>0000000000</v>
      </c>
      <c r="AP15" t="str">
        <f t="shared" si="1"/>
        <v>0000000000</v>
      </c>
      <c r="AT15" s="53"/>
      <c r="AU15" s="54"/>
      <c r="BB15">
        <v>41</v>
      </c>
      <c r="BC15" s="35" t="s">
        <v>1285</v>
      </c>
      <c r="BD15">
        <v>26</v>
      </c>
      <c r="BE15">
        <f>BE14+11</f>
        <v>395</v>
      </c>
      <c r="BF15" s="35" t="s">
        <v>1286</v>
      </c>
      <c r="BG15">
        <v>27</v>
      </c>
      <c r="BH15">
        <f t="shared" ref="BH15:BI30" si="24">BH14+11</f>
        <v>406</v>
      </c>
      <c r="BI15">
        <f t="shared" si="24"/>
        <v>373</v>
      </c>
      <c r="BK15" t="str">
        <f t="shared" ref="BK15:BK44" si="25">"=IF(OR(LEFT(A"&amp;BB15&amp;";7)=""720G4"&amp;BC15&amp;""";LEFT(A"&amp;BB15&amp;";7)=""72004"&amp;BD15&amp;""");RIGHT(D"&amp;BE15&amp;";1)&amp;E"&amp;BE15&amp;"&amp;F"&amp;BE15&amp;"&amp;G"&amp;BE15&amp;"&amp;H"&amp;BE15&amp;"&amp;I"&amp;BE15&amp;"&amp;J"&amp;BE15&amp;"&amp;K"&amp;BE15&amp;"&amp;L"&amp;BE15&amp;"&amp;M"&amp;BE15&amp;";IF(OR(LEFT(A"&amp;BB15&amp;";7)=""720G4"&amp;BF15&amp;""";LEFT(A"&amp;BB15&amp;";7)=""72004"&amp;BG15&amp;""");RIGHT(D"&amp;BH15&amp;";1)&amp;E"&amp;BH15&amp;"&amp;F"&amp;BH15&amp;"&amp;G"&amp;BH15&amp;"&amp;H"&amp;BH15&amp;"&amp;I"&amp;BH15&amp;"&amp;J"&amp;BH15&amp;"&amp;K"&amp;BH15&amp;"&amp;L"&amp;BH15&amp;"&amp;M"&amp;BH15&amp;";RIGHT(D"&amp;BI15&amp;";1)&amp;E"&amp;BI15&amp;"&amp;F"&amp;BI15&amp;"&amp;G"&amp;BI15&amp;"&amp;H"&amp;BI15&amp;"&amp;I"&amp;BI15&amp;"&amp;J"&amp;BI15&amp;"&amp;K"&amp;BI15&amp;"&amp;L"&amp;BI15&amp;"&amp;M"&amp;BI15&amp;"))"</f>
        <v>=IF(OR(LEFT(A41;7)="720G4HA";LEFT(A41;7)="7200426");RIGHT(D395;1)&amp;E395&amp;F395&amp;G395&amp;H395&amp;I395&amp;J395&amp;K395&amp;L395&amp;M395;IF(OR(LEFT(A41;7)="720G4HB";LEFT(A41;7)="7200427");RIGHT(D406;1)&amp;E406&amp;F406&amp;G406&amp;H406&amp;I406&amp;J406&amp;K406&amp;L406&amp;M406;RIGHT(D373;1)&amp;E373&amp;F373&amp;G373&amp;H373&amp;I373&amp;J373&amp;K373&amp;L373&amp;M373))</v>
      </c>
      <c r="BN15" t="str">
        <f>IF(OR(LEFT(A41,7)="720G4HA",LEFT(A41,7)="7200426"),RIGHT(D395,1)&amp;E395&amp;F395&amp;G395&amp;H395&amp;I395&amp;J395&amp;K395&amp;L395&amp;M395,IF(OR(LEFT(A41,7)="720G4HB",LEFT(A41,7)="7200427"),RIGHT(D406,1)&amp;E406&amp;F406&amp;G406&amp;H406&amp;I406&amp;J406&amp;K406&amp;L406&amp;M406,RIGHT(D373,1)&amp;E373&amp;F373&amp;G373&amp;H373&amp;I373&amp;J373&amp;K373&amp;L373&amp;M373))</f>
        <v>7200427000000000052</v>
      </c>
    </row>
    <row r="16" spans="1:306" ht="15" thickBot="1" x14ac:dyDescent="0.35">
      <c r="A16" s="270" t="s">
        <v>1726</v>
      </c>
      <c r="B16" s="87" t="str">
        <f>IF(OR(LEFT(A16,7)="720G4G1",LEFT(A16,7)="7200401"),RIGHT(D123,1)&amp;E123&amp;F123&amp;G123&amp;H120&amp;I120&amp;J120&amp;K120&amp;L120&amp;M120,IF(OR(LEFT(A16,7)="720G4G2",LEFT(A16,7)="7200402"),RIGHT(D134,1)&amp;E134&amp;F134&amp;G134&amp;H131&amp;I131&amp;J131&amp;K131&amp;L131&amp;M131,A16))</f>
        <v>720G4G200000000002D</v>
      </c>
      <c r="C16" s="7" t="s">
        <v>56</v>
      </c>
      <c r="D16" s="12" t="s">
        <v>57</v>
      </c>
      <c r="E16" s="13" t="s">
        <v>130</v>
      </c>
      <c r="F16" s="13" t="s">
        <v>59</v>
      </c>
      <c r="G16" s="14" t="s">
        <v>77</v>
      </c>
      <c r="H16" s="316" t="str" cm="1">
        <f t="array" ref="H16">MID(INDEX($A$3:$A$70,IF(ISNA(MATCH("720G1G2*",$A$3:$A$70,0))=TRUE,MATCH("7200102*",$A$3:$A$70,0),MATCH("720G1G2*",$A$3:$A$70,0))),$AU$8,2)</f>
        <v>00</v>
      </c>
      <c r="I16" s="317" t="str" cm="1">
        <f t="array" ref="I16">MID(INDEX($A$3:$A$70,IF(ISNA(MATCH("720G1G2*",$A$3:$A$70,0))=TRUE,MATCH("7200102*",$A$3:$A$70,0),MATCH("720G1G2*",$A$3:$A$70,0))),$AV$8,2)</f>
        <v>00</v>
      </c>
      <c r="J16" s="317" t="str" cm="1">
        <f t="array" ref="J16">MID(INDEX($A$3:$A$70,IF(ISNA(MATCH("720G1G2*",$A$3:$A$70,0))=TRUE,MATCH("7200102*",$A$3:$A$70,0),MATCH("720G1G2*",$A$3:$A$70,0))),$AW$8,2)</f>
        <v>00</v>
      </c>
      <c r="K16" s="317" t="str" cm="1">
        <f t="array" ref="K16">MID(INDEX($A$3:$A$70,IF(ISNA(MATCH("720G1G2*",$A$3:$A$70,0))=TRUE,MATCH("7200102*",$A$3:$A$70,0),MATCH("720G1G2*",$A$3:$A$70,0))),$AX$8,2)</f>
        <v>00</v>
      </c>
      <c r="L16" s="318" t="str" cm="1">
        <f t="array" ref="L16">MID(INDEX($A$3:$A$70,IF(ISNA(MATCH("720G1G2*",$A$3:$A$70,0))=TRUE,MATCH("7200102*",$A$3:$A$70,0),MATCH("720G1G2*",$A$3:$A$70,0))),$AY$8,2)</f>
        <v>00</v>
      </c>
      <c r="M16" s="319" t="str" cm="1">
        <f t="array" ref="M16">MID(INDEX($A$3:$A$70,IF(ISNA(MATCH("720G1G2*",$A$3:$A$70,0))=TRUE,MATCH("7200102*",$A$3:$A$70,0),MATCH("720G1G2*",$A$3:$A$70,0))),$AZ$8,2)</f>
        <v>2A</v>
      </c>
      <c r="N16" s="8" t="s">
        <v>60</v>
      </c>
      <c r="P16" s="19" t="s">
        <v>60</v>
      </c>
      <c r="Q16" s="20" t="s">
        <v>61</v>
      </c>
      <c r="R16" t="s">
        <v>62</v>
      </c>
      <c r="S16" s="8"/>
      <c r="T16" s="19" t="s">
        <v>60</v>
      </c>
      <c r="U16" s="20" t="s">
        <v>61</v>
      </c>
      <c r="V16" t="s">
        <v>62</v>
      </c>
      <c r="W16" s="8"/>
      <c r="X16" s="19" t="s">
        <v>60</v>
      </c>
      <c r="Y16" s="20" t="s">
        <v>61</v>
      </c>
      <c r="Z16" t="s">
        <v>62</v>
      </c>
      <c r="AA16" s="8"/>
      <c r="AB16" s="19" t="s">
        <v>60</v>
      </c>
      <c r="AC16" s="20" t="s">
        <v>61</v>
      </c>
      <c r="AD16" t="s">
        <v>62</v>
      </c>
      <c r="AE16" s="8"/>
      <c r="AF16" s="19" t="s">
        <v>60</v>
      </c>
      <c r="AG16" s="20" t="s">
        <v>61</v>
      </c>
      <c r="AH16" t="s">
        <v>62</v>
      </c>
      <c r="AJ16" s="394" t="s">
        <v>63</v>
      </c>
      <c r="AK16" s="396"/>
      <c r="AN16" s="284"/>
      <c r="AO16" t="str">
        <f>H252&amp;I252&amp;J252&amp;K252&amp;L252</f>
        <v>0000000000</v>
      </c>
      <c r="AP16" t="str">
        <f t="shared" si="1"/>
        <v>0000000000</v>
      </c>
      <c r="AT16" s="53"/>
      <c r="AU16" s="54"/>
      <c r="BB16">
        <v>42</v>
      </c>
      <c r="BC16" s="35" t="s">
        <v>1286</v>
      </c>
      <c r="BD16">
        <v>27</v>
      </c>
      <c r="BE16">
        <f t="shared" ref="BE16:BE44" si="26">BE15+11</f>
        <v>406</v>
      </c>
      <c r="BF16" s="35" t="s">
        <v>1287</v>
      </c>
      <c r="BG16">
        <v>28</v>
      </c>
      <c r="BH16">
        <f t="shared" si="24"/>
        <v>417</v>
      </c>
      <c r="BI16">
        <f t="shared" si="24"/>
        <v>384</v>
      </c>
      <c r="BK16" t="str">
        <f t="shared" si="25"/>
        <v>=IF(OR(LEFT(A42;7)="720G4HB";LEFT(A42;7)="7200427");RIGHT(D406;1)&amp;E406&amp;F406&amp;G406&amp;H406&amp;I406&amp;J406&amp;K406&amp;L406&amp;M406;IF(OR(LEFT(A42;7)="720G4HC";LEFT(A42;7)="7200428");RIGHT(D417;1)&amp;E417&amp;F417&amp;G417&amp;H417&amp;I417&amp;J417&amp;K417&amp;L417&amp;M417;RIGHT(D384;1)&amp;E384&amp;F384&amp;G384&amp;H384&amp;I384&amp;J384&amp;K384&amp;L384&amp;M384))</v>
      </c>
      <c r="BN16" t="str">
        <f>IF(OR(LEFT(A42,7)="720G4HB",LEFT(A42,7)="7200427"),RIGHT(D406,1)&amp;E406&amp;F406&amp;G406&amp;H406&amp;I406&amp;J406&amp;K406&amp;L406&amp;M406,IF(OR(LEFT(A42,7)="720G4HC",LEFT(A42,7)="7200428"),RIGHT(D417,1)&amp;E417&amp;F417&amp;G417&amp;H417&amp;I417&amp;J417&amp;K417&amp;L417&amp;M417,RIGHT(D384,1)&amp;E384&amp;F384&amp;G384&amp;H384&amp;I384&amp;J384&amp;K384&amp;L384&amp;M384))</f>
        <v>72004280053</v>
      </c>
    </row>
    <row r="17" spans="1:66" ht="15" customHeight="1" x14ac:dyDescent="0.3">
      <c r="A17" s="270" t="s">
        <v>1727</v>
      </c>
      <c r="B17" s="87" t="str">
        <f>IF(OR(LEFT(A17,7)="720G4G2",LEFT(A17,7)="7200402"),RIGHT(D134,1)&amp;E134&amp;F134&amp;G134&amp;H131&amp;I131&amp;J131&amp;K131&amp;L131&amp;M131,IF(OR(LEFT(A17,7)="720G4G3",LEFT(A17,7)="7200403"),RIGHT(D145,1)&amp;E145&amp;F145&amp;G145&amp;H142&amp;I142&amp;J142&amp;K142&amp;L142&amp;M142,A17))</f>
        <v>720G4G300000000002E</v>
      </c>
      <c r="C17" s="7" t="s">
        <v>64</v>
      </c>
      <c r="D17" s="99" t="str">
        <f>HEX2BIN(D16,8)</f>
        <v>00000111</v>
      </c>
      <c r="E17" s="99" t="str">
        <f t="shared" ref="E17:L17" si="27">HEX2BIN(E16,8)</f>
        <v>00100000</v>
      </c>
      <c r="F17" s="99" t="str">
        <f t="shared" si="27"/>
        <v>00000001</v>
      </c>
      <c r="G17" s="99" t="str">
        <f t="shared" si="27"/>
        <v>00000010</v>
      </c>
      <c r="H17" s="99" t="str">
        <f t="shared" si="27"/>
        <v>00000000</v>
      </c>
      <c r="I17" s="99" t="str">
        <f t="shared" si="27"/>
        <v>00000000</v>
      </c>
      <c r="J17" s="99" t="str">
        <f t="shared" si="27"/>
        <v>00000000</v>
      </c>
      <c r="K17" s="99" t="str">
        <f t="shared" si="27"/>
        <v>00000000</v>
      </c>
      <c r="L17" s="99" t="str">
        <f t="shared" si="27"/>
        <v>00000000</v>
      </c>
      <c r="N17" s="8"/>
      <c r="P17" s="21" t="str">
        <f>MID(H17,1,1)</f>
        <v>0</v>
      </c>
      <c r="Q17" s="26" t="str">
        <f t="shared" ref="Q17:Q24" si="28">P17</f>
        <v>0</v>
      </c>
      <c r="R17" s="7" t="s">
        <v>65</v>
      </c>
      <c r="S17" s="30" t="s">
        <v>139</v>
      </c>
      <c r="T17" s="21" t="str">
        <f>MID(I17,1,1)</f>
        <v>0</v>
      </c>
      <c r="U17" s="26" t="str">
        <f>T17</f>
        <v>0</v>
      </c>
      <c r="V17" s="7" t="s">
        <v>65</v>
      </c>
      <c r="W17" s="516" t="s">
        <v>1324</v>
      </c>
      <c r="X17" s="21" t="str">
        <f>MID(J17,1,1)</f>
        <v>0</v>
      </c>
      <c r="Y17" s="26" t="str">
        <f>X17</f>
        <v>0</v>
      </c>
      <c r="Z17" s="7" t="s">
        <v>65</v>
      </c>
      <c r="AA17" s="8" t="s">
        <v>66</v>
      </c>
      <c r="AB17" s="21" t="str">
        <f>MID(K17,1,1)</f>
        <v>0</v>
      </c>
      <c r="AC17" s="26" t="str">
        <f>AB17</f>
        <v>0</v>
      </c>
      <c r="AD17" s="7" t="s">
        <v>65</v>
      </c>
      <c r="AE17" s="8" t="s">
        <v>66</v>
      </c>
      <c r="AF17" s="21" t="str">
        <f>MID(L17,1,1)</f>
        <v>0</v>
      </c>
      <c r="AG17" s="26" t="str">
        <f>AF17</f>
        <v>0</v>
      </c>
      <c r="AH17" s="7" t="s">
        <v>65</v>
      </c>
      <c r="AI17" s="8" t="s">
        <v>66</v>
      </c>
      <c r="AJ17" s="400"/>
      <c r="AK17" s="401"/>
      <c r="AN17" s="284"/>
      <c r="AO17" t="str">
        <f>H263&amp;I263&amp;J263&amp;K263&amp;L263</f>
        <v>0000000000</v>
      </c>
      <c r="AP17" t="str">
        <f t="shared" si="1"/>
        <v>0000000000</v>
      </c>
      <c r="AT17" s="53"/>
      <c r="AU17" s="54"/>
      <c r="BB17">
        <v>43</v>
      </c>
      <c r="BC17" s="35" t="s">
        <v>1287</v>
      </c>
      <c r="BD17">
        <v>28</v>
      </c>
      <c r="BE17">
        <f t="shared" si="26"/>
        <v>417</v>
      </c>
      <c r="BF17" s="35" t="s">
        <v>1288</v>
      </c>
      <c r="BG17">
        <v>29</v>
      </c>
      <c r="BH17">
        <f t="shared" si="24"/>
        <v>428</v>
      </c>
      <c r="BI17">
        <f t="shared" si="24"/>
        <v>395</v>
      </c>
      <c r="BK17" t="str">
        <f t="shared" si="25"/>
        <v>=IF(OR(LEFT(A43;7)="720G4HC";LEFT(A43;7)="7200428");RIGHT(D417;1)&amp;E417&amp;F417&amp;G417&amp;H417&amp;I417&amp;J417&amp;K417&amp;L417&amp;M417;IF(OR(LEFT(A43;7)="720G4HD";LEFT(A43;7)="7200429");RIGHT(D428;1)&amp;E428&amp;F428&amp;G428&amp;H428&amp;I428&amp;J428&amp;K428&amp;L428&amp;M428;RIGHT(D395;1)&amp;E395&amp;F395&amp;G395&amp;H395&amp;I395&amp;J395&amp;K395&amp;L395&amp;M395))</v>
      </c>
      <c r="BN17" t="str">
        <f>IF(OR(LEFT(A43,7)="720G4HC",LEFT(A43,7)="7200428"),RIGHT(D417,1)&amp;E417&amp;F417&amp;G417&amp;H417&amp;I417&amp;J417&amp;K417&amp;L417&amp;M417,IF(OR(LEFT(A43,7)="720G4HD",LEFT(A43,7)="7200429"),RIGHT(D428,1)&amp;E428&amp;F428&amp;G428&amp;H428&amp;I428&amp;J428&amp;K428&amp;L428&amp;M428,RIGHT(D395,1)&amp;E395&amp;F395&amp;G395&amp;H395&amp;I395&amp;J395&amp;K395&amp;L395&amp;M395))</f>
        <v>7200426000000000051</v>
      </c>
    </row>
    <row r="18" spans="1:66" x14ac:dyDescent="0.3">
      <c r="A18" s="270" t="s">
        <v>1728</v>
      </c>
      <c r="B18" s="87" t="str">
        <f>IF(OR(LEFT(A18,7)="720G4G3",LEFT(A18,7)="7200403"),RIGHT(D145,1)&amp;E145&amp;F145&amp;G145&amp;H142&amp;I142&amp;J142&amp;K142&amp;L142&amp;M142,IF(OR(LEFT(A18,7)="720G4G4",LEFT(A18,7)="7200404"),RIGHT(D156,1)&amp;E156&amp;F156&amp;G156&amp;H153&amp;I153&amp;J153&amp;K153&amp;L153&amp;M153,RIGHT(D123,1)&amp;E123&amp;F123&amp;G123&amp;H120&amp;I120&amp;J120&amp;K120&amp;L120&amp;M120))</f>
        <v>720G4G400000000002F</v>
      </c>
      <c r="C18" s="7" t="s">
        <v>67</v>
      </c>
      <c r="D18" s="99">
        <f>HEX2DEC(D16)</f>
        <v>7</v>
      </c>
      <c r="E18" s="99">
        <f t="shared" ref="E18:L18" si="29">HEX2DEC(E16)</f>
        <v>32</v>
      </c>
      <c r="F18" s="99">
        <f t="shared" si="29"/>
        <v>1</v>
      </c>
      <c r="G18" s="99">
        <f t="shared" si="29"/>
        <v>2</v>
      </c>
      <c r="H18" s="99">
        <f t="shared" si="29"/>
        <v>0</v>
      </c>
      <c r="I18" s="99">
        <f t="shared" si="29"/>
        <v>0</v>
      </c>
      <c r="J18" s="99">
        <f t="shared" si="29"/>
        <v>0</v>
      </c>
      <c r="K18" s="99">
        <f t="shared" si="29"/>
        <v>0</v>
      </c>
      <c r="L18" s="99">
        <f t="shared" si="29"/>
        <v>0</v>
      </c>
      <c r="M18" s="99">
        <f>SUM(D18:L18)</f>
        <v>42</v>
      </c>
      <c r="N18" s="8"/>
      <c r="P18" s="21" t="str">
        <f>MID(H17,2,1)</f>
        <v>0</v>
      </c>
      <c r="Q18" s="26" t="str">
        <f t="shared" si="28"/>
        <v>0</v>
      </c>
      <c r="R18" s="7" t="s">
        <v>68</v>
      </c>
      <c r="S18" s="8" t="s">
        <v>66</v>
      </c>
      <c r="T18" s="21" t="str">
        <f>MID(I17,2,1)</f>
        <v>0</v>
      </c>
      <c r="U18" s="26" t="str">
        <f t="shared" ref="U18:U24" si="30">T18</f>
        <v>0</v>
      </c>
      <c r="V18" s="7" t="s">
        <v>68</v>
      </c>
      <c r="W18" s="516"/>
      <c r="X18" s="21" t="str">
        <f>MID(J17,2,1)</f>
        <v>0</v>
      </c>
      <c r="Y18" s="26" t="str">
        <f t="shared" ref="Y18:Y24" si="31">X18</f>
        <v>0</v>
      </c>
      <c r="Z18" s="7" t="s">
        <v>68</v>
      </c>
      <c r="AA18" s="8" t="s">
        <v>66</v>
      </c>
      <c r="AB18" s="21" t="str">
        <f>MID(K17,2,1)</f>
        <v>0</v>
      </c>
      <c r="AC18" s="26" t="str">
        <f t="shared" ref="AC18:AC24" si="32">AB18</f>
        <v>0</v>
      </c>
      <c r="AD18" s="7" t="s">
        <v>68</v>
      </c>
      <c r="AE18" s="8" t="s">
        <v>66</v>
      </c>
      <c r="AF18" s="21" t="str">
        <f>MID(L17,2,1)</f>
        <v>0</v>
      </c>
      <c r="AG18" s="26" t="str">
        <f t="shared" ref="AG18:AG24" si="33">AF18</f>
        <v>0</v>
      </c>
      <c r="AH18" s="7" t="s">
        <v>68</v>
      </c>
      <c r="AI18" s="8" t="s">
        <v>66</v>
      </c>
      <c r="AJ18" s="400"/>
      <c r="AK18" s="401"/>
      <c r="AN18" s="284"/>
      <c r="AO18" t="str">
        <f>H274&amp;I274&amp;J274&amp;K274&amp;L274</f>
        <v>0000000000</v>
      </c>
      <c r="AP18" t="str">
        <f t="shared" si="1"/>
        <v>0000000000</v>
      </c>
      <c r="AT18" s="53"/>
      <c r="AU18" s="54"/>
      <c r="BB18">
        <v>44</v>
      </c>
      <c r="BC18" s="35" t="s">
        <v>1288</v>
      </c>
      <c r="BD18">
        <v>29</v>
      </c>
      <c r="BE18">
        <f t="shared" si="26"/>
        <v>428</v>
      </c>
      <c r="BF18" s="35" t="s">
        <v>1289</v>
      </c>
      <c r="BG18">
        <v>30</v>
      </c>
      <c r="BH18">
        <f t="shared" si="24"/>
        <v>439</v>
      </c>
      <c r="BI18">
        <f t="shared" si="24"/>
        <v>406</v>
      </c>
      <c r="BK18" t="str">
        <f t="shared" si="25"/>
        <v>=IF(OR(LEFT(A44;7)="720G4HD";LEFT(A44;7)="7200429");RIGHT(D428;1)&amp;E428&amp;F428&amp;G428&amp;H428&amp;I428&amp;J428&amp;K428&amp;L428&amp;M428;IF(OR(LEFT(A44;7)="720G4HE";LEFT(A44;7)="7200430");RIGHT(D439;1)&amp;E439&amp;F439&amp;G439&amp;H439&amp;I439&amp;J439&amp;K439&amp;L439&amp;M439;RIGHT(D406;1)&amp;E406&amp;F406&amp;G406&amp;H406&amp;I406&amp;J406&amp;K406&amp;L406&amp;M406))</v>
      </c>
      <c r="BN18" t="str">
        <f>IF(OR(LEFT(A44,7)="720G4HD",LEFT(A44,7)="7200429"),RIGHT(D428,1)&amp;E428&amp;F428&amp;G428&amp;H428&amp;I428&amp;J428&amp;K428&amp;L428&amp;M428,IF(OR(LEFT(A44,7)="720G4HE",LEFT(A44,7)="7200430"),RIGHT(D439,1)&amp;E439&amp;F439&amp;G439&amp;H439&amp;I439&amp;J439&amp;K439&amp;L439&amp;M439,RIGHT(D406,1)&amp;E406&amp;F406&amp;G406&amp;H406&amp;I406&amp;J406&amp;K406&amp;L406&amp;M406))</f>
        <v>7200427000000000052</v>
      </c>
    </row>
    <row r="19" spans="1:66" x14ac:dyDescent="0.3">
      <c r="A19" s="270" t="s">
        <v>1729</v>
      </c>
      <c r="B19" s="87" t="str">
        <f>IF(OR(LEFT(A19,7)="720G4G4",LEFT(A19,7)="7200404"),RIGHT(D156,1)&amp;E156&amp;F156&amp;G156&amp;H153&amp;I153&amp;J153&amp;K153&amp;L153&amp;M153,IF(OR(LEFT(A19,7)="720G4G5",LEFT(A19,7)="7200405"),RIGHT(D167,1)&amp;E167&amp;F167&amp;G167&amp;H164&amp;I164&amp;J164&amp;K164&amp;L164&amp;M164,RIGHT(D134,1)&amp;E134&amp;F134&amp;G134&amp;H131&amp;I131&amp;J131&amp;K131&amp;L131&amp;M131))</f>
        <v>720G4G5000000000030</v>
      </c>
      <c r="C19" s="7" t="s">
        <v>1678</v>
      </c>
      <c r="D19" s="333" t="str">
        <f>D16</f>
        <v>07</v>
      </c>
      <c r="E19" s="333" t="str">
        <f>E16</f>
        <v>20</v>
      </c>
      <c r="F19" s="99" t="str">
        <f>MID(INDEX($A$3:$A$70,IF(ISNA(MATCH("720G1G2*",$A$3:$A$70,0))=TRUE,MATCH("7200102*",$A$3:$A$70,0),MATCH("720G1G2*",$A$3:$A$70,0))),$AS$8,2)</f>
        <v>G1</v>
      </c>
      <c r="G19" s="99" t="str">
        <f>MID(INDEX($A$3:$A$70,IF(ISNA(MATCH("720G1G2*",$A$3:$A$70,0))=TRUE,MATCH("7200102*",$A$3:$A$70,0),MATCH("720G1G2*",$A$3:$A$70,0))),$AT$8,2)</f>
        <v>G2</v>
      </c>
      <c r="N19" s="8"/>
      <c r="P19" s="21" t="str">
        <f>MID(H17,3,1)</f>
        <v>0</v>
      </c>
      <c r="Q19" s="26" t="str">
        <f t="shared" si="28"/>
        <v>0</v>
      </c>
      <c r="R19" s="7" t="s">
        <v>69</v>
      </c>
      <c r="S19" s="285" t="s">
        <v>1322</v>
      </c>
      <c r="T19" s="21" t="str">
        <f>MID(I17,3,1)</f>
        <v>0</v>
      </c>
      <c r="U19" s="26" t="str">
        <f t="shared" si="30"/>
        <v>0</v>
      </c>
      <c r="V19" s="7" t="s">
        <v>69</v>
      </c>
      <c r="W19" s="8" t="s">
        <v>66</v>
      </c>
      <c r="X19" s="21" t="str">
        <f>MID(J17,3,1)</f>
        <v>0</v>
      </c>
      <c r="Y19" s="26" t="str">
        <f t="shared" si="31"/>
        <v>0</v>
      </c>
      <c r="Z19" s="7" t="s">
        <v>69</v>
      </c>
      <c r="AA19" s="8" t="s">
        <v>66</v>
      </c>
      <c r="AB19" s="21" t="str">
        <f>MID(K17,3,1)</f>
        <v>0</v>
      </c>
      <c r="AC19" s="26" t="str">
        <f t="shared" si="32"/>
        <v>0</v>
      </c>
      <c r="AD19" s="7" t="s">
        <v>69</v>
      </c>
      <c r="AE19" s="8" t="s">
        <v>66</v>
      </c>
      <c r="AF19" s="21" t="str">
        <f>MID(L17,3,1)</f>
        <v>0</v>
      </c>
      <c r="AG19" s="26" t="str">
        <f t="shared" si="33"/>
        <v>0</v>
      </c>
      <c r="AH19" s="7" t="s">
        <v>69</v>
      </c>
      <c r="AI19" s="285" t="s">
        <v>1694</v>
      </c>
      <c r="AJ19" s="400"/>
      <c r="AK19" s="401"/>
      <c r="AN19" s="284"/>
      <c r="AO19" t="str">
        <f>H285&amp;I285&amp;J285&amp;K285&amp;L285</f>
        <v>0000000000</v>
      </c>
      <c r="AP19" t="str">
        <f t="shared" si="1"/>
        <v>0000000000</v>
      </c>
      <c r="AT19" s="53"/>
      <c r="AU19" s="54"/>
      <c r="BB19">
        <v>45</v>
      </c>
      <c r="BC19" s="35" t="s">
        <v>1289</v>
      </c>
      <c r="BD19">
        <v>30</v>
      </c>
      <c r="BE19">
        <f t="shared" si="26"/>
        <v>439</v>
      </c>
      <c r="BF19" s="35" t="s">
        <v>1290</v>
      </c>
      <c r="BG19">
        <v>31</v>
      </c>
      <c r="BH19">
        <f t="shared" si="24"/>
        <v>450</v>
      </c>
      <c r="BI19">
        <f t="shared" si="24"/>
        <v>417</v>
      </c>
      <c r="BK19" t="str">
        <f t="shared" si="25"/>
        <v>=IF(OR(LEFT(A45;7)="720G4HE";LEFT(A45;7)="7200430");RIGHT(D439;1)&amp;E439&amp;F439&amp;G439&amp;H439&amp;I439&amp;J439&amp;K439&amp;L439&amp;M439;IF(OR(LEFT(A45;7)="720G4HF";LEFT(A45;7)="7200431");RIGHT(D450;1)&amp;E450&amp;F450&amp;G450&amp;H450&amp;I450&amp;J450&amp;K450&amp;L450&amp;M450;RIGHT(D417;1)&amp;E417&amp;F417&amp;G417&amp;H417&amp;I417&amp;J417&amp;K417&amp;L417&amp;M417))</v>
      </c>
      <c r="BN19" t="str">
        <f>IF(OR(LEFT(A45,7)="720G4HE",LEFT(A45,7)="7200430"),RIGHT(D439,1)&amp;E439&amp;F439&amp;G439&amp;H439&amp;I439&amp;J439&amp;K439&amp;L439&amp;M439,IF(OR(LEFT(A45,7)="720G4HF",LEFT(A45,7)="7200431"),RIGHT(D450,1)&amp;E450&amp;F450&amp;G450&amp;H450&amp;I450&amp;J450&amp;K450&amp;L450&amp;M450,RIGHT(D417,1)&amp;E417&amp;F417&amp;G417&amp;H417&amp;I417&amp;J417&amp;K417&amp;L417&amp;M417))</f>
        <v>72004280053</v>
      </c>
    </row>
    <row r="20" spans="1:66" ht="15" thickBot="1" x14ac:dyDescent="0.35">
      <c r="A20" s="270" t="s">
        <v>1730</v>
      </c>
      <c r="B20" s="87" t="str">
        <f>IF(OR(LEFT(A20,7)="720G4G5",LEFT(A20,7)="7200405"),RIGHT(D167,1)&amp;E167&amp;F167&amp;G167&amp;H164&amp;I164&amp;J164&amp;K164&amp;L164&amp;M164,IF(OR(LEFT(A20,7)="720G4G6",LEFT(A20,7)="7200406"),RIGHT(D178,1)&amp;E178&amp;F178&amp;G178&amp;H175&amp;I175&amp;J175&amp;K175&amp;L175&amp;M175,RIGHT(D145,1)&amp;E145&amp;F145&amp;G145&amp;H142&amp;I142&amp;J142&amp;K142&amp;L142&amp;M142))</f>
        <v>720G4G6000000000031</v>
      </c>
      <c r="C20" s="7"/>
      <c r="N20" s="8"/>
      <c r="P20" s="21" t="str">
        <f>MID(H17,4,1)</f>
        <v>0</v>
      </c>
      <c r="Q20" s="26" t="str">
        <f t="shared" si="28"/>
        <v>0</v>
      </c>
      <c r="R20" s="7" t="s">
        <v>70</v>
      </c>
      <c r="S20" s="285" t="s">
        <v>1323</v>
      </c>
      <c r="T20" s="21" t="str">
        <f>MID(I17,4,1)</f>
        <v>0</v>
      </c>
      <c r="U20" s="26" t="str">
        <f t="shared" si="30"/>
        <v>0</v>
      </c>
      <c r="V20" s="7" t="s">
        <v>70</v>
      </c>
      <c r="W20" s="8" t="s">
        <v>66</v>
      </c>
      <c r="X20" s="21" t="str">
        <f>MID(J17,4,1)</f>
        <v>0</v>
      </c>
      <c r="Y20" s="26" t="str">
        <f t="shared" si="31"/>
        <v>0</v>
      </c>
      <c r="Z20" s="7" t="s">
        <v>70</v>
      </c>
      <c r="AA20" s="8" t="s">
        <v>66</v>
      </c>
      <c r="AB20" s="21" t="str">
        <f>MID(K17,4,1)</f>
        <v>0</v>
      </c>
      <c r="AC20" s="26" t="str">
        <f t="shared" si="32"/>
        <v>0</v>
      </c>
      <c r="AD20" s="7" t="s">
        <v>70</v>
      </c>
      <c r="AE20" s="8" t="s">
        <v>66</v>
      </c>
      <c r="AF20" s="21" t="str">
        <f>MID(L17,4,1)</f>
        <v>0</v>
      </c>
      <c r="AG20" s="26" t="str">
        <f t="shared" si="33"/>
        <v>0</v>
      </c>
      <c r="AH20" s="7" t="s">
        <v>70</v>
      </c>
      <c r="AI20" s="8" t="s">
        <v>66</v>
      </c>
      <c r="AJ20" s="400"/>
      <c r="AK20" s="401"/>
      <c r="AN20" s="284"/>
      <c r="AO20" t="str">
        <f>H296&amp;I296&amp;J296&amp;K296&amp;L296</f>
        <v>0000000000</v>
      </c>
      <c r="AP20" t="str">
        <f t="shared" si="1"/>
        <v>0000000000</v>
      </c>
      <c r="AT20" s="53"/>
      <c r="AU20" s="54"/>
      <c r="BB20">
        <v>46</v>
      </c>
      <c r="BC20" s="35" t="s">
        <v>1290</v>
      </c>
      <c r="BD20">
        <v>31</v>
      </c>
      <c r="BE20">
        <f t="shared" si="26"/>
        <v>450</v>
      </c>
      <c r="BF20" s="35" t="s">
        <v>1291</v>
      </c>
      <c r="BG20">
        <v>32</v>
      </c>
      <c r="BH20">
        <f t="shared" si="24"/>
        <v>461</v>
      </c>
      <c r="BI20">
        <f t="shared" si="24"/>
        <v>428</v>
      </c>
      <c r="BK20" t="str">
        <f t="shared" si="25"/>
        <v>=IF(OR(LEFT(A46;7)="720G4HF";LEFT(A46;7)="7200431");RIGHT(D450;1)&amp;E450&amp;F450&amp;G450&amp;H450&amp;I450&amp;J450&amp;K450&amp;L450&amp;M450;IF(OR(LEFT(A46;7)="720G4I0";LEFT(A46;7)="7200432");RIGHT(D461;1)&amp;E461&amp;F461&amp;G461&amp;H461&amp;I461&amp;J461&amp;K461&amp;L461&amp;M461;RIGHT(D428;1)&amp;E428&amp;F428&amp;G428&amp;H428&amp;I428&amp;J428&amp;K428&amp;L428&amp;M428))</v>
      </c>
      <c r="BN20" t="str">
        <f>IF(OR(LEFT(A46,7)="720G4HF",LEFT(A46,7)="7200431"),RIGHT(D450,1)&amp;E450&amp;F450&amp;G450&amp;H450&amp;I450&amp;J450&amp;K450&amp;L450&amp;M450,IF(OR(LEFT(A46,7)="720G4I0",LEFT(A46,7)="7200432"),RIGHT(D461,1)&amp;E461&amp;F461&amp;G461&amp;H461&amp;I461&amp;J461&amp;K461&amp;L461&amp;M461,RIGHT(D428,1)&amp;E428&amp;F428&amp;G428&amp;H428&amp;I428&amp;J428&amp;K428&amp;L428&amp;M428))</f>
        <v/>
      </c>
    </row>
    <row r="21" spans="1:66" ht="15" thickBot="1" x14ac:dyDescent="0.35">
      <c r="A21" s="270" t="s">
        <v>1731</v>
      </c>
      <c r="B21" s="87" t="str">
        <f>IF(OR(LEFT(A21,7)="720G4G6",LEFT(A21,7)="7200406"),RIGHT(D178,1)&amp;E178&amp;F178&amp;G178&amp;H175&amp;I175&amp;J175&amp;K175&amp;L175&amp;M175,IF(OR(LEFT(A21,7)="720G4G7",LEFT(A21,7)="7200407"),RIGHT(D189,1)&amp;E189&amp;F189&amp;G189&amp;H186&amp;I186&amp;J186&amp;K186&amp;L186&amp;M186,RIGHT(D156,1)&amp;E156&amp;F156&amp;G156&amp;H153&amp;I153&amp;J153&amp;K153&amp;L153&amp;M153))</f>
        <v>720G4G7000000000032</v>
      </c>
      <c r="C21" s="7" t="s">
        <v>56</v>
      </c>
      <c r="D21" s="15" t="str">
        <f t="shared" ref="D21:G21" si="34">D16</f>
        <v>07</v>
      </c>
      <c r="E21" s="16" t="str">
        <f t="shared" si="34"/>
        <v>20</v>
      </c>
      <c r="F21" s="16" t="str">
        <f t="shared" si="34"/>
        <v>01</v>
      </c>
      <c r="G21" s="17" t="str">
        <f t="shared" si="34"/>
        <v>02</v>
      </c>
      <c r="H21" s="23" t="str">
        <f>BIN2HEX(H22,2)</f>
        <v>00</v>
      </c>
      <c r="I21" s="25" t="str">
        <f t="shared" ref="I21:L21" si="35">BIN2HEX(I22,2)</f>
        <v>00</v>
      </c>
      <c r="J21" s="24" t="str">
        <f t="shared" si="35"/>
        <v>00</v>
      </c>
      <c r="K21" s="2" t="str">
        <f t="shared" si="35"/>
        <v>00</v>
      </c>
      <c r="L21" s="18" t="str">
        <f t="shared" si="35"/>
        <v>00</v>
      </c>
      <c r="M21" s="3" t="str">
        <f>IF(LEN(M22)&gt;2,MID(M22,2,2),M22)</f>
        <v>2A</v>
      </c>
      <c r="N21" s="8" t="s">
        <v>61</v>
      </c>
      <c r="P21" s="21" t="str">
        <f>MID(H17,5,1)</f>
        <v>0</v>
      </c>
      <c r="Q21" s="26" t="str">
        <f t="shared" si="28"/>
        <v>0</v>
      </c>
      <c r="R21" s="7" t="s">
        <v>71</v>
      </c>
      <c r="S21" s="8" t="s">
        <v>66</v>
      </c>
      <c r="T21" s="21" t="str">
        <f>MID(I17,5,1)</f>
        <v>0</v>
      </c>
      <c r="U21" s="26" t="str">
        <f t="shared" si="30"/>
        <v>0</v>
      </c>
      <c r="V21" s="7" t="s">
        <v>71</v>
      </c>
      <c r="W21" s="95" t="s">
        <v>443</v>
      </c>
      <c r="X21" s="21" t="str">
        <f>MID(J17,5,1)</f>
        <v>0</v>
      </c>
      <c r="Y21" s="26" t="str">
        <f t="shared" si="31"/>
        <v>0</v>
      </c>
      <c r="Z21" s="7" t="s">
        <v>71</v>
      </c>
      <c r="AA21" s="8" t="s">
        <v>66</v>
      </c>
      <c r="AB21" s="21" t="str">
        <f>MID(K17,5,1)</f>
        <v>0</v>
      </c>
      <c r="AC21" s="26" t="str">
        <f t="shared" si="32"/>
        <v>0</v>
      </c>
      <c r="AD21" s="7" t="s">
        <v>71</v>
      </c>
      <c r="AE21" s="8" t="s">
        <v>66</v>
      </c>
      <c r="AF21" s="21" t="str">
        <f>MID(L17,5,1)</f>
        <v>0</v>
      </c>
      <c r="AG21" s="26" t="str">
        <f t="shared" si="33"/>
        <v>0</v>
      </c>
      <c r="AH21" s="7" t="s">
        <v>71</v>
      </c>
      <c r="AI21" s="8" t="s">
        <v>66</v>
      </c>
      <c r="AJ21" s="400"/>
      <c r="AK21" s="401"/>
      <c r="AN21" s="284"/>
      <c r="AO21" t="str">
        <f>H307&amp;I307&amp;J307&amp;K307&amp;L307</f>
        <v>0000000000</v>
      </c>
      <c r="AP21" t="str">
        <f t="shared" si="1"/>
        <v>0000000000</v>
      </c>
      <c r="AT21" s="53"/>
      <c r="AU21" s="54"/>
      <c r="BB21">
        <v>47</v>
      </c>
      <c r="BC21" s="35" t="s">
        <v>1291</v>
      </c>
      <c r="BD21">
        <v>32</v>
      </c>
      <c r="BE21">
        <f t="shared" si="26"/>
        <v>461</v>
      </c>
      <c r="BF21" s="35" t="s">
        <v>1292</v>
      </c>
      <c r="BG21">
        <v>33</v>
      </c>
      <c r="BH21">
        <f t="shared" si="24"/>
        <v>472</v>
      </c>
      <c r="BI21">
        <f t="shared" si="24"/>
        <v>439</v>
      </c>
      <c r="BK21" t="str">
        <f t="shared" si="25"/>
        <v>=IF(OR(LEFT(A47;7)="720G4I0";LEFT(A47;7)="7200432");RIGHT(D461;1)&amp;E461&amp;F461&amp;G461&amp;H461&amp;I461&amp;J461&amp;K461&amp;L461&amp;M461;IF(OR(LEFT(A47;7)="720G4I1";LEFT(A47;7)="7200433");RIGHT(D472;1)&amp;E472&amp;F472&amp;G472&amp;H472&amp;I472&amp;J472&amp;K472&amp;L472&amp;M472;RIGHT(D439;1)&amp;E439&amp;F439&amp;G439&amp;H439&amp;I439&amp;J439&amp;K439&amp;L439&amp;M439))</v>
      </c>
      <c r="BN21" t="str">
        <f>IF(OR(LEFT(A47,7)="720G4I0",LEFT(A47,7)="7200432"),RIGHT(D461,1)&amp;E461&amp;F461&amp;G461&amp;H461&amp;I461&amp;J461&amp;K461&amp;L461&amp;M461,IF(OR(LEFT(A47,7)="720G4I1",LEFT(A47,7)="7200433"),RIGHT(D472,1)&amp;E472&amp;F472&amp;G472&amp;H472&amp;I472&amp;J472&amp;K472&amp;L472&amp;M472,RIGHT(D439,1)&amp;E439&amp;F439&amp;G439&amp;H439&amp;I439&amp;J439&amp;K439&amp;L439&amp;M439))</f>
        <v/>
      </c>
    </row>
    <row r="22" spans="1:66" x14ac:dyDescent="0.3">
      <c r="A22" s="270" t="s">
        <v>1732</v>
      </c>
      <c r="B22" s="87" t="str">
        <f>IF(OR(LEFT(A22,7)="720G4G7",LEFT(A22,7)="7200407"),RIGHT(D189,1)&amp;E189&amp;F189&amp;G189&amp;H186&amp;I186&amp;J186&amp;K186&amp;L186&amp;M186,IF(OR(LEFT(A22,7)="720G4G8",LEFT(A22,7)="7200408"),RIGHT(D200,1)&amp;E200&amp;F200&amp;G200&amp;H197&amp;I197&amp;J197&amp;K197&amp;L197&amp;M197,RIGHT(D167,1)&amp;E167&amp;F167&amp;G167&amp;H164&amp;I164&amp;J164&amp;K164&amp;L164&amp;M164))</f>
        <v>720G4G8000000000033</v>
      </c>
      <c r="C22" s="7" t="s">
        <v>64</v>
      </c>
      <c r="D22" s="99" t="str">
        <f>HEX2BIN(D21,8)</f>
        <v>00000111</v>
      </c>
      <c r="E22" s="99" t="str">
        <f t="shared" ref="E22:G22" si="36">HEX2BIN(E21,8)</f>
        <v>00100000</v>
      </c>
      <c r="F22" s="99" t="str">
        <f t="shared" si="36"/>
        <v>00000001</v>
      </c>
      <c r="G22" s="99" t="str">
        <f t="shared" si="36"/>
        <v>00000010</v>
      </c>
      <c r="H22" s="29" t="str">
        <f>Q17&amp;Q18&amp;Q19&amp;Q20&amp;Q21&amp;Q22&amp;Q23&amp;Q24</f>
        <v>00000000</v>
      </c>
      <c r="I22" s="99" t="str">
        <f>U17&amp;U18&amp;U19&amp;U20&amp;U21&amp;U22&amp;U23&amp;U24</f>
        <v>00000000</v>
      </c>
      <c r="J22" s="29" t="str">
        <f>Y17&amp;Y18&amp;Y19&amp;Y20&amp;Y21&amp;Y22&amp;Y23&amp;Y24</f>
        <v>00000000</v>
      </c>
      <c r="K22" s="29" t="str">
        <f>AC17&amp;AC18&amp;AC19&amp;AC20&amp;AC21&amp;AC22&amp;AC23&amp;AC24</f>
        <v>00000000</v>
      </c>
      <c r="L22" s="99" t="str">
        <f>AG17&amp;AG18&amp;AG19&amp;AG20&amp;AG21&amp;AG22&amp;AG23&amp;AG24</f>
        <v>00000000</v>
      </c>
      <c r="M22" s="99" t="str">
        <f>DEC2HEX(M23)</f>
        <v>2A</v>
      </c>
      <c r="N22" s="8"/>
      <c r="P22" s="21" t="str">
        <f>MID(H17,6,1)</f>
        <v>0</v>
      </c>
      <c r="Q22" s="26" t="str">
        <f t="shared" si="28"/>
        <v>0</v>
      </c>
      <c r="R22" s="7" t="s">
        <v>72</v>
      </c>
      <c r="S22" s="8" t="s">
        <v>66</v>
      </c>
      <c r="T22" s="21" t="str">
        <f>MID(I17,6,1)</f>
        <v>0</v>
      </c>
      <c r="U22" s="26" t="str">
        <f t="shared" si="30"/>
        <v>0</v>
      </c>
      <c r="V22" s="7" t="s">
        <v>72</v>
      </c>
      <c r="W22" s="285" t="s">
        <v>1349</v>
      </c>
      <c r="X22" s="21" t="str">
        <f>MID(J17,6,1)</f>
        <v>0</v>
      </c>
      <c r="Y22" s="26" t="str">
        <f t="shared" si="31"/>
        <v>0</v>
      </c>
      <c r="Z22" s="7" t="s">
        <v>72</v>
      </c>
      <c r="AA22" s="8" t="s">
        <v>66</v>
      </c>
      <c r="AB22" s="21" t="str">
        <f>MID(K17,6,1)</f>
        <v>0</v>
      </c>
      <c r="AC22" s="26" t="str">
        <f t="shared" si="32"/>
        <v>0</v>
      </c>
      <c r="AD22" s="7" t="s">
        <v>72</v>
      </c>
      <c r="AE22" s="8" t="s">
        <v>66</v>
      </c>
      <c r="AF22" s="21" t="str">
        <f>MID(L17,6,1)</f>
        <v>0</v>
      </c>
      <c r="AG22" s="26" t="str">
        <f t="shared" si="33"/>
        <v>0</v>
      </c>
      <c r="AH22" s="7" t="s">
        <v>72</v>
      </c>
      <c r="AI22" s="8" t="s">
        <v>66</v>
      </c>
      <c r="AJ22" s="400"/>
      <c r="AK22" s="401"/>
      <c r="AN22" s="284"/>
      <c r="AO22" t="str">
        <f>H318&amp;I318&amp;J318&amp;K318&amp;L318</f>
        <v>0000000000</v>
      </c>
      <c r="AP22" t="str">
        <f t="shared" si="1"/>
        <v>0000000000</v>
      </c>
      <c r="AT22" s="53"/>
      <c r="AU22" s="54"/>
      <c r="BB22">
        <v>48</v>
      </c>
      <c r="BC22" s="35" t="s">
        <v>1292</v>
      </c>
      <c r="BD22">
        <v>33</v>
      </c>
      <c r="BE22">
        <f t="shared" si="26"/>
        <v>472</v>
      </c>
      <c r="BF22" s="35" t="s">
        <v>1293</v>
      </c>
      <c r="BG22">
        <v>34</v>
      </c>
      <c r="BH22">
        <f t="shared" si="24"/>
        <v>483</v>
      </c>
      <c r="BI22">
        <f t="shared" si="24"/>
        <v>450</v>
      </c>
      <c r="BK22" t="str">
        <f t="shared" si="25"/>
        <v>=IF(OR(LEFT(A48;7)="720G4I1";LEFT(A48;7)="7200433");RIGHT(D472;1)&amp;E472&amp;F472&amp;G472&amp;H472&amp;I472&amp;J472&amp;K472&amp;L472&amp;M472;IF(OR(LEFT(A48;7)="720G4I2";LEFT(A48;7)="7200434");RIGHT(D483;1)&amp;E483&amp;F483&amp;G483&amp;H483&amp;I483&amp;J483&amp;K483&amp;L483&amp;M483;RIGHT(D450;1)&amp;E450&amp;F450&amp;G450&amp;H450&amp;I450&amp;J450&amp;K450&amp;L450&amp;M450))</v>
      </c>
      <c r="BN22" t="str">
        <f>IF(OR(LEFT(A48,7)="720G4I1",LEFT(A48,7)="7200433"),RIGHT(D472,1)&amp;E472&amp;F472&amp;G472&amp;H472&amp;I472&amp;J472&amp;K472&amp;L472&amp;M472,IF(OR(LEFT(A48,7)="720G4I2",LEFT(A48,7)="7200434"),RIGHT(D483,1)&amp;E483&amp;F483&amp;G483&amp;H483&amp;I483&amp;J483&amp;K483&amp;L483&amp;M483,RIGHT(D450,1)&amp;E450&amp;F450&amp;G450&amp;H450&amp;I450&amp;J450&amp;K450&amp;L450&amp;M450))</f>
        <v/>
      </c>
    </row>
    <row r="23" spans="1:66" x14ac:dyDescent="0.3">
      <c r="A23" s="270" t="s">
        <v>1733</v>
      </c>
      <c r="B23" s="87" t="str">
        <f>IF(OR(LEFT(A23,7)="720G4G8",LEFT(A23,7)="7200408"),RIGHT(D200,1)&amp;E200&amp;F200&amp;G200&amp;H197&amp;I197&amp;J197&amp;K197&amp;L197&amp;M197,IF(OR(LEFT(A23,7)="720G4G9",LEFT(A23,7)="7200409"),RIGHT(D211,1)&amp;E211&amp;F211&amp;G211&amp;H208&amp;I208&amp;J208&amp;K208&amp;L208&amp;M208,RIGHT(D178,1)&amp;E178&amp;F178&amp;G178&amp;H175&amp;I175&amp;J175&amp;K175&amp;L175&amp;M175))</f>
        <v>720G4G9000000000034</v>
      </c>
      <c r="C23" s="7" t="s">
        <v>67</v>
      </c>
      <c r="D23" s="99">
        <f>HEX2DEC(D21)</f>
        <v>7</v>
      </c>
      <c r="E23" s="99">
        <f t="shared" ref="E23:L23" si="37">HEX2DEC(E21)</f>
        <v>32</v>
      </c>
      <c r="F23" s="99">
        <f t="shared" si="37"/>
        <v>1</v>
      </c>
      <c r="G23" s="99">
        <f t="shared" si="37"/>
        <v>2</v>
      </c>
      <c r="H23" s="99">
        <f t="shared" si="37"/>
        <v>0</v>
      </c>
      <c r="I23" s="99">
        <f t="shared" si="37"/>
        <v>0</v>
      </c>
      <c r="J23" s="99">
        <f t="shared" si="37"/>
        <v>0</v>
      </c>
      <c r="K23" s="99">
        <f t="shared" si="37"/>
        <v>0</v>
      </c>
      <c r="L23" s="99">
        <f t="shared" si="37"/>
        <v>0</v>
      </c>
      <c r="M23" s="99">
        <f>SUM(D23:L23)</f>
        <v>42</v>
      </c>
      <c r="N23" s="8"/>
      <c r="P23" s="21" t="str">
        <f>MID(H17,7,1)</f>
        <v>0</v>
      </c>
      <c r="Q23" s="26" t="str">
        <f t="shared" si="28"/>
        <v>0</v>
      </c>
      <c r="R23" s="7" t="s">
        <v>73</v>
      </c>
      <c r="S23" s="8" t="s">
        <v>66</v>
      </c>
      <c r="T23" s="21" t="str">
        <f>MID(I17,7,1)</f>
        <v>0</v>
      </c>
      <c r="U23" s="26" t="str">
        <f t="shared" si="30"/>
        <v>0</v>
      </c>
      <c r="V23" s="7" t="s">
        <v>73</v>
      </c>
      <c r="W23" s="8" t="s">
        <v>66</v>
      </c>
      <c r="X23" s="21" t="str">
        <f>MID(J17,7,1)</f>
        <v>0</v>
      </c>
      <c r="Y23" s="26" t="str">
        <f t="shared" si="31"/>
        <v>0</v>
      </c>
      <c r="Z23" s="7" t="s">
        <v>73</v>
      </c>
      <c r="AA23" s="8" t="s">
        <v>66</v>
      </c>
      <c r="AB23" s="21" t="str">
        <f>MID(K17,7,1)</f>
        <v>0</v>
      </c>
      <c r="AC23" s="26" t="str">
        <f t="shared" si="32"/>
        <v>0</v>
      </c>
      <c r="AD23" s="7" t="s">
        <v>73</v>
      </c>
      <c r="AE23" s="8" t="s">
        <v>66</v>
      </c>
      <c r="AF23" s="21" t="str">
        <f>MID(L17,7,1)</f>
        <v>0</v>
      </c>
      <c r="AG23" s="26" t="str">
        <f t="shared" si="33"/>
        <v>0</v>
      </c>
      <c r="AH23" s="7" t="s">
        <v>73</v>
      </c>
      <c r="AI23" s="8" t="s">
        <v>66</v>
      </c>
      <c r="AJ23" s="400"/>
      <c r="AK23" s="401"/>
      <c r="AN23" s="284"/>
      <c r="AO23" t="str">
        <f>H329&amp;I329&amp;J329&amp;K329&amp;L329</f>
        <v>0000000000</v>
      </c>
      <c r="AP23" t="str">
        <f t="shared" si="1"/>
        <v>0000000000</v>
      </c>
      <c r="AT23" s="53"/>
      <c r="AU23" s="54"/>
      <c r="BB23">
        <v>49</v>
      </c>
      <c r="BC23" s="35" t="s">
        <v>1293</v>
      </c>
      <c r="BD23">
        <v>34</v>
      </c>
      <c r="BE23">
        <f t="shared" si="26"/>
        <v>483</v>
      </c>
      <c r="BF23" s="35" t="s">
        <v>1294</v>
      </c>
      <c r="BG23">
        <v>35</v>
      </c>
      <c r="BH23">
        <f t="shared" si="24"/>
        <v>494</v>
      </c>
      <c r="BI23">
        <f t="shared" si="24"/>
        <v>461</v>
      </c>
      <c r="BK23" t="str">
        <f t="shared" si="25"/>
        <v>=IF(OR(LEFT(A49;7)="720G4I2";LEFT(A49;7)="7200434");RIGHT(D483;1)&amp;E483&amp;F483&amp;G483&amp;H483&amp;I483&amp;J483&amp;K483&amp;L483&amp;M483;IF(OR(LEFT(A49;7)="720G4I3";LEFT(A49;7)="7200435");RIGHT(D494;1)&amp;E494&amp;F494&amp;G494&amp;H494&amp;I494&amp;J494&amp;K494&amp;L494&amp;M494;RIGHT(D461;1)&amp;E461&amp;F461&amp;G461&amp;H461&amp;I461&amp;J461&amp;K461&amp;L461&amp;M461))</v>
      </c>
      <c r="BN23" t="str">
        <f>IF(OR(LEFT(A49,7)="720G4I2",LEFT(A49,7)="7200434"),RIGHT(D483,1)&amp;E483&amp;F483&amp;G483&amp;H483&amp;I483&amp;J483&amp;K483&amp;L483&amp;M483,IF(OR(LEFT(A49,7)="720G4I3",LEFT(A49,7)="7200435"),RIGHT(D494,1)&amp;E494&amp;F494&amp;G494&amp;H494&amp;I494&amp;J494&amp;K494&amp;L494&amp;M494,RIGHT(D461,1)&amp;E461&amp;F461&amp;G461&amp;H461&amp;I461&amp;J461&amp;K461&amp;L461&amp;M461))</f>
        <v/>
      </c>
    </row>
    <row r="24" spans="1:66" ht="15" thickBot="1" x14ac:dyDescent="0.35">
      <c r="A24" s="270" t="s">
        <v>1734</v>
      </c>
      <c r="B24" s="87" t="str">
        <f>IF(OR(LEFT(A24,7)="720G4G9",LEFT(A24,7)="7200409"),RIGHT(D211,1)&amp;E211&amp;F211&amp;G211&amp;H208&amp;I208&amp;J208&amp;K208&amp;L208&amp;M208,IF(OR(LEFT(A24,7)="720G4GA",LEFT(A24,7)="7200410"),RIGHT(D222,1)&amp;E222&amp;F222&amp;G222&amp;H219&amp;I219&amp;J219&amp;K219&amp;L219&amp;M219,RIGHT(D189,1)&amp;E189&amp;F189&amp;G189&amp;H186&amp;I186&amp;J186&amp;K186&amp;L186&amp;M186))</f>
        <v>720G4GA00000000003B</v>
      </c>
      <c r="C24" s="9" t="s">
        <v>1678</v>
      </c>
      <c r="D24" s="334" t="str">
        <f>D19</f>
        <v>07</v>
      </c>
      <c r="E24" s="334" t="str">
        <f t="shared" ref="E24:G24" si="38">E19</f>
        <v>20</v>
      </c>
      <c r="F24" s="334" t="str">
        <f t="shared" si="38"/>
        <v>G1</v>
      </c>
      <c r="G24" s="334" t="str">
        <f t="shared" si="38"/>
        <v>G2</v>
      </c>
      <c r="H24" s="10"/>
      <c r="I24" s="10"/>
      <c r="J24" s="10"/>
      <c r="K24" s="10"/>
      <c r="L24" s="10"/>
      <c r="M24" s="10"/>
      <c r="N24" s="11"/>
      <c r="P24" s="22" t="str">
        <f>MID(H17,8,1)</f>
        <v>0</v>
      </c>
      <c r="Q24" s="55" t="str">
        <f t="shared" si="28"/>
        <v>0</v>
      </c>
      <c r="R24" s="9" t="s">
        <v>74</v>
      </c>
      <c r="S24" s="11" t="s">
        <v>66</v>
      </c>
      <c r="T24" s="22" t="str">
        <f>MID(I17,8,1)</f>
        <v>0</v>
      </c>
      <c r="U24" s="55" t="str">
        <f t="shared" si="30"/>
        <v>0</v>
      </c>
      <c r="V24" s="9" t="s">
        <v>74</v>
      </c>
      <c r="W24" s="11" t="s">
        <v>66</v>
      </c>
      <c r="X24" s="22" t="str">
        <f>MID(J17,8,1)</f>
        <v>0</v>
      </c>
      <c r="Y24" s="55" t="str">
        <f t="shared" si="31"/>
        <v>0</v>
      </c>
      <c r="Z24" s="9" t="s">
        <v>74</v>
      </c>
      <c r="AA24" s="11" t="s">
        <v>66</v>
      </c>
      <c r="AB24" s="22" t="str">
        <f>MID(K17,8,1)</f>
        <v>0</v>
      </c>
      <c r="AC24" s="55" t="str">
        <f t="shared" si="32"/>
        <v>0</v>
      </c>
      <c r="AD24" s="9" t="s">
        <v>74</v>
      </c>
      <c r="AE24" s="11" t="s">
        <v>66</v>
      </c>
      <c r="AF24" s="22" t="str">
        <f>MID(L17,8,1)</f>
        <v>0</v>
      </c>
      <c r="AG24" s="55" t="str">
        <f t="shared" si="33"/>
        <v>0</v>
      </c>
      <c r="AH24" s="9" t="s">
        <v>74</v>
      </c>
      <c r="AI24" s="11" t="s">
        <v>66</v>
      </c>
      <c r="AJ24" s="402"/>
      <c r="AK24" s="404"/>
      <c r="AN24" s="284"/>
      <c r="AO24" t="str">
        <f>H340&amp;I340&amp;J340&amp;K340&amp;L340</f>
        <v>0000000000</v>
      </c>
      <c r="AP24" t="str">
        <f t="shared" si="1"/>
        <v>0000000000</v>
      </c>
      <c r="AT24" s="53"/>
      <c r="AU24" s="54"/>
      <c r="BB24">
        <v>50</v>
      </c>
      <c r="BC24" s="35" t="s">
        <v>1294</v>
      </c>
      <c r="BD24">
        <v>35</v>
      </c>
      <c r="BE24">
        <f t="shared" si="26"/>
        <v>494</v>
      </c>
      <c r="BF24" s="35" t="s">
        <v>1295</v>
      </c>
      <c r="BG24">
        <v>36</v>
      </c>
      <c r="BH24">
        <f t="shared" si="24"/>
        <v>505</v>
      </c>
      <c r="BI24">
        <f t="shared" si="24"/>
        <v>472</v>
      </c>
      <c r="BK24" t="str">
        <f t="shared" si="25"/>
        <v>=IF(OR(LEFT(A50;7)="720G4I3";LEFT(A50;7)="7200435");RIGHT(D494;1)&amp;E494&amp;F494&amp;G494&amp;H494&amp;I494&amp;J494&amp;K494&amp;L494&amp;M494;IF(OR(LEFT(A50;7)="720G4I4";LEFT(A50;7)="7200436");RIGHT(D505;1)&amp;E505&amp;F505&amp;G505&amp;H505&amp;I505&amp;J505&amp;K505&amp;L505&amp;M505;RIGHT(D472;1)&amp;E472&amp;F472&amp;G472&amp;H472&amp;I472&amp;J472&amp;K472&amp;L472&amp;M472))</v>
      </c>
      <c r="BN24" t="str">
        <f>IF(OR(LEFT(A50,7)="720G4I3",LEFT(A50,7)="7200435"),RIGHT(D494,1)&amp;E494&amp;F494&amp;G494&amp;H494&amp;I494&amp;J494&amp;K494&amp;L494&amp;M494,IF(OR(LEFT(A50,7)="720G4I4",LEFT(A50,7)="7200436"),RIGHT(D505,1)&amp;E505&amp;F505&amp;G505&amp;H505&amp;I505&amp;J505&amp;K505&amp;L505&amp;M505,RIGHT(D472,1)&amp;E472&amp;F472&amp;G472&amp;H472&amp;I472&amp;J472&amp;K472&amp;L472&amp;M472))</f>
        <v/>
      </c>
    </row>
    <row r="25" spans="1:66" ht="15" thickBot="1" x14ac:dyDescent="0.35">
      <c r="A25" s="270" t="s">
        <v>1735</v>
      </c>
      <c r="B25" s="87" t="str">
        <f>IF(OR(LEFT(A25,7)="720G4GA",LEFT(A25,7)="7200410"),RIGHT(D222,1)&amp;E222&amp;F222&amp;G222&amp;H219&amp;I219&amp;J219&amp;K219&amp;L219&amp;M219,IF(OR(LEFT(A25,7)="720G4GB",LEFT(A25,7)="7200411"),RIGHT(D233,1)&amp;E233&amp;F233&amp;G233&amp;H230&amp;I230&amp;J230&amp;K230&amp;L230&amp;M230,RIGHT(D200,1)&amp;E200&amp;F200&amp;G200&amp;H197&amp;I197&amp;J197&amp;K197&amp;L197&amp;M197))</f>
        <v>720G4GB00000000003C</v>
      </c>
      <c r="C25" s="4"/>
      <c r="D25" s="5"/>
      <c r="E25" s="5"/>
      <c r="F25" s="5"/>
      <c r="G25" s="5"/>
      <c r="H25" s="5"/>
      <c r="I25" s="5"/>
      <c r="J25" s="5"/>
      <c r="K25" s="5"/>
      <c r="L25" s="5"/>
      <c r="M25" s="5" t="s">
        <v>41</v>
      </c>
      <c r="N25" s="6"/>
      <c r="P25" s="392" t="s">
        <v>1264</v>
      </c>
      <c r="Q25" s="392"/>
      <c r="R25" s="392"/>
      <c r="S25" s="392"/>
      <c r="T25" s="392"/>
      <c r="U25" s="392"/>
      <c r="V25" s="392"/>
      <c r="W25" s="392"/>
      <c r="X25" s="392"/>
      <c r="Y25" s="392"/>
      <c r="Z25" s="392"/>
      <c r="AA25" s="392"/>
      <c r="AB25" s="392"/>
      <c r="AC25" s="392"/>
      <c r="AD25" s="392"/>
      <c r="AE25" s="392"/>
      <c r="AF25" s="392"/>
      <c r="AG25" s="392"/>
      <c r="AH25" s="392"/>
      <c r="AI25" s="392"/>
      <c r="AJ25" s="392"/>
      <c r="AK25" s="392"/>
      <c r="AN25" s="284"/>
      <c r="AO25" t="str">
        <f>H351&amp;I351&amp;J351&amp;K351&amp;L351</f>
        <v>0000000000</v>
      </c>
      <c r="AP25" t="str">
        <f t="shared" si="1"/>
        <v>0000000000</v>
      </c>
      <c r="AT25" s="53"/>
      <c r="AU25" s="54"/>
      <c r="BB25">
        <v>51</v>
      </c>
      <c r="BC25" s="35" t="s">
        <v>1295</v>
      </c>
      <c r="BD25">
        <v>36</v>
      </c>
      <c r="BE25">
        <f t="shared" si="26"/>
        <v>505</v>
      </c>
      <c r="BF25" s="35" t="s">
        <v>1296</v>
      </c>
      <c r="BG25">
        <v>37</v>
      </c>
      <c r="BH25">
        <f t="shared" si="24"/>
        <v>516</v>
      </c>
      <c r="BI25">
        <f t="shared" si="24"/>
        <v>483</v>
      </c>
      <c r="BK25" t="str">
        <f t="shared" si="25"/>
        <v>=IF(OR(LEFT(A51;7)="720G4I4";LEFT(A51;7)="7200436");RIGHT(D505;1)&amp;E505&amp;F505&amp;G505&amp;H505&amp;I505&amp;J505&amp;K505&amp;L505&amp;M505;IF(OR(LEFT(A51;7)="720G4I5";LEFT(A51;7)="7200437");RIGHT(D516;1)&amp;E516&amp;F516&amp;G516&amp;H516&amp;I516&amp;J516&amp;K516&amp;L516&amp;M516;RIGHT(D483;1)&amp;E483&amp;F483&amp;G483&amp;H483&amp;I483&amp;J483&amp;K483&amp;L483&amp;M483))</v>
      </c>
      <c r="BN25" t="str">
        <f>IF(OR(LEFT(A51,7)="720G4I4",LEFT(A51,7)="7200436"),RIGHT(D505,1)&amp;E505&amp;F505&amp;G505&amp;H505&amp;I505&amp;J505&amp;K505&amp;L505&amp;M505,IF(OR(LEFT(A51,7)="720G4I5",LEFT(A51,7)="7200437"),RIGHT(D516,1)&amp;E516&amp;F516&amp;G516&amp;H516&amp;I516&amp;J516&amp;K516&amp;L516&amp;M516,RIGHT(D483,1)&amp;E483&amp;F483&amp;G483&amp;H483&amp;I483&amp;J483&amp;K483&amp;L483&amp;M483))</f>
        <v/>
      </c>
    </row>
    <row r="26" spans="1:66" ht="15" thickBot="1" x14ac:dyDescent="0.35">
      <c r="A26" s="270" t="s">
        <v>1736</v>
      </c>
      <c r="B26" s="87" t="str">
        <f>IF(OR(LEFT(A26,7)="720G4GB",LEFT(A26,7)="7200411"),RIGHT(D233,1)&amp;E233&amp;F233&amp;G233&amp;H230&amp;I230&amp;J230&amp;K230&amp;L230&amp;M230,IF(OR(LEFT(A26,7)="720G4GC",LEFT(A26,7)="7200412"),RIGHT(D244,1)&amp;E244&amp;F244&amp;G244&amp;H241&amp;I241&amp;J241&amp;K241&amp;L241&amp;M241,RIGHT(D211,1)&amp;E211&amp;F211&amp;G211&amp;H208&amp;I208&amp;J208&amp;K208&amp;L208&amp;M208))</f>
        <v>720G4GC00000000003D</v>
      </c>
      <c r="C26" s="7"/>
      <c r="D26" s="393" t="s">
        <v>1263</v>
      </c>
      <c r="E26" s="393"/>
      <c r="F26" s="393"/>
      <c r="G26" s="393"/>
      <c r="H26" s="99" t="s">
        <v>44</v>
      </c>
      <c r="I26" s="99" t="s">
        <v>45</v>
      </c>
      <c r="J26" s="99" t="s">
        <v>46</v>
      </c>
      <c r="K26" s="99" t="s">
        <v>47</v>
      </c>
      <c r="L26" s="99" t="s">
        <v>48</v>
      </c>
      <c r="M26" s="99" t="s">
        <v>49</v>
      </c>
      <c r="N26" s="8"/>
      <c r="P26" s="394" t="s">
        <v>50</v>
      </c>
      <c r="Q26" s="395"/>
      <c r="R26" s="395"/>
      <c r="S26" s="396"/>
      <c r="T26" s="394" t="s">
        <v>51</v>
      </c>
      <c r="U26" s="395"/>
      <c r="V26" s="395"/>
      <c r="W26" s="396"/>
      <c r="X26" s="394" t="s">
        <v>52</v>
      </c>
      <c r="Y26" s="395"/>
      <c r="Z26" s="395"/>
      <c r="AA26" s="396"/>
      <c r="AB26" s="394" t="s">
        <v>53</v>
      </c>
      <c r="AC26" s="395"/>
      <c r="AD26" s="395"/>
      <c r="AE26" s="396"/>
      <c r="AF26" s="394" t="s">
        <v>97</v>
      </c>
      <c r="AG26" s="395"/>
      <c r="AH26" s="395"/>
      <c r="AI26" s="396"/>
      <c r="AJ26" s="394" t="s">
        <v>55</v>
      </c>
      <c r="AK26" s="396"/>
      <c r="AN26" s="284"/>
      <c r="AO26" t="str">
        <f>H362&amp;I362&amp;J362&amp;K362&amp;L362</f>
        <v>0000000000</v>
      </c>
      <c r="AP26" t="str">
        <f t="shared" si="1"/>
        <v>0000000000</v>
      </c>
      <c r="AT26" s="53"/>
      <c r="AU26" s="54"/>
      <c r="BB26">
        <v>52</v>
      </c>
      <c r="BC26" s="35" t="s">
        <v>1296</v>
      </c>
      <c r="BD26">
        <v>37</v>
      </c>
      <c r="BE26">
        <f t="shared" si="26"/>
        <v>516</v>
      </c>
      <c r="BF26" s="35" t="s">
        <v>1297</v>
      </c>
      <c r="BG26">
        <v>38</v>
      </c>
      <c r="BH26">
        <f t="shared" si="24"/>
        <v>527</v>
      </c>
      <c r="BI26">
        <f t="shared" si="24"/>
        <v>494</v>
      </c>
      <c r="BK26" t="str">
        <f t="shared" si="25"/>
        <v>=IF(OR(LEFT(A52;7)="720G4I5";LEFT(A52;7)="7200437");RIGHT(D516;1)&amp;E516&amp;F516&amp;G516&amp;H516&amp;I516&amp;J516&amp;K516&amp;L516&amp;M516;IF(OR(LEFT(A52;7)="720G4I6";LEFT(A52;7)="7200438");RIGHT(D527;1)&amp;E527&amp;F527&amp;G527&amp;H527&amp;I527&amp;J527&amp;K527&amp;L527&amp;M527;RIGHT(D494;1)&amp;E494&amp;F494&amp;G494&amp;H494&amp;I494&amp;J494&amp;K494&amp;L494&amp;M494))</v>
      </c>
      <c r="BN26" t="str">
        <f>IF(OR(LEFT(A52,7)="720G4I5",LEFT(A52,7)="7200437"),RIGHT(D516,1)&amp;E516&amp;F516&amp;G516&amp;H516&amp;I516&amp;J516&amp;K516&amp;L516&amp;M516,IF(OR(LEFT(A52,7)="720G4I6",LEFT(A52,7)="7200438"),RIGHT(D527,1)&amp;E527&amp;F527&amp;G527&amp;H527&amp;I527&amp;J527&amp;K527&amp;L527&amp;M527,RIGHT(D494,1)&amp;E494&amp;F494&amp;G494&amp;H494&amp;I494&amp;J494&amp;K494&amp;L494&amp;M494))</f>
        <v/>
      </c>
    </row>
    <row r="27" spans="1:66" ht="15" thickBot="1" x14ac:dyDescent="0.35">
      <c r="A27" s="270" t="s">
        <v>1737</v>
      </c>
      <c r="B27" s="87" t="str">
        <f>IF(OR(LEFT(A27,7)="720G4GC",LEFT(A27,7)="7200412"),RIGHT(D244,1)&amp;E244&amp;F244&amp;G244&amp;H241&amp;I241&amp;J241&amp;K241&amp;L241&amp;M241,IF(OR(LEFT(A27,7)="720G4GD",LEFT(A27,7)="7200413"),RIGHT(D255,1)&amp;E255&amp;F255&amp;G255&amp;H252&amp;I252&amp;J252&amp;K252&amp;L252&amp;M252,RIGHT(D222,1)&amp;E222&amp;F222&amp;G222&amp;H219&amp;I219&amp;J219&amp;K219&amp;L219&amp;M219))</f>
        <v>720G4GD00000000003E</v>
      </c>
      <c r="C27" s="7" t="s">
        <v>56</v>
      </c>
      <c r="D27" s="12" t="s">
        <v>57</v>
      </c>
      <c r="E27" s="13" t="s">
        <v>130</v>
      </c>
      <c r="F27" s="13" t="s">
        <v>59</v>
      </c>
      <c r="G27" s="14" t="s">
        <v>93</v>
      </c>
      <c r="H27" s="316" t="str" cm="1">
        <f t="array" ref="H27">MID(INDEX($A$3:$A$70,IF(ISNA(MATCH("720G1G3*",$A$3:$A$70,0))=TRUE,MATCH("7200103*",$A$3:$A$70,0),MATCH("720G1G3*",$A$3:$A$70,0))),$AU$8,2)</f>
        <v>00</v>
      </c>
      <c r="I27" s="317" t="str" cm="1">
        <f t="array" ref="I27">MID(INDEX($A$3:$A$70,IF(ISNA(MATCH("720G1G3*",$A$3:$A$70,0))=TRUE,MATCH("7200103*",$A$3:$A$70,0),MATCH("720G1G3*",$A$3:$A$70,0))),$AV$8,2)</f>
        <v>00</v>
      </c>
      <c r="J27" s="317" t="str" cm="1">
        <f t="array" ref="J27">MID(INDEX($A$3:$A$70,IF(ISNA(MATCH("720G1G3*",$A$3:$A$70,0))=TRUE,MATCH("7200103*",$A$3:$A$70,0),MATCH("720G1G3*",$A$3:$A$70,0))),$AW$8,2)</f>
        <v>00</v>
      </c>
      <c r="K27" s="317" t="str" cm="1">
        <f t="array" ref="K27">MID(INDEX($A$3:$A$70,IF(ISNA(MATCH("720G1G3*",$A$3:$A$70,0))=TRUE,MATCH("7200103*",$A$3:$A$70,0),MATCH("720G1G3*",$A$3:$A$70,0))),$AX$8,2)</f>
        <v>00</v>
      </c>
      <c r="L27" s="318" t="str" cm="1">
        <f t="array" ref="L27">MID(INDEX($A$3:$A$70,IF(ISNA(MATCH("720G1G3*",$A$3:$A$70,0))=TRUE,MATCH("7200103*",$A$3:$A$70,0),MATCH("720G1G3*",$A$3:$A$70,0))),$AY$8,2)</f>
        <v>00</v>
      </c>
      <c r="M27" s="319" t="str" cm="1">
        <f t="array" ref="M27">MID(INDEX($A$3:$A$70,IF(ISNA(MATCH("720G1G3*",$A$3:$A$70,0))=TRUE,MATCH("7200103*",$A$3:$A$70,0),MATCH("720G1G3*",$A$3:$A$70,0))),$AZ$8,2)</f>
        <v>2B</v>
      </c>
      <c r="N27" s="8" t="s">
        <v>60</v>
      </c>
      <c r="P27" s="19" t="s">
        <v>60</v>
      </c>
      <c r="Q27" s="20" t="s">
        <v>61</v>
      </c>
      <c r="R27" t="s">
        <v>62</v>
      </c>
      <c r="S27" s="8"/>
      <c r="T27" s="19" t="s">
        <v>60</v>
      </c>
      <c r="U27" s="20" t="s">
        <v>61</v>
      </c>
      <c r="V27" t="s">
        <v>62</v>
      </c>
      <c r="W27" s="8"/>
      <c r="X27" s="19" t="s">
        <v>60</v>
      </c>
      <c r="Y27" s="20" t="s">
        <v>61</v>
      </c>
      <c r="Z27" t="s">
        <v>62</v>
      </c>
      <c r="AA27" s="8"/>
      <c r="AB27" s="19" t="s">
        <v>60</v>
      </c>
      <c r="AC27" s="20" t="s">
        <v>61</v>
      </c>
      <c r="AD27" t="s">
        <v>62</v>
      </c>
      <c r="AE27" s="8"/>
      <c r="AF27" s="19" t="s">
        <v>60</v>
      </c>
      <c r="AG27" s="20" t="s">
        <v>61</v>
      </c>
      <c r="AH27" t="s">
        <v>62</v>
      </c>
      <c r="AJ27" s="394" t="s">
        <v>63</v>
      </c>
      <c r="AK27" s="396"/>
      <c r="AN27" s="284"/>
      <c r="AO27" t="str">
        <f>H373&amp;I373&amp;J373&amp;K373&amp;L373</f>
        <v>0000000000</v>
      </c>
      <c r="AP27" t="str">
        <f t="shared" si="1"/>
        <v>0000000000</v>
      </c>
      <c r="AT27" s="53"/>
      <c r="AU27" s="54"/>
      <c r="BB27">
        <v>53</v>
      </c>
      <c r="BC27" s="35" t="s">
        <v>1297</v>
      </c>
      <c r="BD27">
        <v>38</v>
      </c>
      <c r="BE27">
        <f t="shared" si="26"/>
        <v>527</v>
      </c>
      <c r="BF27" s="35" t="s">
        <v>1298</v>
      </c>
      <c r="BG27">
        <v>39</v>
      </c>
      <c r="BH27">
        <f t="shared" si="24"/>
        <v>538</v>
      </c>
      <c r="BI27">
        <f t="shared" si="24"/>
        <v>505</v>
      </c>
      <c r="BK27" t="str">
        <f t="shared" si="25"/>
        <v>=IF(OR(LEFT(A53;7)="720G4I6";LEFT(A53;7)="7200438");RIGHT(D527;1)&amp;E527&amp;F527&amp;G527&amp;H527&amp;I527&amp;J527&amp;K527&amp;L527&amp;M527;IF(OR(LEFT(A53;7)="720G4I7";LEFT(A53;7)="7200439");RIGHT(D538;1)&amp;E538&amp;F538&amp;G538&amp;H538&amp;I538&amp;J538&amp;K538&amp;L538&amp;M538;RIGHT(D505;1)&amp;E505&amp;F505&amp;G505&amp;H505&amp;I505&amp;J505&amp;K505&amp;L505&amp;M505))</v>
      </c>
      <c r="BN27" t="str">
        <f>IF(OR(LEFT(A53,7)="720G4I6",LEFT(A53,7)="7200438"),RIGHT(D527,1)&amp;E527&amp;F527&amp;G527&amp;H527&amp;I527&amp;J527&amp;K527&amp;L527&amp;M527,IF(OR(LEFT(A53,7)="720G4I7",LEFT(A53,7)="7200439"),RIGHT(D538,1)&amp;E538&amp;F538&amp;G538&amp;H538&amp;I538&amp;J538&amp;K538&amp;L538&amp;M538,RIGHT(D505,1)&amp;E505&amp;F505&amp;G505&amp;H505&amp;I505&amp;J505&amp;K505&amp;L505&amp;M505))</f>
        <v/>
      </c>
    </row>
    <row r="28" spans="1:66" ht="15" customHeight="1" x14ac:dyDescent="0.3">
      <c r="A28" s="270" t="s">
        <v>1738</v>
      </c>
      <c r="B28" s="87" t="str">
        <f>IF(OR(LEFT(A28,7)="720G4GD",LEFT(A28,7)="7200413"),RIGHT(D255,1)&amp;E255&amp;F255&amp;G255&amp;H252&amp;I252&amp;J252&amp;K252&amp;L252&amp;M252,IF(OR(LEFT(A28,7)="720G4GE",LEFT(A28,7)="7200414"),RIGHT(D266,1)&amp;E266&amp;F266&amp;G266&amp;H263&amp;I263&amp;J263&amp;K263&amp;L263&amp;M263,RIGHT(D233,1)&amp;E233&amp;F233&amp;G233&amp;H230&amp;I230&amp;J230&amp;K230&amp;L230&amp;M230))</f>
        <v>720G4GE00000000003F</v>
      </c>
      <c r="C28" s="7" t="s">
        <v>64</v>
      </c>
      <c r="D28" s="99" t="str">
        <f>HEX2BIN(D27,8)</f>
        <v>00000111</v>
      </c>
      <c r="E28" s="99" t="str">
        <f t="shared" ref="E28:L28" si="39">HEX2BIN(E27,8)</f>
        <v>00100000</v>
      </c>
      <c r="F28" s="99" t="str">
        <f t="shared" si="39"/>
        <v>00000001</v>
      </c>
      <c r="G28" s="99" t="str">
        <f t="shared" si="39"/>
        <v>00000011</v>
      </c>
      <c r="H28" s="99" t="str">
        <f t="shared" si="39"/>
        <v>00000000</v>
      </c>
      <c r="I28" s="99" t="str">
        <f t="shared" si="39"/>
        <v>00000000</v>
      </c>
      <c r="J28" s="99" t="str">
        <f t="shared" si="39"/>
        <v>00000000</v>
      </c>
      <c r="K28" s="99" t="str">
        <f t="shared" si="39"/>
        <v>00000000</v>
      </c>
      <c r="L28" s="99" t="str">
        <f t="shared" si="39"/>
        <v>00000000</v>
      </c>
      <c r="N28" s="8"/>
      <c r="P28" s="21" t="str">
        <f>MID(H28,1,1)</f>
        <v>0</v>
      </c>
      <c r="Q28" s="26" t="str">
        <f t="shared" ref="Q28:Q35" si="40">P28</f>
        <v>0</v>
      </c>
      <c r="R28" s="7" t="s">
        <v>65</v>
      </c>
      <c r="S28" s="285" t="s">
        <v>1350</v>
      </c>
      <c r="T28" s="21" t="str">
        <f>MID(I28,1,1)</f>
        <v>0</v>
      </c>
      <c r="U28" s="26" t="str">
        <f>T28</f>
        <v>0</v>
      </c>
      <c r="V28" s="7" t="s">
        <v>65</v>
      </c>
      <c r="W28" s="8" t="s">
        <v>66</v>
      </c>
      <c r="X28" s="21" t="str">
        <f>MID(J28,1,1)</f>
        <v>0</v>
      </c>
      <c r="Y28" s="26" t="str">
        <f>X28</f>
        <v>0</v>
      </c>
      <c r="Z28" s="7" t="s">
        <v>65</v>
      </c>
      <c r="AA28" s="8" t="s">
        <v>66</v>
      </c>
      <c r="AB28" s="21" t="str">
        <f>MID(K28,1,1)</f>
        <v>0</v>
      </c>
      <c r="AC28" s="26" t="str">
        <f>AB28</f>
        <v>0</v>
      </c>
      <c r="AD28" s="7" t="s">
        <v>65</v>
      </c>
      <c r="AE28" s="8" t="s">
        <v>66</v>
      </c>
      <c r="AF28" s="21" t="str">
        <f>MID(L28,1,1)</f>
        <v>0</v>
      </c>
      <c r="AG28" s="26" t="str">
        <f>AF28</f>
        <v>0</v>
      </c>
      <c r="AH28" s="7" t="s">
        <v>65</v>
      </c>
      <c r="AI28" s="8" t="s">
        <v>66</v>
      </c>
      <c r="AJ28" s="400"/>
      <c r="AK28" s="401"/>
      <c r="AN28" s="284"/>
      <c r="AO28" t="str">
        <f>H384&amp;I384&amp;J384&amp;K384&amp;L384</f>
        <v>0000000000</v>
      </c>
      <c r="AP28" t="str">
        <f t="shared" si="1"/>
        <v>0000000000</v>
      </c>
      <c r="AT28" s="53"/>
      <c r="AU28" s="54"/>
      <c r="BB28">
        <v>54</v>
      </c>
      <c r="BC28" s="35" t="s">
        <v>1298</v>
      </c>
      <c r="BD28">
        <v>39</v>
      </c>
      <c r="BE28">
        <f t="shared" si="26"/>
        <v>538</v>
      </c>
      <c r="BF28" s="35" t="s">
        <v>1299</v>
      </c>
      <c r="BG28">
        <v>40</v>
      </c>
      <c r="BH28">
        <f t="shared" si="24"/>
        <v>549</v>
      </c>
      <c r="BI28">
        <f t="shared" si="24"/>
        <v>516</v>
      </c>
      <c r="BK28" t="str">
        <f t="shared" si="25"/>
        <v>=IF(OR(LEFT(A54;7)="720G4I7";LEFT(A54;7)="7200439");RIGHT(D538;1)&amp;E538&amp;F538&amp;G538&amp;H538&amp;I538&amp;J538&amp;K538&amp;L538&amp;M538;IF(OR(LEFT(A54;7)="720G4I8";LEFT(A54;7)="7200440");RIGHT(D549;1)&amp;E549&amp;F549&amp;G549&amp;H549&amp;I549&amp;J549&amp;K549&amp;L549&amp;M549;RIGHT(D516;1)&amp;E516&amp;F516&amp;G516&amp;H516&amp;I516&amp;J516&amp;K516&amp;L516&amp;M516))</v>
      </c>
      <c r="BN28" t="str">
        <f>IF(OR(LEFT(A54,7)="720G4I7",LEFT(A54,7)="7200439"),RIGHT(D538,1)&amp;E538&amp;F538&amp;G538&amp;H538&amp;I538&amp;J538&amp;K538&amp;L538&amp;M538,IF(OR(LEFT(A54,7)="720G4I8",LEFT(A54,7)="7200440"),RIGHT(D549,1)&amp;E549&amp;F549&amp;G549&amp;H549&amp;I549&amp;J549&amp;K549&amp;L549&amp;M549,RIGHT(D516,1)&amp;E516&amp;F516&amp;G516&amp;H516&amp;I516&amp;J516&amp;K516&amp;L516&amp;M516))</f>
        <v/>
      </c>
    </row>
    <row r="29" spans="1:66" x14ac:dyDescent="0.3">
      <c r="A29" s="270" t="s">
        <v>1739</v>
      </c>
      <c r="B29" s="87" t="str">
        <f>IF(OR(LEFT(A29,7)="720G4GE",LEFT(A29,7)="7200414"),RIGHT(D266,1)&amp;E266&amp;F266&amp;G266&amp;H263&amp;I263&amp;J263&amp;K263&amp;L263&amp;M263,IF(OR(LEFT(A29,7)="720G4GF",LEFT(A29,7)="7200415"),RIGHT(D277,1)&amp;E277&amp;F277&amp;G277&amp;H274&amp;I274&amp;J274&amp;K274&amp;L274&amp;M274,RIGHT(D244,1)&amp;E244&amp;F244&amp;G244&amp;H241&amp;I241&amp;J241&amp;K241&amp;L241&amp;M241))</f>
        <v>720G4GF000000000040</v>
      </c>
      <c r="C29" s="7" t="s">
        <v>67</v>
      </c>
      <c r="D29" s="99">
        <f>HEX2DEC(D27)</f>
        <v>7</v>
      </c>
      <c r="E29" s="99">
        <f t="shared" ref="E29:L29" si="41">HEX2DEC(E27)</f>
        <v>32</v>
      </c>
      <c r="F29" s="99">
        <f t="shared" si="41"/>
        <v>1</v>
      </c>
      <c r="G29" s="99">
        <f t="shared" si="41"/>
        <v>3</v>
      </c>
      <c r="H29" s="99">
        <f t="shared" si="41"/>
        <v>0</v>
      </c>
      <c r="I29" s="99">
        <f t="shared" si="41"/>
        <v>0</v>
      </c>
      <c r="J29" s="99">
        <f t="shared" si="41"/>
        <v>0</v>
      </c>
      <c r="K29" s="99">
        <f t="shared" si="41"/>
        <v>0</v>
      </c>
      <c r="L29" s="99">
        <f t="shared" si="41"/>
        <v>0</v>
      </c>
      <c r="M29" s="99">
        <f>SUM(D29:L29)</f>
        <v>43</v>
      </c>
      <c r="N29" s="8"/>
      <c r="P29" s="21" t="str">
        <f>MID(H28,2,1)</f>
        <v>0</v>
      </c>
      <c r="Q29" s="26" t="str">
        <f t="shared" si="40"/>
        <v>0</v>
      </c>
      <c r="R29" s="7" t="s">
        <v>68</v>
      </c>
      <c r="S29" s="8" t="s">
        <v>66</v>
      </c>
      <c r="T29" s="21" t="str">
        <f>MID(I28,2,1)</f>
        <v>0</v>
      </c>
      <c r="U29" s="26" t="str">
        <f t="shared" ref="U29:U35" si="42">T29</f>
        <v>0</v>
      </c>
      <c r="V29" s="7" t="s">
        <v>68</v>
      </c>
      <c r="W29" s="8" t="s">
        <v>66</v>
      </c>
      <c r="X29" s="21" t="str">
        <f>MID(J28,2,1)</f>
        <v>0</v>
      </c>
      <c r="Y29" s="26" t="str">
        <f t="shared" ref="Y29:Y35" si="43">X29</f>
        <v>0</v>
      </c>
      <c r="Z29" s="7" t="s">
        <v>68</v>
      </c>
      <c r="AA29" s="8" t="s">
        <v>66</v>
      </c>
      <c r="AB29" s="21" t="str">
        <f>MID(K28,2,1)</f>
        <v>0</v>
      </c>
      <c r="AC29" s="26" t="str">
        <f t="shared" ref="AC29:AC35" si="44">AB29</f>
        <v>0</v>
      </c>
      <c r="AD29" s="7" t="s">
        <v>68</v>
      </c>
      <c r="AE29" s="8" t="s">
        <v>66</v>
      </c>
      <c r="AF29" s="21" t="str">
        <f>MID(L28,2,1)</f>
        <v>0</v>
      </c>
      <c r="AG29" s="26" t="str">
        <f t="shared" ref="AG29:AG35" si="45">AF29</f>
        <v>0</v>
      </c>
      <c r="AH29" s="7" t="s">
        <v>68</v>
      </c>
      <c r="AI29" s="8" t="s">
        <v>66</v>
      </c>
      <c r="AJ29" s="400"/>
      <c r="AK29" s="401"/>
      <c r="AN29" s="284"/>
      <c r="AO29" t="str">
        <f>H395&amp;I395&amp;J395&amp;K395&amp;L395</f>
        <v>0000000000</v>
      </c>
      <c r="AP29" t="str">
        <f t="shared" si="1"/>
        <v>0000000000</v>
      </c>
      <c r="AT29" s="53"/>
      <c r="AU29" s="54"/>
      <c r="BB29">
        <v>55</v>
      </c>
      <c r="BC29" s="35" t="s">
        <v>1299</v>
      </c>
      <c r="BD29">
        <v>40</v>
      </c>
      <c r="BE29">
        <f t="shared" si="26"/>
        <v>549</v>
      </c>
      <c r="BF29" s="35" t="s">
        <v>1300</v>
      </c>
      <c r="BG29">
        <v>41</v>
      </c>
      <c r="BH29">
        <f t="shared" si="24"/>
        <v>560</v>
      </c>
      <c r="BI29">
        <f t="shared" si="24"/>
        <v>527</v>
      </c>
      <c r="BK29" t="str">
        <f t="shared" si="25"/>
        <v>=IF(OR(LEFT(A55;7)="720G4I8";LEFT(A55;7)="7200440");RIGHT(D549;1)&amp;E549&amp;F549&amp;G549&amp;H549&amp;I549&amp;J549&amp;K549&amp;L549&amp;M549;IF(OR(LEFT(A55;7)="720G4I9";LEFT(A55;7)="7200441");RIGHT(D560;1)&amp;E560&amp;F560&amp;G560&amp;H560&amp;I560&amp;J560&amp;K560&amp;L560&amp;M560;RIGHT(D527;1)&amp;E527&amp;F527&amp;G527&amp;H527&amp;I527&amp;J527&amp;K527&amp;L527&amp;M527))</v>
      </c>
      <c r="BN29" t="str">
        <f>IF(OR(LEFT(A55,7)="720G4I8",LEFT(A55,7)="7200440"),RIGHT(D549,1)&amp;E549&amp;F549&amp;G549&amp;H549&amp;I549&amp;J549&amp;K549&amp;L549&amp;M549,IF(OR(LEFT(A55,7)="720G4I9",LEFT(A55,7)="7200441"),RIGHT(D560,1)&amp;E560&amp;F560&amp;G560&amp;H560&amp;I560&amp;J560&amp;K560&amp;L560&amp;M560,RIGHT(D527,1)&amp;E527&amp;F527&amp;G527&amp;H527&amp;I527&amp;J527&amp;K527&amp;L527&amp;M527))</f>
        <v/>
      </c>
    </row>
    <row r="30" spans="1:66" ht="15" customHeight="1" x14ac:dyDescent="0.3">
      <c r="A30" s="270" t="s">
        <v>1719</v>
      </c>
      <c r="B30" s="87" t="str">
        <f>IF(OR(LEFT(A30,7)="720G4GF",LEFT(A30,7)="7200415"),RIGHT(D277,1)&amp;E277&amp;F277&amp;G277&amp;H274&amp;I274&amp;J274&amp;K274&amp;L274&amp;M274,IF(OR(LEFT(A30,7)="720G4H0",LEFT(A30,7)="7200416"),RIGHT(D288,1)&amp;E288&amp;F288&amp;G288&amp;H285&amp;I285&amp;J285&amp;K285&amp;L285&amp;M285,RIGHT(D255,1)&amp;E255&amp;F255&amp;G255&amp;H252&amp;I252&amp;J252&amp;K252&amp;L252&amp;M252))</f>
        <v>720G4H0000000000041</v>
      </c>
      <c r="C30" s="7" t="s">
        <v>1678</v>
      </c>
      <c r="D30" s="333" t="str">
        <f>D27</f>
        <v>07</v>
      </c>
      <c r="E30" s="333" t="str">
        <f>E27</f>
        <v>20</v>
      </c>
      <c r="F30" s="99" t="str">
        <f>MID(INDEX($A$3:$A$70,IF(ISNA(MATCH("720G1G3*",$A$3:$A$70,0))=TRUE,MATCH("7200103*",$A$3:$A$70,0),MATCH("720G1G3*",$A$3:$A$70,0))),$AS$8,2)</f>
        <v>G1</v>
      </c>
      <c r="G30" s="99" t="str">
        <f>MID(INDEX($A$3:$A$70,IF(ISNA(MATCH("720G1G3*",$A$3:$A$70,0))=TRUE,MATCH("7200103*",$A$3:$A$70,0),MATCH("720G1G3*",$A$3:$A$70,0))),$AT$8,2)</f>
        <v>G3</v>
      </c>
      <c r="N30" s="8"/>
      <c r="P30" s="21" t="str">
        <f>MID(H28,3,1)</f>
        <v>0</v>
      </c>
      <c r="Q30" s="26" t="str">
        <f t="shared" si="40"/>
        <v>0</v>
      </c>
      <c r="R30" s="7" t="s">
        <v>69</v>
      </c>
      <c r="S30" s="8" t="s">
        <v>66</v>
      </c>
      <c r="T30" s="21" t="str">
        <f>MID(I28,3,1)</f>
        <v>0</v>
      </c>
      <c r="U30" s="26" t="str">
        <f t="shared" si="42"/>
        <v>0</v>
      </c>
      <c r="V30" s="7" t="s">
        <v>69</v>
      </c>
      <c r="W30" s="8" t="s">
        <v>66</v>
      </c>
      <c r="X30" s="21" t="str">
        <f>MID(J28,3,1)</f>
        <v>0</v>
      </c>
      <c r="Y30" s="26" t="str">
        <f t="shared" si="43"/>
        <v>0</v>
      </c>
      <c r="Z30" s="7" t="s">
        <v>69</v>
      </c>
      <c r="AA30" s="8" t="s">
        <v>66</v>
      </c>
      <c r="AB30" s="21" t="str">
        <f>MID(K28,3,1)</f>
        <v>0</v>
      </c>
      <c r="AC30" s="26" t="str">
        <f t="shared" si="44"/>
        <v>0</v>
      </c>
      <c r="AD30" s="7" t="s">
        <v>69</v>
      </c>
      <c r="AE30" s="8" t="s">
        <v>66</v>
      </c>
      <c r="AF30" s="21" t="str">
        <f>MID(L28,3,1)</f>
        <v>0</v>
      </c>
      <c r="AG30" s="26" t="str">
        <f t="shared" si="45"/>
        <v>0</v>
      </c>
      <c r="AH30" s="7" t="s">
        <v>69</v>
      </c>
      <c r="AI30" s="8" t="s">
        <v>66</v>
      </c>
      <c r="AJ30" s="400"/>
      <c r="AK30" s="401"/>
      <c r="AN30" s="284"/>
      <c r="AO30" t="str">
        <f>H406&amp;I406&amp;J406&amp;K406&amp;L406</f>
        <v>0000000000</v>
      </c>
      <c r="AP30" t="str">
        <f t="shared" si="1"/>
        <v>0000000000</v>
      </c>
      <c r="AT30" s="53"/>
      <c r="AU30" s="54"/>
      <c r="BB30">
        <v>56</v>
      </c>
      <c r="BC30" s="35" t="s">
        <v>1300</v>
      </c>
      <c r="BD30">
        <v>41</v>
      </c>
      <c r="BE30">
        <f t="shared" si="26"/>
        <v>560</v>
      </c>
      <c r="BF30" s="35" t="s">
        <v>1301</v>
      </c>
      <c r="BG30">
        <v>42</v>
      </c>
      <c r="BH30">
        <f t="shared" si="24"/>
        <v>571</v>
      </c>
      <c r="BI30">
        <f t="shared" si="24"/>
        <v>538</v>
      </c>
      <c r="BK30" t="str">
        <f t="shared" si="25"/>
        <v>=IF(OR(LEFT(A56;7)="720G4I9";LEFT(A56;7)="7200441");RIGHT(D560;1)&amp;E560&amp;F560&amp;G560&amp;H560&amp;I560&amp;J560&amp;K560&amp;L560&amp;M560;IF(OR(LEFT(A56;7)="720G4IA";LEFT(A56;7)="7200442");RIGHT(D571;1)&amp;E571&amp;F571&amp;G571&amp;H571&amp;I571&amp;J571&amp;K571&amp;L571&amp;M571;RIGHT(D538;1)&amp;E538&amp;F538&amp;G538&amp;H538&amp;I538&amp;J538&amp;K538&amp;L538&amp;M538))</v>
      </c>
      <c r="BN30" t="str">
        <f>IF(OR(LEFT(A56,7)="720G4I9",LEFT(A56,7)="7200441"),RIGHT(D560,1)&amp;E560&amp;F560&amp;G560&amp;H560&amp;I560&amp;J560&amp;K560&amp;L560&amp;M560,IF(OR(LEFT(A56,7)="720G4IA",LEFT(A56,7)="7200442"),RIGHT(D571,1)&amp;E571&amp;F571&amp;G571&amp;H571&amp;I571&amp;J571&amp;K571&amp;L571&amp;M571,RIGHT(D538,1)&amp;E538&amp;F538&amp;G538&amp;H538&amp;I538&amp;J538&amp;K538&amp;L538&amp;M538))</f>
        <v/>
      </c>
    </row>
    <row r="31" spans="1:66" ht="15" thickBot="1" x14ac:dyDescent="0.35">
      <c r="A31" s="270" t="s">
        <v>1740</v>
      </c>
      <c r="B31" s="87" t="str">
        <f>IF(OR(LEFT(A31,7)="720G4H0",LEFT(A31,7)="7200416"),RIGHT(D288,1)&amp;E288&amp;F288&amp;G288&amp;H285&amp;I285&amp;J285&amp;K285&amp;L285&amp;M285,IF(OR(LEFT(A31,7)="720G4H1",LEFT(A31,7)="7200417"),RIGHT(D299,1)&amp;E299&amp;F299&amp;G299&amp;H296&amp;I296&amp;J296&amp;K296&amp;L296&amp;M296,RIGHT(D266,1)&amp;E266&amp;F266&amp;G266&amp;H263&amp;I263&amp;J263&amp;K263&amp;L263&amp;M263))</f>
        <v>720G4H1000000000042</v>
      </c>
      <c r="C31" s="7"/>
      <c r="N31" s="8"/>
      <c r="P31" s="21" t="str">
        <f>MID(H28,4,1)</f>
        <v>0</v>
      </c>
      <c r="Q31" s="26" t="str">
        <f t="shared" si="40"/>
        <v>0</v>
      </c>
      <c r="R31" s="7" t="s">
        <v>70</v>
      </c>
      <c r="S31" s="8" t="s">
        <v>66</v>
      </c>
      <c r="T31" s="21" t="str">
        <f>MID(I28,4,1)</f>
        <v>0</v>
      </c>
      <c r="U31" s="26" t="str">
        <f t="shared" si="42"/>
        <v>0</v>
      </c>
      <c r="V31" s="7" t="s">
        <v>70</v>
      </c>
      <c r="W31" s="8" t="s">
        <v>66</v>
      </c>
      <c r="X31" s="21" t="str">
        <f>MID(J28,4,1)</f>
        <v>0</v>
      </c>
      <c r="Y31" s="26" t="str">
        <f t="shared" si="43"/>
        <v>0</v>
      </c>
      <c r="Z31" s="7" t="s">
        <v>70</v>
      </c>
      <c r="AA31" s="8" t="s">
        <v>66</v>
      </c>
      <c r="AB31" s="21" t="str">
        <f>MID(K28,4,1)</f>
        <v>0</v>
      </c>
      <c r="AC31" s="26" t="str">
        <f t="shared" si="44"/>
        <v>0</v>
      </c>
      <c r="AD31" s="7" t="s">
        <v>70</v>
      </c>
      <c r="AE31" s="8" t="s">
        <v>66</v>
      </c>
      <c r="AF31" s="21" t="str">
        <f>MID(L28,4,1)</f>
        <v>0</v>
      </c>
      <c r="AG31" s="26" t="str">
        <f t="shared" si="45"/>
        <v>0</v>
      </c>
      <c r="AH31" s="7" t="s">
        <v>70</v>
      </c>
      <c r="AI31" s="8" t="s">
        <v>66</v>
      </c>
      <c r="AJ31" s="400"/>
      <c r="AK31" s="401"/>
      <c r="AN31" s="284"/>
      <c r="AO31" t="str">
        <f>H417&amp;I417&amp;J417&amp;K417&amp;L417</f>
        <v>0053</v>
      </c>
      <c r="AP31" t="str">
        <f t="shared" si="1"/>
        <v>0053</v>
      </c>
      <c r="AT31" s="53"/>
      <c r="AU31" s="54"/>
      <c r="BB31">
        <v>57</v>
      </c>
      <c r="BC31" s="35" t="s">
        <v>1301</v>
      </c>
      <c r="BD31">
        <v>42</v>
      </c>
      <c r="BE31">
        <f t="shared" si="26"/>
        <v>571</v>
      </c>
      <c r="BF31" s="35" t="s">
        <v>1302</v>
      </c>
      <c r="BG31">
        <v>43</v>
      </c>
      <c r="BH31">
        <f t="shared" ref="BH31:BI44" si="46">BH30+11</f>
        <v>582</v>
      </c>
      <c r="BI31">
        <f t="shared" si="46"/>
        <v>549</v>
      </c>
      <c r="BK31" t="str">
        <f t="shared" si="25"/>
        <v>=IF(OR(LEFT(A57;7)="720G4IA";LEFT(A57;7)="7200442");RIGHT(D571;1)&amp;E571&amp;F571&amp;G571&amp;H571&amp;I571&amp;J571&amp;K571&amp;L571&amp;M571;IF(OR(LEFT(A57;7)="720G4IB";LEFT(A57;7)="7200443");RIGHT(D582;1)&amp;E582&amp;F582&amp;G582&amp;H582&amp;I582&amp;J582&amp;K582&amp;L582&amp;M582;RIGHT(D549;1)&amp;E549&amp;F549&amp;G549&amp;H549&amp;I549&amp;J549&amp;K549&amp;L549&amp;M549))</v>
      </c>
      <c r="BN31" t="str">
        <f>IF(OR(LEFT(A57,7)="720G4IA",LEFT(A57,7)="7200442"),RIGHT(D571,1)&amp;E571&amp;F571&amp;G571&amp;H571&amp;I571&amp;J571&amp;K571&amp;L571&amp;M571,IF(OR(LEFT(A57,7)="720G4IB",LEFT(A57,7)="7200443"),RIGHT(D582,1)&amp;E582&amp;F582&amp;G582&amp;H582&amp;I582&amp;J582&amp;K582&amp;L582&amp;M582,RIGHT(D549,1)&amp;E549&amp;F549&amp;G549&amp;H549&amp;I549&amp;J549&amp;K549&amp;L549&amp;M549))</f>
        <v/>
      </c>
    </row>
    <row r="32" spans="1:66" ht="15.75" customHeight="1" thickBot="1" x14ac:dyDescent="0.35">
      <c r="A32" s="270" t="s">
        <v>1741</v>
      </c>
      <c r="B32" s="87" t="str">
        <f>IF(OR(LEFT(A32,7)="720G4H1",LEFT(A32,7)="7200417"),RIGHT(D299,1)&amp;E299&amp;F299&amp;G299&amp;H296&amp;I296&amp;J296&amp;K296&amp;L296&amp;M296,IF(OR(LEFT(A32,7)="720G4H2",LEFT(A32,7)="7200418"),RIGHT(D310,1)&amp;E310&amp;F310&amp;G310&amp;H307&amp;I307&amp;J307&amp;K307&amp;L307&amp;M307,RIGHT(D277,1)&amp;E277&amp;F277&amp;G277&amp;H274&amp;I274&amp;J274&amp;K274&amp;L274&amp;M274))</f>
        <v>720G4H2000000000043</v>
      </c>
      <c r="C32" s="7" t="s">
        <v>56</v>
      </c>
      <c r="D32" s="15" t="str">
        <f t="shared" ref="D32:G32" si="47">D27</f>
        <v>07</v>
      </c>
      <c r="E32" s="16" t="str">
        <f t="shared" si="47"/>
        <v>20</v>
      </c>
      <c r="F32" s="16" t="str">
        <f t="shared" si="47"/>
        <v>01</v>
      </c>
      <c r="G32" s="17" t="str">
        <f t="shared" si="47"/>
        <v>03</v>
      </c>
      <c r="H32" s="23" t="str">
        <f>BIN2HEX(H33,2)</f>
        <v>00</v>
      </c>
      <c r="I32" s="25" t="str">
        <f t="shared" ref="I32:L32" si="48">BIN2HEX(I33,2)</f>
        <v>00</v>
      </c>
      <c r="J32" s="24" t="str">
        <f t="shared" si="48"/>
        <v>00</v>
      </c>
      <c r="K32" s="2" t="str">
        <f t="shared" si="48"/>
        <v>00</v>
      </c>
      <c r="L32" s="18" t="str">
        <f t="shared" si="48"/>
        <v>00</v>
      </c>
      <c r="M32" s="3" t="str">
        <f>IF(LEN(M33)&gt;2,MID(M33,2,2),M33)</f>
        <v>2B</v>
      </c>
      <c r="N32" s="8" t="s">
        <v>61</v>
      </c>
      <c r="P32" s="21" t="str">
        <f>MID(H28,5,1)</f>
        <v>0</v>
      </c>
      <c r="Q32" s="26" t="str">
        <f t="shared" si="40"/>
        <v>0</v>
      </c>
      <c r="R32" s="7" t="s">
        <v>71</v>
      </c>
      <c r="S32" s="8" t="s">
        <v>66</v>
      </c>
      <c r="T32" s="21" t="str">
        <f>MID(I28,5,1)</f>
        <v>0</v>
      </c>
      <c r="U32" s="26" t="str">
        <f t="shared" si="42"/>
        <v>0</v>
      </c>
      <c r="V32" s="7" t="s">
        <v>71</v>
      </c>
      <c r="W32" s="8" t="s">
        <v>66</v>
      </c>
      <c r="X32" s="21" t="str">
        <f>MID(J28,5,1)</f>
        <v>0</v>
      </c>
      <c r="Y32" s="26" t="str">
        <f t="shared" si="43"/>
        <v>0</v>
      </c>
      <c r="Z32" s="7" t="s">
        <v>71</v>
      </c>
      <c r="AA32" s="8" t="s">
        <v>66</v>
      </c>
      <c r="AB32" s="21" t="str">
        <f>MID(K28,5,1)</f>
        <v>0</v>
      </c>
      <c r="AC32" s="26" t="str">
        <f t="shared" si="44"/>
        <v>0</v>
      </c>
      <c r="AD32" s="7" t="s">
        <v>71</v>
      </c>
      <c r="AE32" s="8" t="s">
        <v>66</v>
      </c>
      <c r="AF32" s="21" t="str">
        <f>MID(L28,5,1)</f>
        <v>0</v>
      </c>
      <c r="AG32" s="26" t="str">
        <f t="shared" si="45"/>
        <v>0</v>
      </c>
      <c r="AH32" s="7" t="s">
        <v>71</v>
      </c>
      <c r="AI32" s="8" t="s">
        <v>66</v>
      </c>
      <c r="AJ32" s="400"/>
      <c r="AK32" s="401"/>
      <c r="AN32" s="284"/>
      <c r="AO32" t="str">
        <f>H428&amp;I428&amp;J428&amp;K428&amp;L428</f>
        <v/>
      </c>
      <c r="AP32" t="str">
        <f t="shared" si="1"/>
        <v/>
      </c>
      <c r="AT32" s="53"/>
      <c r="AU32" s="54"/>
      <c r="BB32">
        <v>58</v>
      </c>
      <c r="BC32" s="35" t="s">
        <v>1302</v>
      </c>
      <c r="BD32">
        <v>43</v>
      </c>
      <c r="BE32">
        <f t="shared" si="26"/>
        <v>582</v>
      </c>
      <c r="BF32" s="35" t="s">
        <v>1303</v>
      </c>
      <c r="BG32">
        <v>44</v>
      </c>
      <c r="BH32">
        <f t="shared" si="46"/>
        <v>593</v>
      </c>
      <c r="BI32">
        <f t="shared" si="46"/>
        <v>560</v>
      </c>
      <c r="BK32" t="str">
        <f t="shared" si="25"/>
        <v>=IF(OR(LEFT(A58;7)="720G4IB";LEFT(A58;7)="7200443");RIGHT(D582;1)&amp;E582&amp;F582&amp;G582&amp;H582&amp;I582&amp;J582&amp;K582&amp;L582&amp;M582;IF(OR(LEFT(A58;7)="720G4IC";LEFT(A58;7)="7200444");RIGHT(D593;1)&amp;E593&amp;F593&amp;G593&amp;H593&amp;I593&amp;J593&amp;K593&amp;L593&amp;M593;RIGHT(D560;1)&amp;E560&amp;F560&amp;G560&amp;H560&amp;I560&amp;J560&amp;K560&amp;L560&amp;M560))</v>
      </c>
      <c r="BN32" t="str">
        <f>IF(OR(LEFT(A58,7)="720G4IB",LEFT(A58,7)="7200443"),RIGHT(D582,1)&amp;E582&amp;F582&amp;G582&amp;H582&amp;I582&amp;J582&amp;K582&amp;L582&amp;M582,IF(OR(LEFT(A58,7)="720G4IC",LEFT(A58,7)="7200444"),RIGHT(D593,1)&amp;E593&amp;F593&amp;G593&amp;H593&amp;I593&amp;J593&amp;K593&amp;L593&amp;M593,RIGHT(D560,1)&amp;E560&amp;F560&amp;G560&amp;H560&amp;I560&amp;J560&amp;K560&amp;L560&amp;M560))</f>
        <v/>
      </c>
    </row>
    <row r="33" spans="1:66" x14ac:dyDescent="0.3">
      <c r="A33" s="270" t="s">
        <v>1742</v>
      </c>
      <c r="B33" s="87" t="str">
        <f>IF(OR(LEFT(A33,7)="720G4H2",LEFT(A33,7)="7200418"),RIGHT(D310,1)&amp;E310&amp;F310&amp;G310&amp;H307&amp;I307&amp;J307&amp;K307&amp;L307&amp;M307,IF(OR(LEFT(A33,7)="720G4H3",LEFT(A33,7)="7200419"),RIGHT(D321,1)&amp;E321&amp;F321&amp;G321&amp;H318&amp;I318&amp;J318&amp;K318&amp;L318&amp;M318,RIGHT(D288,1)&amp;E288&amp;F288&amp;G288&amp;H285&amp;I285&amp;J285&amp;K285&amp;L285&amp;M285))</f>
        <v>720G4H3000000000044</v>
      </c>
      <c r="C33" s="7" t="s">
        <v>64</v>
      </c>
      <c r="D33" s="99" t="str">
        <f>HEX2BIN(D32,8)</f>
        <v>00000111</v>
      </c>
      <c r="E33" s="99" t="str">
        <f t="shared" ref="E33:G33" si="49">HEX2BIN(E32,8)</f>
        <v>00100000</v>
      </c>
      <c r="F33" s="99" t="str">
        <f t="shared" si="49"/>
        <v>00000001</v>
      </c>
      <c r="G33" s="99" t="str">
        <f t="shared" si="49"/>
        <v>00000011</v>
      </c>
      <c r="H33" s="29" t="str">
        <f>Q28&amp;Q29&amp;Q30&amp;Q31&amp;Q32&amp;Q33&amp;Q34&amp;Q35</f>
        <v>00000000</v>
      </c>
      <c r="I33" s="99" t="str">
        <f>U28&amp;U29&amp;U30&amp;U31&amp;U32&amp;U33&amp;U34&amp;U35</f>
        <v>00000000</v>
      </c>
      <c r="J33" s="29" t="str">
        <f>Y28&amp;Y29&amp;Y30&amp;Y31&amp;Y32&amp;Y33&amp;Y34&amp;Y35</f>
        <v>00000000</v>
      </c>
      <c r="K33" s="29" t="str">
        <f>AC28&amp;AC29&amp;AC30&amp;AC31&amp;AC32&amp;AC33&amp;AC34&amp;AC35</f>
        <v>00000000</v>
      </c>
      <c r="L33" s="99" t="str">
        <f>AG28&amp;AG29&amp;AG30&amp;AG31&amp;AG32&amp;AG33&amp;AG34&amp;AG35</f>
        <v>00000000</v>
      </c>
      <c r="M33" s="99" t="str">
        <f>DEC2HEX(M34)</f>
        <v>2B</v>
      </c>
      <c r="N33" s="8"/>
      <c r="P33" s="21" t="str">
        <f>MID(H28,6,1)</f>
        <v>0</v>
      </c>
      <c r="Q33" s="26" t="str">
        <f t="shared" si="40"/>
        <v>0</v>
      </c>
      <c r="R33" s="7" t="s">
        <v>72</v>
      </c>
      <c r="S33" s="8" t="s">
        <v>66</v>
      </c>
      <c r="T33" s="21" t="str">
        <f>MID(I28,6,1)</f>
        <v>0</v>
      </c>
      <c r="U33" s="26" t="str">
        <f t="shared" si="42"/>
        <v>0</v>
      </c>
      <c r="V33" s="7" t="s">
        <v>72</v>
      </c>
      <c r="W33" s="8" t="s">
        <v>66</v>
      </c>
      <c r="X33" s="21" t="str">
        <f>MID(J28,6,1)</f>
        <v>0</v>
      </c>
      <c r="Y33" s="26" t="str">
        <f t="shared" si="43"/>
        <v>0</v>
      </c>
      <c r="Z33" s="7" t="s">
        <v>72</v>
      </c>
      <c r="AA33" s="8" t="s">
        <v>66</v>
      </c>
      <c r="AB33" s="21" t="str">
        <f>MID(K28,6,1)</f>
        <v>0</v>
      </c>
      <c r="AC33" s="26" t="str">
        <f t="shared" si="44"/>
        <v>0</v>
      </c>
      <c r="AD33" s="7" t="s">
        <v>72</v>
      </c>
      <c r="AE33" s="8" t="s">
        <v>66</v>
      </c>
      <c r="AF33" s="21" t="str">
        <f>MID(L28,6,1)</f>
        <v>0</v>
      </c>
      <c r="AG33" s="26" t="str">
        <f t="shared" si="45"/>
        <v>0</v>
      </c>
      <c r="AH33" s="7" t="s">
        <v>72</v>
      </c>
      <c r="AI33" s="8" t="s">
        <v>66</v>
      </c>
      <c r="AJ33" s="400"/>
      <c r="AK33" s="401"/>
      <c r="AN33" s="284"/>
      <c r="AO33" t="str">
        <f>H439&amp;I439&amp;J439&amp;K439&amp;L439</f>
        <v/>
      </c>
      <c r="AP33" t="str">
        <f t="shared" si="1"/>
        <v/>
      </c>
      <c r="AT33" s="53"/>
      <c r="AU33" s="54"/>
      <c r="BB33">
        <v>59</v>
      </c>
      <c r="BC33" s="35" t="s">
        <v>1303</v>
      </c>
      <c r="BD33">
        <v>44</v>
      </c>
      <c r="BE33">
        <f t="shared" si="26"/>
        <v>593</v>
      </c>
      <c r="BF33" s="35" t="s">
        <v>1304</v>
      </c>
      <c r="BG33">
        <v>45</v>
      </c>
      <c r="BH33">
        <f t="shared" si="46"/>
        <v>604</v>
      </c>
      <c r="BI33">
        <f t="shared" si="46"/>
        <v>571</v>
      </c>
      <c r="BK33" t="str">
        <f t="shared" si="25"/>
        <v>=IF(OR(LEFT(A59;7)="720G4IC";LEFT(A59;7)="7200444");RIGHT(D593;1)&amp;E593&amp;F593&amp;G593&amp;H593&amp;I593&amp;J593&amp;K593&amp;L593&amp;M593;IF(OR(LEFT(A59;7)="720G4ID";LEFT(A59;7)="7200445");RIGHT(D604;1)&amp;E604&amp;F604&amp;G604&amp;H604&amp;I604&amp;J604&amp;K604&amp;L604&amp;M604;RIGHT(D571;1)&amp;E571&amp;F571&amp;G571&amp;H571&amp;I571&amp;J571&amp;K571&amp;L571&amp;M571))</v>
      </c>
      <c r="BN33" t="str">
        <f>IF(OR(LEFT(A59,7)="720G4IC",LEFT(A59,7)="7200444"),RIGHT(D593,1)&amp;E593&amp;F593&amp;G593&amp;H593&amp;I593&amp;J593&amp;K593&amp;L593&amp;M593,IF(OR(LEFT(A59,7)="720G4ID",LEFT(A59,7)="7200445"),RIGHT(D604,1)&amp;E604&amp;F604&amp;G604&amp;H604&amp;I604&amp;J604&amp;K604&amp;L604&amp;M604,RIGHT(D571,1)&amp;E571&amp;F571&amp;G571&amp;H571&amp;I571&amp;J571&amp;K571&amp;L571&amp;M571))</f>
        <v/>
      </c>
    </row>
    <row r="34" spans="1:66" ht="15" customHeight="1" x14ac:dyDescent="0.3">
      <c r="A34" s="270" t="s">
        <v>1743</v>
      </c>
      <c r="B34" s="87" t="str">
        <f>IF(OR(LEFT(A34,7)="720G4H3",LEFT(A34,7)="7200419"),RIGHT(D321,1)&amp;E321&amp;F321&amp;G321&amp;H318&amp;I318&amp;J318&amp;K318&amp;L318&amp;M318,IF(OR(LEFT(A34,7)="720G4H4",LEFT(A34,7)="7200420"),RIGHT(D332,1)&amp;E332&amp;F332&amp;G332&amp;H329&amp;I329&amp;J329&amp;K329&amp;L329&amp;M329,RIGHT(D299,1)&amp;E299&amp;F299&amp;G299&amp;H296&amp;I296&amp;J296&amp;K296&amp;L296&amp;M296))</f>
        <v>720G4H400000000004B</v>
      </c>
      <c r="C34" s="7" t="s">
        <v>67</v>
      </c>
      <c r="D34" s="99">
        <f>HEX2DEC(D32)</f>
        <v>7</v>
      </c>
      <c r="E34" s="99">
        <f t="shared" ref="E34:L34" si="50">HEX2DEC(E32)</f>
        <v>32</v>
      </c>
      <c r="F34" s="99">
        <f t="shared" si="50"/>
        <v>1</v>
      </c>
      <c r="G34" s="99">
        <f t="shared" si="50"/>
        <v>3</v>
      </c>
      <c r="H34" s="99">
        <f t="shared" si="50"/>
        <v>0</v>
      </c>
      <c r="I34" s="99">
        <f t="shared" si="50"/>
        <v>0</v>
      </c>
      <c r="J34" s="99">
        <f t="shared" si="50"/>
        <v>0</v>
      </c>
      <c r="K34" s="99">
        <f t="shared" si="50"/>
        <v>0</v>
      </c>
      <c r="L34" s="99">
        <f t="shared" si="50"/>
        <v>0</v>
      </c>
      <c r="M34" s="99">
        <f>SUM(D34:L34)</f>
        <v>43</v>
      </c>
      <c r="N34" s="8"/>
      <c r="P34" s="21" t="str">
        <f>MID(H28,7,1)</f>
        <v>0</v>
      </c>
      <c r="Q34" s="26" t="str">
        <f t="shared" si="40"/>
        <v>0</v>
      </c>
      <c r="R34" s="7" t="s">
        <v>73</v>
      </c>
      <c r="S34" s="8" t="s">
        <v>66</v>
      </c>
      <c r="T34" s="21" t="str">
        <f>MID(I28,7,1)</f>
        <v>0</v>
      </c>
      <c r="U34" s="26" t="str">
        <f t="shared" si="42"/>
        <v>0</v>
      </c>
      <c r="V34" s="7" t="s">
        <v>73</v>
      </c>
      <c r="W34" s="8" t="s">
        <v>66</v>
      </c>
      <c r="X34" s="21" t="str">
        <f>MID(J28,7,1)</f>
        <v>0</v>
      </c>
      <c r="Y34" s="26" t="str">
        <f t="shared" si="43"/>
        <v>0</v>
      </c>
      <c r="Z34" s="7" t="s">
        <v>73</v>
      </c>
      <c r="AA34" s="8" t="s">
        <v>66</v>
      </c>
      <c r="AB34" s="21" t="str">
        <f>MID(K28,7,1)</f>
        <v>0</v>
      </c>
      <c r="AC34" s="26" t="str">
        <f t="shared" si="44"/>
        <v>0</v>
      </c>
      <c r="AD34" s="7" t="s">
        <v>73</v>
      </c>
      <c r="AE34" s="8" t="s">
        <v>66</v>
      </c>
      <c r="AF34" s="21" t="str">
        <f>MID(L28,7,1)</f>
        <v>0</v>
      </c>
      <c r="AG34" s="26" t="str">
        <f t="shared" si="45"/>
        <v>0</v>
      </c>
      <c r="AH34" s="7" t="s">
        <v>73</v>
      </c>
      <c r="AI34" s="8" t="s">
        <v>66</v>
      </c>
      <c r="AJ34" s="400"/>
      <c r="AK34" s="401"/>
      <c r="AN34" s="284"/>
      <c r="AO34" t="str">
        <f>H450&amp;I450&amp;J450&amp;K450&amp;L450</f>
        <v/>
      </c>
      <c r="AP34" t="str">
        <f t="shared" si="1"/>
        <v/>
      </c>
      <c r="AT34" s="53"/>
      <c r="AU34" s="54"/>
      <c r="BB34">
        <v>60</v>
      </c>
      <c r="BC34" s="35" t="s">
        <v>1304</v>
      </c>
      <c r="BD34">
        <v>45</v>
      </c>
      <c r="BE34">
        <f t="shared" si="26"/>
        <v>604</v>
      </c>
      <c r="BF34" s="35" t="s">
        <v>1305</v>
      </c>
      <c r="BG34">
        <v>46</v>
      </c>
      <c r="BH34">
        <f t="shared" si="46"/>
        <v>615</v>
      </c>
      <c r="BI34">
        <f t="shared" si="46"/>
        <v>582</v>
      </c>
      <c r="BK34" t="str">
        <f t="shared" si="25"/>
        <v>=IF(OR(LEFT(A60;7)="720G4ID";LEFT(A60;7)="7200445");RIGHT(D604;1)&amp;E604&amp;F604&amp;G604&amp;H604&amp;I604&amp;J604&amp;K604&amp;L604&amp;M604;IF(OR(LEFT(A60;7)="720G4IE";LEFT(A60;7)="7200446");RIGHT(D615;1)&amp;E615&amp;F615&amp;G615&amp;H615&amp;I615&amp;J615&amp;K615&amp;L615&amp;M615;RIGHT(D582;1)&amp;E582&amp;F582&amp;G582&amp;H582&amp;I582&amp;J582&amp;K582&amp;L582&amp;M582))</v>
      </c>
      <c r="BN34" t="str">
        <f>IF(OR(LEFT(A60,7)="720G4ID",LEFT(A60,7)="7200445"),RIGHT(D604,1)&amp;E604&amp;F604&amp;G604&amp;H604&amp;I604&amp;J604&amp;K604&amp;L604&amp;M604,IF(OR(LEFT(A60,7)="720G4IE",LEFT(A60,7)="7200446"),RIGHT(D615,1)&amp;E615&amp;F615&amp;G615&amp;H615&amp;I615&amp;J615&amp;K615&amp;L615&amp;M615,RIGHT(D582,1)&amp;E582&amp;F582&amp;G582&amp;H582&amp;I582&amp;J582&amp;K582&amp;L582&amp;M582))</f>
        <v/>
      </c>
    </row>
    <row r="35" spans="1:66" ht="15" thickBot="1" x14ac:dyDescent="0.35">
      <c r="A35" s="270" t="s">
        <v>1744</v>
      </c>
      <c r="B35" s="87" t="str">
        <f>IF(OR(LEFT(A35,7)="720G4H4",LEFT(A35,7)="7200420"),RIGHT(D332,1)&amp;E332&amp;F332&amp;G332&amp;H329&amp;I329&amp;J329&amp;K329&amp;L329&amp;M329,IF(OR(LEFT(A35,7)="720G4H5",LEFT(A35,7)="7200421"),RIGHT(D343,1)&amp;E343&amp;F343&amp;G343&amp;H340&amp;I340&amp;J340&amp;K340&amp;L340&amp;M340,RIGHT(D310,1)&amp;E310&amp;F310&amp;G310&amp;H307&amp;I307&amp;J307&amp;K307&amp;L307&amp;M307))</f>
        <v>720G4H500000000004C</v>
      </c>
      <c r="C35" s="9" t="s">
        <v>1678</v>
      </c>
      <c r="D35" s="334" t="str">
        <f>D30</f>
        <v>07</v>
      </c>
      <c r="E35" s="334" t="str">
        <f t="shared" ref="E35:G35" si="51">E30</f>
        <v>20</v>
      </c>
      <c r="F35" s="334" t="str">
        <f t="shared" si="51"/>
        <v>G1</v>
      </c>
      <c r="G35" s="334" t="str">
        <f t="shared" si="51"/>
        <v>G3</v>
      </c>
      <c r="H35" s="10"/>
      <c r="I35" s="10"/>
      <c r="J35" s="10"/>
      <c r="K35" s="10"/>
      <c r="L35" s="10"/>
      <c r="M35" s="10"/>
      <c r="N35" s="11"/>
      <c r="P35" s="22" t="str">
        <f>MID(H28,8,1)</f>
        <v>0</v>
      </c>
      <c r="Q35" s="55" t="str">
        <f t="shared" si="40"/>
        <v>0</v>
      </c>
      <c r="R35" s="9" t="s">
        <v>74</v>
      </c>
      <c r="S35" s="11" t="s">
        <v>66</v>
      </c>
      <c r="T35" s="22" t="str">
        <f>MID(I28,8,1)</f>
        <v>0</v>
      </c>
      <c r="U35" s="55" t="str">
        <f t="shared" si="42"/>
        <v>0</v>
      </c>
      <c r="V35" s="9" t="s">
        <v>74</v>
      </c>
      <c r="W35" s="11" t="s">
        <v>66</v>
      </c>
      <c r="X35" s="22" t="str">
        <f>MID(J28,8,1)</f>
        <v>0</v>
      </c>
      <c r="Y35" s="55" t="str">
        <f t="shared" si="43"/>
        <v>0</v>
      </c>
      <c r="Z35" s="9" t="s">
        <v>74</v>
      </c>
      <c r="AA35" s="11" t="s">
        <v>66</v>
      </c>
      <c r="AB35" s="22" t="str">
        <f>MID(K28,8,1)</f>
        <v>0</v>
      </c>
      <c r="AC35" s="55" t="str">
        <f t="shared" si="44"/>
        <v>0</v>
      </c>
      <c r="AD35" s="9" t="s">
        <v>74</v>
      </c>
      <c r="AE35" s="11" t="s">
        <v>66</v>
      </c>
      <c r="AF35" s="22" t="str">
        <f>MID(L28,8,1)</f>
        <v>0</v>
      </c>
      <c r="AG35" s="55" t="str">
        <f t="shared" si="45"/>
        <v>0</v>
      </c>
      <c r="AH35" s="9" t="s">
        <v>74</v>
      </c>
      <c r="AI35" s="11" t="s">
        <v>66</v>
      </c>
      <c r="AJ35" s="402"/>
      <c r="AK35" s="404"/>
      <c r="AN35" s="284"/>
      <c r="AO35" t="str">
        <f>H461&amp;I461&amp;J461&amp;K461&amp;L461</f>
        <v/>
      </c>
      <c r="AP35" t="str">
        <f t="shared" si="1"/>
        <v/>
      </c>
      <c r="AT35" s="53"/>
      <c r="AU35" s="54"/>
      <c r="BB35">
        <v>61</v>
      </c>
      <c r="BC35" s="35" t="s">
        <v>1305</v>
      </c>
      <c r="BD35">
        <v>46</v>
      </c>
      <c r="BE35">
        <f t="shared" si="26"/>
        <v>615</v>
      </c>
      <c r="BF35" s="35" t="s">
        <v>1306</v>
      </c>
      <c r="BG35">
        <v>47</v>
      </c>
      <c r="BH35">
        <f t="shared" si="46"/>
        <v>626</v>
      </c>
      <c r="BI35">
        <f t="shared" si="46"/>
        <v>593</v>
      </c>
      <c r="BK35" t="str">
        <f t="shared" si="25"/>
        <v>=IF(OR(LEFT(A61;7)="720G4IE";LEFT(A61;7)="7200446");RIGHT(D615;1)&amp;E615&amp;F615&amp;G615&amp;H615&amp;I615&amp;J615&amp;K615&amp;L615&amp;M615;IF(OR(LEFT(A61;7)="720G4IF";LEFT(A61;7)="7200447");RIGHT(D626;1)&amp;E626&amp;F626&amp;G626&amp;H626&amp;I626&amp;J626&amp;K626&amp;L626&amp;M626;RIGHT(D593;1)&amp;E593&amp;F593&amp;G593&amp;H593&amp;I593&amp;J593&amp;K593&amp;L593&amp;M593))</v>
      </c>
      <c r="BN35" t="str">
        <f>IF(OR(LEFT(A61,7)="720G4IE",LEFT(A61,7)="7200446"),RIGHT(D615,1)&amp;E615&amp;F615&amp;G615&amp;H615&amp;I615&amp;J615&amp;K615&amp;L615&amp;M615,IF(OR(LEFT(A61,7)="720G4IF",LEFT(A61,7)="7200447"),RIGHT(D626,1)&amp;E626&amp;F626&amp;G626&amp;H626&amp;I626&amp;J626&amp;K626&amp;L626&amp;M626,RIGHT(D593,1)&amp;E593&amp;F593&amp;G593&amp;H593&amp;I593&amp;J593&amp;K593&amp;L593&amp;M593))</f>
        <v/>
      </c>
    </row>
    <row r="36" spans="1:66" ht="15" thickBot="1" x14ac:dyDescent="0.35">
      <c r="A36" s="270" t="s">
        <v>1745</v>
      </c>
      <c r="B36" s="87" t="str">
        <f>IF(OR(LEFT(A36,7)="720G4H5",LEFT(A36,7)="7200421"),RIGHT(D343,1)&amp;E343&amp;F343&amp;G343&amp;H340&amp;I340&amp;J340&amp;K340&amp;L340&amp;M340,IF(OR(LEFT(A36,7)="720G4H6",LEFT(A36,7)="7200422"),RIGHT(D354,1)&amp;E354&amp;F354&amp;G354&amp;H351&amp;I351&amp;J351&amp;K351&amp;L351&amp;M351,RIGHT(D321,1)&amp;E321&amp;F321&amp;G321&amp;H318&amp;I318&amp;J318&amp;K318&amp;L318&amp;M318))</f>
        <v>720G4H600000000004D</v>
      </c>
      <c r="C36" s="4"/>
      <c r="D36" s="5"/>
      <c r="E36" s="5"/>
      <c r="F36" s="5"/>
      <c r="G36" s="5"/>
      <c r="H36" s="5"/>
      <c r="I36" s="5"/>
      <c r="J36" s="5"/>
      <c r="K36" s="5"/>
      <c r="L36" s="5"/>
      <c r="M36" s="5" t="s">
        <v>41</v>
      </c>
      <c r="N36" s="6"/>
      <c r="P36" s="392" t="s">
        <v>1266</v>
      </c>
      <c r="Q36" s="392"/>
      <c r="R36" s="392"/>
      <c r="S36" s="392"/>
      <c r="T36" s="392"/>
      <c r="U36" s="392"/>
      <c r="V36" s="392"/>
      <c r="W36" s="392"/>
      <c r="X36" s="392"/>
      <c r="Y36" s="392"/>
      <c r="Z36" s="392"/>
      <c r="AA36" s="392"/>
      <c r="AB36" s="392"/>
      <c r="AC36" s="392"/>
      <c r="AD36" s="392"/>
      <c r="AE36" s="392"/>
      <c r="AF36" s="392"/>
      <c r="AG36" s="392"/>
      <c r="AH36" s="392"/>
      <c r="AI36" s="392"/>
      <c r="AJ36" s="392"/>
      <c r="AK36" s="392"/>
      <c r="AN36" s="284"/>
      <c r="AO36" t="str">
        <f>H472&amp;I472&amp;J472&amp;K472&amp;L472</f>
        <v/>
      </c>
      <c r="AP36" t="str">
        <f t="shared" si="1"/>
        <v/>
      </c>
      <c r="AR36" t="str">
        <f>H137</f>
        <v>00</v>
      </c>
      <c r="AS36" s="279" t="str">
        <f>IFERROR(VLOOKUP($AR36,$AT$36:$AU$71,2,FALSE),"")</f>
        <v/>
      </c>
      <c r="AT36" s="53" t="s">
        <v>143</v>
      </c>
      <c r="AU36" s="54">
        <v>0</v>
      </c>
      <c r="AV36" s="53" t="s">
        <v>143</v>
      </c>
      <c r="BB36">
        <v>62</v>
      </c>
      <c r="BC36" s="35" t="s">
        <v>1306</v>
      </c>
      <c r="BD36">
        <v>47</v>
      </c>
      <c r="BE36">
        <f t="shared" si="26"/>
        <v>626</v>
      </c>
      <c r="BF36" s="35" t="s">
        <v>1307</v>
      </c>
      <c r="BG36">
        <v>48</v>
      </c>
      <c r="BH36">
        <f t="shared" si="46"/>
        <v>637</v>
      </c>
      <c r="BI36">
        <f t="shared" si="46"/>
        <v>604</v>
      </c>
      <c r="BK36" t="str">
        <f t="shared" si="25"/>
        <v>=IF(OR(LEFT(A62;7)="720G4IF";LEFT(A62;7)="7200447");RIGHT(D626;1)&amp;E626&amp;F626&amp;G626&amp;H626&amp;I626&amp;J626&amp;K626&amp;L626&amp;M626;IF(OR(LEFT(A62;7)="720G4J0";LEFT(A62;7)="7200448");RIGHT(D637;1)&amp;E637&amp;F637&amp;G637&amp;H637&amp;I637&amp;J637&amp;K637&amp;L637&amp;M637;RIGHT(D604;1)&amp;E604&amp;F604&amp;G604&amp;H604&amp;I604&amp;J604&amp;K604&amp;L604&amp;M604))</v>
      </c>
      <c r="BN36" t="str">
        <f>IF(OR(LEFT(A62,7)="720G4IF",LEFT(A62,7)="7200447"),RIGHT(D626,1)&amp;E626&amp;F626&amp;G626&amp;H626&amp;I626&amp;J626&amp;K626&amp;L626&amp;M626,IF(OR(LEFT(A62,7)="720G4J0",LEFT(A62,7)="7200448"),RIGHT(D637,1)&amp;E637&amp;F637&amp;G637&amp;H637&amp;I637&amp;J637&amp;K637&amp;L637&amp;M637,RIGHT(D604,1)&amp;E604&amp;F604&amp;G604&amp;H604&amp;I604&amp;J604&amp;K604&amp;L604&amp;M604))</f>
        <v/>
      </c>
    </row>
    <row r="37" spans="1:66" ht="15" thickBot="1" x14ac:dyDescent="0.35">
      <c r="A37" s="270" t="s">
        <v>1746</v>
      </c>
      <c r="B37" s="87" t="str">
        <f>IF(OR(LEFT(A37,7)="720G4H6",LEFT(A37,7)="7200422"),RIGHT(D354,1)&amp;E354&amp;F354&amp;G354&amp;H351&amp;I351&amp;J351&amp;K351&amp;L351&amp;M351,IF(OR(LEFT(A37,7)="720G4H7",LEFT(A37,7)="7200423"),RIGHT(D365,1)&amp;E365&amp;F365&amp;G365&amp;H362&amp;I362&amp;J362&amp;K362&amp;L362&amp;M362,RIGHT(D332,1)&amp;E332&amp;F332&amp;G332&amp;H329&amp;I329&amp;J329&amp;K329&amp;L329&amp;M329))</f>
        <v>720G4H700000000004E</v>
      </c>
      <c r="C37" s="7"/>
      <c r="D37" s="393" t="s">
        <v>1265</v>
      </c>
      <c r="E37" s="393"/>
      <c r="F37" s="393"/>
      <c r="G37" s="393"/>
      <c r="H37" s="99" t="s">
        <v>44</v>
      </c>
      <c r="I37" s="99" t="s">
        <v>45</v>
      </c>
      <c r="J37" s="99" t="s">
        <v>46</v>
      </c>
      <c r="K37" s="99" t="s">
        <v>47</v>
      </c>
      <c r="L37" s="99" t="s">
        <v>48</v>
      </c>
      <c r="M37" s="99" t="s">
        <v>49</v>
      </c>
      <c r="N37" s="8"/>
      <c r="P37" s="394" t="s">
        <v>50</v>
      </c>
      <c r="Q37" s="395"/>
      <c r="R37" s="395"/>
      <c r="S37" s="396"/>
      <c r="T37" s="394" t="s">
        <v>51</v>
      </c>
      <c r="U37" s="395"/>
      <c r="V37" s="395"/>
      <c r="W37" s="396"/>
      <c r="X37" s="394" t="s">
        <v>52</v>
      </c>
      <c r="Y37" s="395"/>
      <c r="Z37" s="395"/>
      <c r="AA37" s="396"/>
      <c r="AB37" s="394" t="s">
        <v>53</v>
      </c>
      <c r="AC37" s="395"/>
      <c r="AD37" s="395"/>
      <c r="AE37" s="396"/>
      <c r="AF37" s="394" t="s">
        <v>97</v>
      </c>
      <c r="AG37" s="395"/>
      <c r="AH37" s="395"/>
      <c r="AI37" s="396"/>
      <c r="AJ37" s="394" t="s">
        <v>55</v>
      </c>
      <c r="AK37" s="396"/>
      <c r="AN37" s="284"/>
      <c r="AO37" t="str">
        <f>H483&amp;I483&amp;J483&amp;K483&amp;L483</f>
        <v/>
      </c>
      <c r="AP37" t="str">
        <f t="shared" si="1"/>
        <v/>
      </c>
      <c r="AR37" t="str">
        <f>I137</f>
        <v>00</v>
      </c>
      <c r="AS37" s="279" t="str">
        <f t="shared" ref="AS37:AS52" si="52">IFERROR(VLOOKUP($AR37,$AT$36:$AU$71,2,FALSE),"")</f>
        <v/>
      </c>
      <c r="AT37" s="53" t="s">
        <v>116</v>
      </c>
      <c r="AU37" s="54">
        <v>1</v>
      </c>
      <c r="AV37" s="53" t="s">
        <v>116</v>
      </c>
      <c r="BB37">
        <v>63</v>
      </c>
      <c r="BC37" s="35" t="s">
        <v>1307</v>
      </c>
      <c r="BD37">
        <v>48</v>
      </c>
      <c r="BE37">
        <f t="shared" si="26"/>
        <v>637</v>
      </c>
      <c r="BF37" s="35" t="s">
        <v>1308</v>
      </c>
      <c r="BG37">
        <v>49</v>
      </c>
      <c r="BH37">
        <f t="shared" si="46"/>
        <v>648</v>
      </c>
      <c r="BI37">
        <f t="shared" si="46"/>
        <v>615</v>
      </c>
      <c r="BK37" t="str">
        <f t="shared" si="25"/>
        <v>=IF(OR(LEFT(A63;7)="720G4J0";LEFT(A63;7)="7200448");RIGHT(D637;1)&amp;E637&amp;F637&amp;G637&amp;H637&amp;I637&amp;J637&amp;K637&amp;L637&amp;M637;IF(OR(LEFT(A63;7)="720G4J1";LEFT(A63;7)="7200449");RIGHT(D648;1)&amp;E648&amp;F648&amp;G648&amp;H648&amp;I648&amp;J648&amp;K648&amp;L648&amp;M648;RIGHT(D615;1)&amp;E615&amp;F615&amp;G615&amp;H615&amp;I615&amp;J615&amp;K615&amp;L615&amp;M615))</v>
      </c>
      <c r="BN37" t="str">
        <f>IF(OR(LEFT(A63,7)="720G4J0",LEFT(A63,7)="7200448"),RIGHT(D637,1)&amp;E637&amp;F637&amp;G637&amp;H637&amp;I637&amp;J637&amp;K637&amp;L637&amp;M637,IF(OR(LEFT(A63,7)="720G4J1",LEFT(A63,7)="7200449"),RIGHT(D648,1)&amp;E648&amp;F648&amp;G648&amp;H648&amp;I648&amp;J648&amp;K648&amp;L648&amp;M648,RIGHT(D615,1)&amp;E615&amp;F615&amp;G615&amp;H615&amp;I615&amp;J615&amp;K615&amp;L615&amp;M615))</f>
        <v/>
      </c>
    </row>
    <row r="38" spans="1:66" ht="15" thickBot="1" x14ac:dyDescent="0.35">
      <c r="A38" s="270" t="s">
        <v>1747</v>
      </c>
      <c r="B38" s="87" t="str">
        <f>IF(OR(LEFT(A38,7)="720G4H7",LEFT(A38,7)="7200423"),RIGHT(D365,1)&amp;E365&amp;F365&amp;G365&amp;H362&amp;I362&amp;J362&amp;K362&amp;L362&amp;M362,IF(OR(LEFT(A38,7)="720G4H8",LEFT(A38,7)="7200424"),RIGHT(D376,1)&amp;E376&amp;F376&amp;G376&amp;H373&amp;I373&amp;J373&amp;K373&amp;L373&amp;M373,RIGHT(D343,1)&amp;E343&amp;F343&amp;G343&amp;H340&amp;I340&amp;J340&amp;K340&amp;L340&amp;M340))</f>
        <v>720G4H800000000004F</v>
      </c>
      <c r="C38" s="7" t="s">
        <v>56</v>
      </c>
      <c r="D38" s="12" t="s">
        <v>57</v>
      </c>
      <c r="E38" s="13" t="s">
        <v>130</v>
      </c>
      <c r="F38" s="13" t="s">
        <v>59</v>
      </c>
      <c r="G38" s="14" t="s">
        <v>111</v>
      </c>
      <c r="H38" s="316" t="str" cm="1">
        <f t="array" ref="H38">MID(INDEX($A$3:$A$70,IF(ISNA(MATCH("720G1G4*",$A$3:$A$70,0))=TRUE,MATCH("7200104*",$A$3:$A$70,0),MATCH("720G1G4*",$A$3:$A$70,0))),$AU$8,2)</f>
        <v>00</v>
      </c>
      <c r="I38" s="317" t="str" cm="1">
        <f t="array" ref="I38">MID(INDEX($A$3:$A$70,IF(ISNA(MATCH("720G1G4*",$A$3:$A$70,0))=TRUE,MATCH("7200104*",$A$3:$A$70,0),MATCH("720G1G4*",$A$3:$A$70,0))),$AV$8,2)</f>
        <v>00</v>
      </c>
      <c r="J38" s="317" t="str" cm="1">
        <f t="array" ref="J38">MID(INDEX($A$3:$A$70,IF(ISNA(MATCH("720G1G4*",$A$3:$A$70,0))=TRUE,MATCH("7200104*",$A$3:$A$70,0),MATCH("720G1G4*",$A$3:$A$70,0))),$AW$8,2)</f>
        <v>00</v>
      </c>
      <c r="K38" s="317" t="str" cm="1">
        <f t="array" ref="K38">MID(INDEX($A$3:$A$70,IF(ISNA(MATCH("720G1G4*",$A$3:$A$70,0))=TRUE,MATCH("7200104*",$A$3:$A$70,0),MATCH("720G1G4*",$A$3:$A$70,0))),$AX$8,2)</f>
        <v>00</v>
      </c>
      <c r="L38" s="318" t="str" cm="1">
        <f t="array" ref="L38">MID(INDEX($A$3:$A$70,IF(ISNA(MATCH("720G1G4*",$A$3:$A$70,0))=TRUE,MATCH("7200104*",$A$3:$A$70,0),MATCH("720G1G4*",$A$3:$A$70,0))),$AY$8,2)</f>
        <v>00</v>
      </c>
      <c r="M38" s="319" t="str" cm="1">
        <f t="array" ref="M38">MID(INDEX($A$3:$A$70,IF(ISNA(MATCH("720G1G4*",$A$3:$A$70,0))=TRUE,MATCH("7200104*",$A$3:$A$70,0),MATCH("720G1G4*",$A$3:$A$70,0))),$AZ$8,2)</f>
        <v>2C</v>
      </c>
      <c r="N38" s="8" t="s">
        <v>60</v>
      </c>
      <c r="P38" s="19" t="s">
        <v>60</v>
      </c>
      <c r="Q38" s="20" t="s">
        <v>61</v>
      </c>
      <c r="R38" t="s">
        <v>62</v>
      </c>
      <c r="S38" s="8"/>
      <c r="T38" s="19" t="s">
        <v>60</v>
      </c>
      <c r="U38" s="20" t="s">
        <v>61</v>
      </c>
      <c r="V38" t="s">
        <v>62</v>
      </c>
      <c r="W38" s="8"/>
      <c r="X38" s="19" t="s">
        <v>60</v>
      </c>
      <c r="Y38" s="20" t="s">
        <v>61</v>
      </c>
      <c r="Z38" t="s">
        <v>62</v>
      </c>
      <c r="AA38" s="8"/>
      <c r="AB38" s="19" t="s">
        <v>60</v>
      </c>
      <c r="AC38" s="20" t="s">
        <v>61</v>
      </c>
      <c r="AD38" t="s">
        <v>62</v>
      </c>
      <c r="AE38" s="8"/>
      <c r="AF38" s="19" t="s">
        <v>60</v>
      </c>
      <c r="AG38" s="20" t="s">
        <v>61</v>
      </c>
      <c r="AH38" t="s">
        <v>62</v>
      </c>
      <c r="AJ38" s="394" t="s">
        <v>63</v>
      </c>
      <c r="AK38" s="396"/>
      <c r="AN38" s="284"/>
      <c r="AO38" t="str">
        <f>H494&amp;I494&amp;J494&amp;K494&amp;L494</f>
        <v/>
      </c>
      <c r="AP38" t="str">
        <f t="shared" si="1"/>
        <v/>
      </c>
      <c r="AR38" t="str">
        <f>J137</f>
        <v>00</v>
      </c>
      <c r="AS38" s="279" t="str">
        <f t="shared" si="52"/>
        <v/>
      </c>
      <c r="AT38" s="53" t="s">
        <v>145</v>
      </c>
      <c r="AU38" s="54">
        <v>2</v>
      </c>
      <c r="AV38" s="53" t="s">
        <v>145</v>
      </c>
      <c r="BB38">
        <v>64</v>
      </c>
      <c r="BC38" s="35" t="s">
        <v>1308</v>
      </c>
      <c r="BD38">
        <v>49</v>
      </c>
      <c r="BE38">
        <f t="shared" si="26"/>
        <v>648</v>
      </c>
      <c r="BF38" s="35" t="s">
        <v>1309</v>
      </c>
      <c r="BG38">
        <v>50</v>
      </c>
      <c r="BH38">
        <f t="shared" si="46"/>
        <v>659</v>
      </c>
      <c r="BI38">
        <f t="shared" si="46"/>
        <v>626</v>
      </c>
      <c r="BK38" t="str">
        <f t="shared" si="25"/>
        <v>=IF(OR(LEFT(A64;7)="720G4J1";LEFT(A64;7)="7200449");RIGHT(D648;1)&amp;E648&amp;F648&amp;G648&amp;H648&amp;I648&amp;J648&amp;K648&amp;L648&amp;M648;IF(OR(LEFT(A64;7)="720G4J2";LEFT(A64;7)="7200450");RIGHT(D659;1)&amp;E659&amp;F659&amp;G659&amp;H659&amp;I659&amp;J659&amp;K659&amp;L659&amp;M659;RIGHT(D626;1)&amp;E626&amp;F626&amp;G626&amp;H626&amp;I626&amp;J626&amp;K626&amp;L626&amp;M626))</v>
      </c>
      <c r="BN38" t="str">
        <f>IF(OR(LEFT(A64,7)="720G4J1",LEFT(A64,7)="7200449"),RIGHT(D648,1)&amp;E648&amp;F648&amp;G648&amp;H648&amp;I648&amp;J648&amp;K648&amp;L648&amp;M648,IF(OR(LEFT(A64,7)="720G4J2",LEFT(A64,7)="7200450"),RIGHT(D659,1)&amp;E659&amp;F659&amp;G659&amp;H659&amp;I659&amp;J659&amp;K659&amp;L659&amp;M659,RIGHT(D626,1)&amp;E626&amp;F626&amp;G626&amp;H626&amp;I626&amp;J626&amp;K626&amp;L626&amp;M626))</f>
        <v/>
      </c>
    </row>
    <row r="39" spans="1:66" x14ac:dyDescent="0.3">
      <c r="A39" s="270" t="s">
        <v>1748</v>
      </c>
      <c r="B39" s="87" t="str">
        <f>IF(OR(LEFT(A39,7)="720G4H8",LEFT(A39,7)="7200424"),RIGHT(D376,1)&amp;E376&amp;F376&amp;G376&amp;H373&amp;I373&amp;J373&amp;K373&amp;L373&amp;M373,IF(OR(LEFT(A39,7)="720G4H9",LEFT(A39,7)="7200425"),RIGHT(D387,1)&amp;E387&amp;F387&amp;G387&amp;H384&amp;I384&amp;J384&amp;K384&amp;L384&amp;M384,RIGHT(D354,1)&amp;E354&amp;F354&amp;G354&amp;H351&amp;I351&amp;J351&amp;K351&amp;L351&amp;M351))</f>
        <v>720G4H9000000000050</v>
      </c>
      <c r="C39" s="7" t="s">
        <v>64</v>
      </c>
      <c r="D39" s="99" t="str">
        <f>HEX2BIN(D38,8)</f>
        <v>00000111</v>
      </c>
      <c r="E39" s="99" t="str">
        <f t="shared" ref="E39:L39" si="53">HEX2BIN(E38,8)</f>
        <v>00100000</v>
      </c>
      <c r="F39" s="99" t="str">
        <f t="shared" si="53"/>
        <v>00000001</v>
      </c>
      <c r="G39" s="99" t="str">
        <f t="shared" si="53"/>
        <v>00000100</v>
      </c>
      <c r="H39" s="99" t="str">
        <f t="shared" si="53"/>
        <v>00000000</v>
      </c>
      <c r="I39" s="99" t="str">
        <f t="shared" si="53"/>
        <v>00000000</v>
      </c>
      <c r="J39" s="99" t="str">
        <f t="shared" si="53"/>
        <v>00000000</v>
      </c>
      <c r="K39" s="99" t="str">
        <f t="shared" si="53"/>
        <v>00000000</v>
      </c>
      <c r="L39" s="99" t="str">
        <f t="shared" si="53"/>
        <v>00000000</v>
      </c>
      <c r="N39" s="8"/>
      <c r="P39" s="21" t="str">
        <f>MID(H39,1,1)</f>
        <v>0</v>
      </c>
      <c r="Q39" s="26" t="str">
        <f t="shared" ref="Q39:Q46" si="54">P39</f>
        <v>0</v>
      </c>
      <c r="R39" s="7" t="s">
        <v>65</v>
      </c>
      <c r="S39" s="8" t="s">
        <v>66</v>
      </c>
      <c r="T39" s="21" t="str">
        <f>MID(I39,1,1)</f>
        <v>0</v>
      </c>
      <c r="U39" s="26" t="str">
        <f>T39</f>
        <v>0</v>
      </c>
      <c r="V39" s="7" t="s">
        <v>65</v>
      </c>
      <c r="W39" s="8" t="s">
        <v>66</v>
      </c>
      <c r="X39" s="21" t="str">
        <f>MID(J39,1,1)</f>
        <v>0</v>
      </c>
      <c r="Y39" s="26" t="str">
        <f>X39</f>
        <v>0</v>
      </c>
      <c r="Z39" s="7" t="s">
        <v>65</v>
      </c>
      <c r="AA39" s="8" t="s">
        <v>66</v>
      </c>
      <c r="AB39" s="21" t="str">
        <f>MID(K39,1,1)</f>
        <v>0</v>
      </c>
      <c r="AC39" s="26" t="str">
        <f>AB39</f>
        <v>0</v>
      </c>
      <c r="AD39" s="7" t="s">
        <v>65</v>
      </c>
      <c r="AE39" s="8" t="s">
        <v>66</v>
      </c>
      <c r="AF39" s="21" t="str">
        <f>MID(L39,1,1)</f>
        <v>0</v>
      </c>
      <c r="AG39" s="26" t="str">
        <f>AF39</f>
        <v>0</v>
      </c>
      <c r="AH39" s="7" t="s">
        <v>65</v>
      </c>
      <c r="AI39" s="8" t="s">
        <v>66</v>
      </c>
      <c r="AJ39" s="400"/>
      <c r="AK39" s="401"/>
      <c r="AN39" s="284"/>
      <c r="AO39" t="str">
        <f>H505&amp;I505&amp;J505&amp;K505&amp;L505</f>
        <v/>
      </c>
      <c r="AP39" t="str">
        <f t="shared" si="1"/>
        <v/>
      </c>
      <c r="AR39" t="str">
        <f>K137</f>
        <v>00</v>
      </c>
      <c r="AS39" s="279" t="str">
        <f t="shared" si="52"/>
        <v/>
      </c>
      <c r="AT39" s="53" t="s">
        <v>146</v>
      </c>
      <c r="AU39" s="54">
        <v>3</v>
      </c>
      <c r="AV39" s="53" t="s">
        <v>146</v>
      </c>
      <c r="BB39">
        <v>65</v>
      </c>
      <c r="BC39" s="35" t="s">
        <v>1309</v>
      </c>
      <c r="BD39">
        <v>50</v>
      </c>
      <c r="BE39">
        <f t="shared" si="26"/>
        <v>659</v>
      </c>
      <c r="BF39" s="35" t="s">
        <v>1310</v>
      </c>
      <c r="BG39">
        <v>51</v>
      </c>
      <c r="BH39">
        <f t="shared" si="46"/>
        <v>670</v>
      </c>
      <c r="BI39">
        <f t="shared" si="46"/>
        <v>637</v>
      </c>
      <c r="BK39" t="str">
        <f t="shared" si="25"/>
        <v>=IF(OR(LEFT(A65;7)="720G4J2";LEFT(A65;7)="7200450");RIGHT(D659;1)&amp;E659&amp;F659&amp;G659&amp;H659&amp;I659&amp;J659&amp;K659&amp;L659&amp;M659;IF(OR(LEFT(A65;7)="720G4J3";LEFT(A65;7)="7200451");RIGHT(D670;1)&amp;E670&amp;F670&amp;G670&amp;H670&amp;I670&amp;J670&amp;K670&amp;L670&amp;M670;RIGHT(D637;1)&amp;E637&amp;F637&amp;G637&amp;H637&amp;I637&amp;J637&amp;K637&amp;L637&amp;M637))</v>
      </c>
      <c r="BN39" t="str">
        <f>IF(OR(LEFT(A65,7)="720G4J2",LEFT(A65,7)="7200450"),RIGHT(D659,1)&amp;E659&amp;F659&amp;G659&amp;H659&amp;I659&amp;J659&amp;K659&amp;L659&amp;M659,IF(OR(LEFT(A65,7)="720G4J3",LEFT(A65,7)="7200451"),RIGHT(D670,1)&amp;E670&amp;F670&amp;G670&amp;H670&amp;I670&amp;J670&amp;K670&amp;L670&amp;M670,RIGHT(D637,1)&amp;E637&amp;F637&amp;G637&amp;H637&amp;I637&amp;J637&amp;K637&amp;L637&amp;M637))</f>
        <v/>
      </c>
    </row>
    <row r="40" spans="1:66" x14ac:dyDescent="0.3">
      <c r="A40" s="270" t="s">
        <v>1749</v>
      </c>
      <c r="B40" s="87" t="str">
        <f>IF(OR(LEFT(A40,7)="720G4H9",LEFT(A40,7)="7200425"),RIGHT(D387,1)&amp;E387&amp;F387&amp;G387&amp;H384&amp;I384&amp;J384&amp;K384&amp;L384&amp;M384,IF(OR(LEFT(A40,7)="720G4HA",LEFT(A40,7)="7200426"),RIGHT(D398,1)&amp;E398&amp;F398&amp;G398&amp;H395&amp;I395&amp;J395&amp;K395&amp;L395&amp;M395,RIGHT(D365,1)&amp;E365&amp;F365&amp;G365&amp;H362&amp;I362&amp;J362&amp;K362&amp;L362&amp;M362))</f>
        <v>720G4HA000000000051</v>
      </c>
      <c r="C40" s="7" t="s">
        <v>67</v>
      </c>
      <c r="D40" s="99">
        <f>HEX2DEC(D38)</f>
        <v>7</v>
      </c>
      <c r="E40" s="99">
        <f t="shared" ref="E40:L40" si="55">HEX2DEC(E38)</f>
        <v>32</v>
      </c>
      <c r="F40" s="99">
        <f t="shared" si="55"/>
        <v>1</v>
      </c>
      <c r="G40" s="99">
        <f t="shared" si="55"/>
        <v>4</v>
      </c>
      <c r="H40" s="99">
        <f t="shared" si="55"/>
        <v>0</v>
      </c>
      <c r="I40" s="99">
        <f t="shared" si="55"/>
        <v>0</v>
      </c>
      <c r="J40" s="99">
        <f t="shared" si="55"/>
        <v>0</v>
      </c>
      <c r="K40" s="99">
        <f t="shared" si="55"/>
        <v>0</v>
      </c>
      <c r="L40" s="99">
        <f t="shared" si="55"/>
        <v>0</v>
      </c>
      <c r="M40" s="99">
        <f>SUM(D40:L40)</f>
        <v>44</v>
      </c>
      <c r="N40" s="8"/>
      <c r="P40" s="21" t="str">
        <f>MID(H39,2,1)</f>
        <v>0</v>
      </c>
      <c r="Q40" s="26" t="str">
        <f t="shared" si="54"/>
        <v>0</v>
      </c>
      <c r="R40" s="7" t="s">
        <v>68</v>
      </c>
      <c r="S40" s="8" t="s">
        <v>66</v>
      </c>
      <c r="T40" s="21" t="str">
        <f>MID(I39,2,1)</f>
        <v>0</v>
      </c>
      <c r="U40" s="26" t="str">
        <f t="shared" ref="U40:U46" si="56">T40</f>
        <v>0</v>
      </c>
      <c r="V40" s="7" t="s">
        <v>68</v>
      </c>
      <c r="W40" s="8" t="s">
        <v>66</v>
      </c>
      <c r="X40" s="21" t="str">
        <f>MID(J39,2,1)</f>
        <v>0</v>
      </c>
      <c r="Y40" s="26" t="str">
        <f t="shared" ref="Y40:Y46" si="57">X40</f>
        <v>0</v>
      </c>
      <c r="Z40" s="7" t="s">
        <v>68</v>
      </c>
      <c r="AA40" s="8" t="s">
        <v>66</v>
      </c>
      <c r="AB40" s="21" t="str">
        <f>MID(K39,2,1)</f>
        <v>0</v>
      </c>
      <c r="AC40" s="26" t="str">
        <f t="shared" ref="AC40:AC46" si="58">AB40</f>
        <v>0</v>
      </c>
      <c r="AD40" s="7" t="s">
        <v>68</v>
      </c>
      <c r="AE40" s="8" t="s">
        <v>66</v>
      </c>
      <c r="AF40" s="21" t="str">
        <f>MID(L39,2,1)</f>
        <v>0</v>
      </c>
      <c r="AG40" s="26" t="str">
        <f t="shared" ref="AG40:AG46" si="59">AF40</f>
        <v>0</v>
      </c>
      <c r="AH40" s="7" t="s">
        <v>68</v>
      </c>
      <c r="AI40" s="8" t="s">
        <v>66</v>
      </c>
      <c r="AJ40" s="400"/>
      <c r="AK40" s="401"/>
      <c r="AN40" s="284"/>
      <c r="AO40" t="str">
        <f>H516&amp;I516&amp;J516&amp;K516&amp;L516</f>
        <v/>
      </c>
      <c r="AP40" t="str">
        <f t="shared" si="1"/>
        <v/>
      </c>
      <c r="AR40" t="str">
        <f>L137</f>
        <v>00</v>
      </c>
      <c r="AS40" s="279" t="str">
        <f t="shared" si="52"/>
        <v/>
      </c>
      <c r="AT40" s="53" t="s">
        <v>148</v>
      </c>
      <c r="AU40" s="54">
        <v>4</v>
      </c>
      <c r="AV40" s="53" t="s">
        <v>148</v>
      </c>
      <c r="BB40">
        <v>66</v>
      </c>
      <c r="BC40" s="35" t="s">
        <v>1310</v>
      </c>
      <c r="BD40">
        <v>51</v>
      </c>
      <c r="BE40">
        <f t="shared" si="26"/>
        <v>670</v>
      </c>
      <c r="BF40" s="35" t="s">
        <v>1311</v>
      </c>
      <c r="BG40">
        <v>52</v>
      </c>
      <c r="BH40">
        <f t="shared" si="46"/>
        <v>681</v>
      </c>
      <c r="BI40">
        <f t="shared" si="46"/>
        <v>648</v>
      </c>
      <c r="BK40" t="str">
        <f t="shared" si="25"/>
        <v>=IF(OR(LEFT(A66;7)="720G4J3";LEFT(A66;7)="7200451");RIGHT(D670;1)&amp;E670&amp;F670&amp;G670&amp;H670&amp;I670&amp;J670&amp;K670&amp;L670&amp;M670;IF(OR(LEFT(A66;7)="720G4J4";LEFT(A66;7)="7200452");RIGHT(D681;1)&amp;E681&amp;F681&amp;G681&amp;H681&amp;I681&amp;J681&amp;K681&amp;L681&amp;M681;RIGHT(D648;1)&amp;E648&amp;F648&amp;G648&amp;H648&amp;I648&amp;J648&amp;K648&amp;L648&amp;M648))</v>
      </c>
      <c r="BN40" t="str">
        <f>IF(OR(LEFT(A66,7)="720G4J3",LEFT(A66,7)="7200451"),RIGHT(D670,1)&amp;E670&amp;F670&amp;G670&amp;H670&amp;I670&amp;J670&amp;K670&amp;L670&amp;M670,IF(OR(LEFT(A66,7)="720G4J4",LEFT(A66,7)="7200452"),RIGHT(D681,1)&amp;E681&amp;F681&amp;G681&amp;H681&amp;I681&amp;J681&amp;K681&amp;L681&amp;M681,RIGHT(D648,1)&amp;E648&amp;F648&amp;G648&amp;H648&amp;I648&amp;J648&amp;K648&amp;L648&amp;M648))</f>
        <v/>
      </c>
    </row>
    <row r="41" spans="1:66" x14ac:dyDescent="0.3">
      <c r="A41" s="270" t="s">
        <v>1720</v>
      </c>
      <c r="B41" s="87" t="str">
        <f>IF(OR(LEFT(A41,7)="720G4HA",LEFT(A41,7)="7200426"),RIGHT(D398,1)&amp;E398&amp;F398&amp;G398&amp;H395&amp;I395&amp;J395&amp;K395&amp;L395&amp;M395,IF(OR(LEFT(A41,7)="720G4HB",LEFT(A41,7)="7200427"),RIGHT(D409,1)&amp;E409&amp;F409&amp;G409&amp;H406&amp;I406&amp;J406&amp;K406&amp;L406&amp;M406,RIGHT(D376,1)&amp;E376&amp;F376&amp;G376&amp;H373&amp;I373&amp;J373&amp;K373&amp;L373&amp;M373))</f>
        <v>720G4HB000000000052</v>
      </c>
      <c r="C41" s="7" t="s">
        <v>1678</v>
      </c>
      <c r="D41" s="333" t="str">
        <f>D38</f>
        <v>07</v>
      </c>
      <c r="E41" s="333" t="str">
        <f>E38</f>
        <v>20</v>
      </c>
      <c r="F41" s="99" t="str">
        <f>MID(INDEX($A$3:$A$70,IF(ISNA(MATCH("720G1G4*",$A$3:$A$70,0))=TRUE,MATCH("7200104*",$A$3:$A$70,0),MATCH("720G1G4*",$A$3:$A$70,0))),$AS$8,2)</f>
        <v>G1</v>
      </c>
      <c r="G41" s="99" t="str">
        <f>MID(INDEX($A$3:$A$70,IF(ISNA(MATCH("720G1G4*",$A$3:$A$70,0))=TRUE,MATCH("7200104*",$A$3:$A$70,0),MATCH("720G1G4*",$A$3:$A$70,0))),$AT$8,2)</f>
        <v>G4</v>
      </c>
      <c r="N41" s="8"/>
      <c r="P41" s="21" t="str">
        <f>MID(H39,3,1)</f>
        <v>0</v>
      </c>
      <c r="Q41" s="26" t="str">
        <f t="shared" si="54"/>
        <v>0</v>
      </c>
      <c r="R41" s="7" t="s">
        <v>69</v>
      </c>
      <c r="S41" s="8" t="s">
        <v>66</v>
      </c>
      <c r="T41" s="21" t="str">
        <f>MID(I39,3,1)</f>
        <v>0</v>
      </c>
      <c r="U41" s="26" t="str">
        <f t="shared" si="56"/>
        <v>0</v>
      </c>
      <c r="V41" s="7" t="s">
        <v>69</v>
      </c>
      <c r="W41" s="8" t="s">
        <v>66</v>
      </c>
      <c r="X41" s="21" t="str">
        <f>MID(J39,3,1)</f>
        <v>0</v>
      </c>
      <c r="Y41" s="26" t="str">
        <f t="shared" si="57"/>
        <v>0</v>
      </c>
      <c r="Z41" s="7" t="s">
        <v>69</v>
      </c>
      <c r="AA41" s="8" t="s">
        <v>66</v>
      </c>
      <c r="AB41" s="21" t="str">
        <f>MID(K39,3,1)</f>
        <v>0</v>
      </c>
      <c r="AC41" s="26" t="str">
        <f t="shared" si="58"/>
        <v>0</v>
      </c>
      <c r="AD41" s="7" t="s">
        <v>69</v>
      </c>
      <c r="AE41" s="8" t="s">
        <v>66</v>
      </c>
      <c r="AF41" s="21" t="str">
        <f>MID(L39,3,1)</f>
        <v>0</v>
      </c>
      <c r="AG41" s="26" t="str">
        <f t="shared" si="59"/>
        <v>0</v>
      </c>
      <c r="AH41" s="7" t="s">
        <v>69</v>
      </c>
      <c r="AI41" s="8" t="s">
        <v>66</v>
      </c>
      <c r="AJ41" s="400"/>
      <c r="AK41" s="401"/>
      <c r="AN41" s="284"/>
      <c r="AO41" t="str">
        <f>H527&amp;I527&amp;J527&amp;K527&amp;L527</f>
        <v/>
      </c>
      <c r="AP41" t="str">
        <f t="shared" si="1"/>
        <v/>
      </c>
      <c r="AR41" t="str">
        <f>H148</f>
        <v>00</v>
      </c>
      <c r="AS41" s="279" t="str">
        <f t="shared" si="52"/>
        <v/>
      </c>
      <c r="AT41" s="53" t="s">
        <v>149</v>
      </c>
      <c r="AU41" s="54">
        <v>5</v>
      </c>
      <c r="AV41" s="53" t="s">
        <v>149</v>
      </c>
      <c r="BB41">
        <v>67</v>
      </c>
      <c r="BC41" s="35" t="s">
        <v>1311</v>
      </c>
      <c r="BD41">
        <v>52</v>
      </c>
      <c r="BE41">
        <f t="shared" si="26"/>
        <v>681</v>
      </c>
      <c r="BF41" s="35" t="s">
        <v>1312</v>
      </c>
      <c r="BG41">
        <v>53</v>
      </c>
      <c r="BH41">
        <f t="shared" si="46"/>
        <v>692</v>
      </c>
      <c r="BI41">
        <f t="shared" si="46"/>
        <v>659</v>
      </c>
      <c r="BK41" t="str">
        <f t="shared" si="25"/>
        <v>=IF(OR(LEFT(A67;7)="720G4J4";LEFT(A67;7)="7200452");RIGHT(D681;1)&amp;E681&amp;F681&amp;G681&amp;H681&amp;I681&amp;J681&amp;K681&amp;L681&amp;M681;IF(OR(LEFT(A67;7)="720G4J5";LEFT(A67;7)="7200453");RIGHT(D692;1)&amp;E692&amp;F692&amp;G692&amp;H692&amp;I692&amp;J692&amp;K692&amp;L692&amp;M692;RIGHT(D659;1)&amp;E659&amp;F659&amp;G659&amp;H659&amp;I659&amp;J659&amp;K659&amp;L659&amp;M659))</v>
      </c>
      <c r="BN41" t="str">
        <f>IF(OR(LEFT(A67,7)="720G4J4",LEFT(A67,7)="7200452"),RIGHT(D681,1)&amp;E681&amp;F681&amp;G681&amp;H681&amp;I681&amp;J681&amp;K681&amp;L681&amp;M681,IF(OR(LEFT(A67,7)="720G4J5",LEFT(A67,7)="7200453"),RIGHT(D692,1)&amp;E692&amp;F692&amp;G692&amp;H692&amp;I692&amp;J692&amp;K692&amp;L692&amp;M692,RIGHT(D659,1)&amp;E659&amp;F659&amp;G659&amp;H659&amp;I659&amp;J659&amp;K659&amp;L659&amp;M659))</f>
        <v/>
      </c>
    </row>
    <row r="42" spans="1:66" ht="15" thickBot="1" x14ac:dyDescent="0.35">
      <c r="A42" s="278" t="s">
        <v>1721</v>
      </c>
      <c r="B42" s="87" t="str">
        <f>IF(OR(LEFT(A42,7)="720G4HB",LEFT(A42,7)="7200427"),RIGHT(D409,1)&amp;E409&amp;F409&amp;G409&amp;H406&amp;I406&amp;J406&amp;K406&amp;L406&amp;M406,IF(OR(LEFT(A42,7)="720G4HC",LEFT(A42,7)="7200428"),RIGHT(D420,1)&amp;E420&amp;F420&amp;G420&amp;H417&amp;I417&amp;J417&amp;K417&amp;L417&amp;M417,RIGHT(D387,1)&amp;E387&amp;F387&amp;G387&amp;H384&amp;I384&amp;J384&amp;K384&amp;L384&amp;M384))</f>
        <v>720G4HC0053</v>
      </c>
      <c r="C42" s="7"/>
      <c r="N42" s="8"/>
      <c r="P42" s="21" t="str">
        <f>MID(H39,4,1)</f>
        <v>0</v>
      </c>
      <c r="Q42" s="26" t="str">
        <f t="shared" si="54"/>
        <v>0</v>
      </c>
      <c r="R42" s="7" t="s">
        <v>70</v>
      </c>
      <c r="S42" s="8" t="s">
        <v>66</v>
      </c>
      <c r="T42" s="21" t="str">
        <f>MID(I39,4,1)</f>
        <v>0</v>
      </c>
      <c r="U42" s="26" t="str">
        <f t="shared" si="56"/>
        <v>0</v>
      </c>
      <c r="V42" s="7" t="s">
        <v>70</v>
      </c>
      <c r="W42" s="8" t="s">
        <v>66</v>
      </c>
      <c r="X42" s="21" t="str">
        <f>MID(J39,4,1)</f>
        <v>0</v>
      </c>
      <c r="Y42" s="26" t="str">
        <f t="shared" si="57"/>
        <v>0</v>
      </c>
      <c r="Z42" s="7" t="s">
        <v>70</v>
      </c>
      <c r="AA42" s="8" t="s">
        <v>66</v>
      </c>
      <c r="AB42" s="21" t="str">
        <f>MID(K39,4,1)</f>
        <v>0</v>
      </c>
      <c r="AC42" s="26" t="str">
        <f t="shared" si="58"/>
        <v>0</v>
      </c>
      <c r="AD42" s="7" t="s">
        <v>70</v>
      </c>
      <c r="AE42" s="8" t="s">
        <v>66</v>
      </c>
      <c r="AF42" s="21" t="str">
        <f>MID(L39,4,1)</f>
        <v>0</v>
      </c>
      <c r="AG42" s="26" t="str">
        <f t="shared" si="59"/>
        <v>0</v>
      </c>
      <c r="AH42" s="7" t="s">
        <v>70</v>
      </c>
      <c r="AI42" s="8" t="s">
        <v>66</v>
      </c>
      <c r="AJ42" s="400"/>
      <c r="AK42" s="401"/>
      <c r="AN42" s="284"/>
      <c r="AO42" t="str">
        <f>H538&amp;I538&amp;J538&amp;K538&amp;L538</f>
        <v/>
      </c>
      <c r="AP42" t="str">
        <f t="shared" si="1"/>
        <v/>
      </c>
      <c r="AR42" t="str">
        <f>K148</f>
        <v>00</v>
      </c>
      <c r="AS42" s="279" t="str">
        <f t="shared" si="52"/>
        <v/>
      </c>
      <c r="AT42" s="53" t="s">
        <v>150</v>
      </c>
      <c r="AU42" s="54">
        <v>6</v>
      </c>
      <c r="AV42" s="53" t="s">
        <v>150</v>
      </c>
      <c r="BB42">
        <v>68</v>
      </c>
      <c r="BC42" s="35" t="s">
        <v>1312</v>
      </c>
      <c r="BD42">
        <v>53</v>
      </c>
      <c r="BE42">
        <f t="shared" si="26"/>
        <v>692</v>
      </c>
      <c r="BF42" s="35" t="s">
        <v>1313</v>
      </c>
      <c r="BG42">
        <v>54</v>
      </c>
      <c r="BH42">
        <f t="shared" si="46"/>
        <v>703</v>
      </c>
      <c r="BI42">
        <f t="shared" si="46"/>
        <v>670</v>
      </c>
      <c r="BK42" t="str">
        <f t="shared" si="25"/>
        <v>=IF(OR(LEFT(A68;7)="720G4J5";LEFT(A68;7)="7200453");RIGHT(D692;1)&amp;E692&amp;F692&amp;G692&amp;H692&amp;I692&amp;J692&amp;K692&amp;L692&amp;M692;IF(OR(LEFT(A68;7)="720G4J6";LEFT(A68;7)="7200454");RIGHT(D703;1)&amp;E703&amp;F703&amp;G703&amp;H703&amp;I703&amp;J703&amp;K703&amp;L703&amp;M703;RIGHT(D670;1)&amp;E670&amp;F670&amp;G670&amp;H670&amp;I670&amp;J670&amp;K670&amp;L670&amp;M670))</v>
      </c>
      <c r="BN42" t="str">
        <f>IF(OR(LEFT(A68,7)="720G4J5",LEFT(A68,7)="7200453"),RIGHT(D692,1)&amp;E692&amp;F692&amp;G692&amp;H692&amp;I692&amp;J692&amp;K692&amp;L692&amp;M692,IF(OR(LEFT(A68,7)="720G4J6",LEFT(A68,7)="7200454"),RIGHT(D703,1)&amp;E703&amp;F703&amp;G703&amp;H703&amp;I703&amp;J703&amp;K703&amp;L703&amp;M703,RIGHT(D670,1)&amp;E670&amp;F670&amp;G670&amp;H670&amp;I670&amp;J670&amp;K670&amp;L670&amp;M670))</f>
        <v/>
      </c>
    </row>
    <row r="43" spans="1:66" ht="15" thickBot="1" x14ac:dyDescent="0.35">
      <c r="A43" s="270"/>
      <c r="B43" s="87" t="str">
        <f>IF(OR(LEFT(A43,7)="720G4HC",LEFT(A43,7)="7200428"),RIGHT(D420,1)&amp;E420&amp;F420&amp;G420&amp;H417&amp;I417&amp;J417&amp;K417&amp;L417&amp;M417,IF(OR(LEFT(A43,7)="720G4HD",LEFT(A43,7)="7200429"),RIGHT(D431,1)&amp;E431&amp;F431&amp;G431&amp;H428&amp;I428&amp;J428&amp;K428&amp;L428&amp;M428,IF(A44="","",RIGHT(D398,1)&amp;E398&amp;F398&amp;G398&amp;H395&amp;I395&amp;J395&amp;K395&amp;L395&amp;M395)))</f>
        <v/>
      </c>
      <c r="C43" s="7" t="s">
        <v>56</v>
      </c>
      <c r="D43" s="15" t="str">
        <f t="shared" ref="D43:G43" si="60">D38</f>
        <v>07</v>
      </c>
      <c r="E43" s="16" t="str">
        <f t="shared" si="60"/>
        <v>20</v>
      </c>
      <c r="F43" s="16" t="str">
        <f t="shared" si="60"/>
        <v>01</v>
      </c>
      <c r="G43" s="17" t="str">
        <f t="shared" si="60"/>
        <v>04</v>
      </c>
      <c r="H43" s="23" t="str">
        <f>BIN2HEX(H44,2)</f>
        <v>00</v>
      </c>
      <c r="I43" s="25" t="str">
        <f t="shared" ref="I43:L43" si="61">BIN2HEX(I44,2)</f>
        <v>00</v>
      </c>
      <c r="J43" s="24" t="str">
        <f t="shared" si="61"/>
        <v>00</v>
      </c>
      <c r="K43" s="2" t="str">
        <f t="shared" si="61"/>
        <v>00</v>
      </c>
      <c r="L43" s="18" t="str">
        <f t="shared" si="61"/>
        <v>00</v>
      </c>
      <c r="M43" s="3" t="str">
        <f>IF(LEN(M44)&gt;2,MID(M44,2,2),M44)</f>
        <v>2C</v>
      </c>
      <c r="N43" s="8" t="s">
        <v>61</v>
      </c>
      <c r="P43" s="21" t="str">
        <f>MID(H39,5,1)</f>
        <v>0</v>
      </c>
      <c r="Q43" s="26" t="str">
        <f t="shared" si="54"/>
        <v>0</v>
      </c>
      <c r="R43" s="7" t="s">
        <v>71</v>
      </c>
      <c r="S43" s="8" t="s">
        <v>66</v>
      </c>
      <c r="T43" s="21" t="str">
        <f>MID(I39,5,1)</f>
        <v>0</v>
      </c>
      <c r="U43" s="26" t="str">
        <f t="shared" si="56"/>
        <v>0</v>
      </c>
      <c r="V43" s="7" t="s">
        <v>71</v>
      </c>
      <c r="W43" s="8" t="s">
        <v>66</v>
      </c>
      <c r="X43" s="21" t="str">
        <f>MID(J39,5,1)</f>
        <v>0</v>
      </c>
      <c r="Y43" s="26" t="str">
        <f t="shared" si="57"/>
        <v>0</v>
      </c>
      <c r="Z43" s="7" t="s">
        <v>71</v>
      </c>
      <c r="AA43" s="8" t="s">
        <v>66</v>
      </c>
      <c r="AB43" s="21" t="str">
        <f>MID(K39,5,1)</f>
        <v>0</v>
      </c>
      <c r="AC43" s="26" t="str">
        <f t="shared" si="58"/>
        <v>0</v>
      </c>
      <c r="AD43" s="7" t="s">
        <v>71</v>
      </c>
      <c r="AE43" s="8" t="s">
        <v>66</v>
      </c>
      <c r="AF43" s="21" t="str">
        <f>MID(L39,5,1)</f>
        <v>0</v>
      </c>
      <c r="AG43" s="26" t="str">
        <f t="shared" si="59"/>
        <v>0</v>
      </c>
      <c r="AH43" s="7" t="s">
        <v>71</v>
      </c>
      <c r="AI43" s="8" t="s">
        <v>66</v>
      </c>
      <c r="AJ43" s="400"/>
      <c r="AK43" s="401"/>
      <c r="AN43" s="284"/>
      <c r="AO43" t="str">
        <f>H549&amp;I549&amp;J549&amp;K549&amp;L549</f>
        <v/>
      </c>
      <c r="AP43" t="str">
        <f t="shared" si="1"/>
        <v/>
      </c>
      <c r="AR43" t="str">
        <f>L148</f>
        <v>00</v>
      </c>
      <c r="AS43" s="279" t="str">
        <f t="shared" si="52"/>
        <v/>
      </c>
      <c r="AT43" s="53" t="s">
        <v>58</v>
      </c>
      <c r="AU43" s="54">
        <v>7</v>
      </c>
      <c r="AV43" s="53" t="s">
        <v>58</v>
      </c>
      <c r="BB43">
        <v>69</v>
      </c>
      <c r="BC43" s="35" t="s">
        <v>1313</v>
      </c>
      <c r="BD43">
        <v>54</v>
      </c>
      <c r="BE43">
        <f t="shared" si="26"/>
        <v>703</v>
      </c>
      <c r="BF43" s="35" t="s">
        <v>1314</v>
      </c>
      <c r="BG43">
        <v>55</v>
      </c>
      <c r="BH43">
        <f t="shared" si="46"/>
        <v>714</v>
      </c>
      <c r="BI43">
        <f t="shared" si="46"/>
        <v>681</v>
      </c>
      <c r="BK43" t="str">
        <f t="shared" si="25"/>
        <v>=IF(OR(LEFT(A69;7)="720G4J6";LEFT(A69;7)="7200454");RIGHT(D703;1)&amp;E703&amp;F703&amp;G703&amp;H703&amp;I703&amp;J703&amp;K703&amp;L703&amp;M703;IF(OR(LEFT(A69;7)="720G4J7";LEFT(A69;7)="7200455");RIGHT(D714;1)&amp;E714&amp;F714&amp;G714&amp;H714&amp;I714&amp;J714&amp;K714&amp;L714&amp;M714;RIGHT(D681;1)&amp;E681&amp;F681&amp;G681&amp;H681&amp;I681&amp;J681&amp;K681&amp;L681&amp;M681))</v>
      </c>
      <c r="BN43" t="str">
        <f>IF(OR(LEFT(A69,7)="720G4J6",LEFT(A69,7)="7200454"),RIGHT(D703,1)&amp;E703&amp;F703&amp;G703&amp;H703&amp;I703&amp;J703&amp;K703&amp;L703&amp;M703,IF(OR(LEFT(A69,7)="720G4J7",LEFT(A69,7)="7200455"),RIGHT(D714,1)&amp;E714&amp;F714&amp;G714&amp;H714&amp;I714&amp;J714&amp;K714&amp;L714&amp;M714,RIGHT(D681,1)&amp;E681&amp;F681&amp;G681&amp;H681&amp;I681&amp;J681&amp;K681&amp;L681&amp;M681))</f>
        <v/>
      </c>
    </row>
    <row r="44" spans="1:66" x14ac:dyDescent="0.3">
      <c r="A44" s="270"/>
      <c r="B44" s="87" t="str">
        <f>IF(OR(LEFT(A44,7)="720G4HD",LEFT(A44,7)="7200429"),RIGHT(D431,1)&amp;E431&amp;F431&amp;G431&amp;H428&amp;I428&amp;J428&amp;K428&amp;L428&amp;M428,IF(OR(LEFT(A44,7)="720G4HE",LEFT(A44,7)="7200430"),RIGHT(D442,1)&amp;E442&amp;F442&amp;G442&amp;H439&amp;I439&amp;J439&amp;K439&amp;L439&amp;M439,IF(A44="","",RIGHT(D409,1)&amp;E409&amp;F409&amp;G409&amp;H406&amp;I406&amp;J406&amp;K406&amp;L406&amp;M406)))</f>
        <v/>
      </c>
      <c r="C44" s="7" t="s">
        <v>64</v>
      </c>
      <c r="D44" s="99" t="str">
        <f>HEX2BIN(D43,8)</f>
        <v>00000111</v>
      </c>
      <c r="E44" s="99" t="str">
        <f t="shared" ref="E44:G44" si="62">HEX2BIN(E43,8)</f>
        <v>00100000</v>
      </c>
      <c r="F44" s="99" t="str">
        <f t="shared" si="62"/>
        <v>00000001</v>
      </c>
      <c r="G44" s="99" t="str">
        <f t="shared" si="62"/>
        <v>00000100</v>
      </c>
      <c r="H44" s="29" t="str">
        <f>Q39&amp;Q40&amp;Q41&amp;Q42&amp;Q43&amp;Q44&amp;Q45&amp;Q46</f>
        <v>00000000</v>
      </c>
      <c r="I44" s="99" t="str">
        <f>U39&amp;U40&amp;U41&amp;U42&amp;U43&amp;U44&amp;U45&amp;U46</f>
        <v>00000000</v>
      </c>
      <c r="J44" s="29" t="str">
        <f>Y39&amp;Y40&amp;Y41&amp;Y42&amp;Y43&amp;Y44&amp;Y45&amp;Y46</f>
        <v>00000000</v>
      </c>
      <c r="K44" s="29" t="str">
        <f>AC39&amp;AC40&amp;AC41&amp;AC42&amp;AC43&amp;AC44&amp;AC45&amp;AC46</f>
        <v>00000000</v>
      </c>
      <c r="L44" s="99" t="str">
        <f>AG39&amp;AG40&amp;AG41&amp;AG42&amp;AG43&amp;AG44&amp;AG45&amp;AG46</f>
        <v>00000000</v>
      </c>
      <c r="M44" s="99" t="str">
        <f>DEC2HEX(M45)</f>
        <v>2C</v>
      </c>
      <c r="N44" s="8"/>
      <c r="P44" s="21" t="str">
        <f>MID(H39,6,1)</f>
        <v>0</v>
      </c>
      <c r="Q44" s="26" t="str">
        <f t="shared" si="54"/>
        <v>0</v>
      </c>
      <c r="R44" s="7" t="s">
        <v>72</v>
      </c>
      <c r="S44" s="8" t="s">
        <v>66</v>
      </c>
      <c r="T44" s="21" t="str">
        <f>MID(I39,6,1)</f>
        <v>0</v>
      </c>
      <c r="U44" s="26" t="str">
        <f t="shared" si="56"/>
        <v>0</v>
      </c>
      <c r="V44" s="7" t="s">
        <v>72</v>
      </c>
      <c r="W44" s="8" t="s">
        <v>66</v>
      </c>
      <c r="X44" s="21" t="str">
        <f>MID(J39,6,1)</f>
        <v>0</v>
      </c>
      <c r="Y44" s="26" t="str">
        <f t="shared" si="57"/>
        <v>0</v>
      </c>
      <c r="Z44" s="7" t="s">
        <v>72</v>
      </c>
      <c r="AA44" s="8" t="s">
        <v>66</v>
      </c>
      <c r="AB44" s="21" t="str">
        <f>MID(K39,6,1)</f>
        <v>0</v>
      </c>
      <c r="AC44" s="26" t="str">
        <f t="shared" si="58"/>
        <v>0</v>
      </c>
      <c r="AD44" s="7" t="s">
        <v>72</v>
      </c>
      <c r="AE44" s="8" t="s">
        <v>66</v>
      </c>
      <c r="AF44" s="21" t="str">
        <f>MID(L39,6,1)</f>
        <v>0</v>
      </c>
      <c r="AG44" s="26" t="str">
        <f t="shared" si="59"/>
        <v>0</v>
      </c>
      <c r="AH44" s="7" t="s">
        <v>72</v>
      </c>
      <c r="AI44" s="8" t="s">
        <v>66</v>
      </c>
      <c r="AJ44" s="400"/>
      <c r="AK44" s="401"/>
      <c r="AN44" s="284"/>
      <c r="AO44" t="str">
        <f>H560&amp;I560&amp;J560&amp;K560&amp;L560</f>
        <v/>
      </c>
      <c r="AP44" t="str">
        <f t="shared" si="1"/>
        <v/>
      </c>
      <c r="AR44" t="str">
        <f>H159</f>
        <v>00</v>
      </c>
      <c r="AS44" s="279" t="str">
        <f t="shared" si="52"/>
        <v/>
      </c>
      <c r="AT44" s="53" t="s">
        <v>151</v>
      </c>
      <c r="AU44" s="54">
        <v>8</v>
      </c>
      <c r="AV44" s="53" t="s">
        <v>151</v>
      </c>
      <c r="BB44">
        <v>70</v>
      </c>
      <c r="BC44" s="35" t="s">
        <v>1314</v>
      </c>
      <c r="BD44">
        <v>55</v>
      </c>
      <c r="BE44">
        <f t="shared" si="26"/>
        <v>714</v>
      </c>
      <c r="BF44" s="35" t="s">
        <v>1315</v>
      </c>
      <c r="BG44">
        <v>56</v>
      </c>
      <c r="BH44">
        <f t="shared" si="46"/>
        <v>725</v>
      </c>
      <c r="BI44">
        <f t="shared" si="46"/>
        <v>692</v>
      </c>
      <c r="BK44" t="str">
        <f t="shared" si="25"/>
        <v>=IF(OR(LEFT(A70;7)="720G4J7";LEFT(A70;7)="7200455");RIGHT(D714;1)&amp;E714&amp;F714&amp;G714&amp;H714&amp;I714&amp;J714&amp;K714&amp;L714&amp;M714;IF(OR(LEFT(A70;7)="720G4J8";LEFT(A70;7)="7200456");RIGHT(D725;1)&amp;E725&amp;F725&amp;G725&amp;H725&amp;I725&amp;J725&amp;K725&amp;L725&amp;M725;RIGHT(D692;1)&amp;E692&amp;F692&amp;G692&amp;H692&amp;I692&amp;J692&amp;K692&amp;L692&amp;M692))</v>
      </c>
    </row>
    <row r="45" spans="1:66" x14ac:dyDescent="0.3">
      <c r="A45" s="270"/>
      <c r="B45" s="87" t="str">
        <f>IF(OR(LEFT(A45,7)="720G4HE",LEFT(A45,7)="7200430"),RIGHT(D442,1)&amp;E442&amp;F442&amp;G442&amp;H439&amp;I439&amp;J439&amp;K439&amp;L439&amp;M439,IF(OR(LEFT(A45,7)="720G4HF",LEFT(A45,7)="7200431"),RIGHT(D453,1)&amp;E453&amp;F453&amp;G453&amp;H450&amp;I450&amp;J450&amp;K450&amp;L450&amp;M450,IF(A45="","",RIGHT(D420,1)&amp;E420&amp;F420&amp;G420&amp;H417&amp;I417&amp;J417&amp;K417&amp;L417&amp;M417)))</f>
        <v/>
      </c>
      <c r="C45" s="7" t="s">
        <v>67</v>
      </c>
      <c r="D45" s="99">
        <f>HEX2DEC(D43)</f>
        <v>7</v>
      </c>
      <c r="E45" s="99">
        <f t="shared" ref="E45:L45" si="63">HEX2DEC(E43)</f>
        <v>32</v>
      </c>
      <c r="F45" s="99">
        <f t="shared" si="63"/>
        <v>1</v>
      </c>
      <c r="G45" s="99">
        <f t="shared" si="63"/>
        <v>4</v>
      </c>
      <c r="H45" s="99">
        <f t="shared" si="63"/>
        <v>0</v>
      </c>
      <c r="I45" s="99">
        <f t="shared" si="63"/>
        <v>0</v>
      </c>
      <c r="J45" s="99">
        <f t="shared" si="63"/>
        <v>0</v>
      </c>
      <c r="K45" s="99">
        <f t="shared" si="63"/>
        <v>0</v>
      </c>
      <c r="L45" s="99">
        <f t="shared" si="63"/>
        <v>0</v>
      </c>
      <c r="M45" s="99">
        <f>SUM(D45:L45)</f>
        <v>44</v>
      </c>
      <c r="N45" s="8"/>
      <c r="P45" s="21" t="str">
        <f>MID(H39,7,1)</f>
        <v>0</v>
      </c>
      <c r="Q45" s="26" t="str">
        <f t="shared" si="54"/>
        <v>0</v>
      </c>
      <c r="R45" s="7" t="s">
        <v>73</v>
      </c>
      <c r="S45" s="8" t="s">
        <v>66</v>
      </c>
      <c r="T45" s="21" t="str">
        <f>MID(I39,7,1)</f>
        <v>0</v>
      </c>
      <c r="U45" s="26" t="str">
        <f t="shared" si="56"/>
        <v>0</v>
      </c>
      <c r="V45" s="7" t="s">
        <v>73</v>
      </c>
      <c r="W45" s="8" t="s">
        <v>66</v>
      </c>
      <c r="X45" s="21" t="str">
        <f>MID(J39,7,1)</f>
        <v>0</v>
      </c>
      <c r="Y45" s="26" t="str">
        <f t="shared" si="57"/>
        <v>0</v>
      </c>
      <c r="Z45" s="7" t="s">
        <v>73</v>
      </c>
      <c r="AA45" s="8" t="s">
        <v>66</v>
      </c>
      <c r="AB45" s="21" t="str">
        <f>MID(K39,7,1)</f>
        <v>0</v>
      </c>
      <c r="AC45" s="26" t="str">
        <f t="shared" si="58"/>
        <v>0</v>
      </c>
      <c r="AD45" s="7" t="s">
        <v>73</v>
      </c>
      <c r="AE45" s="8" t="s">
        <v>66</v>
      </c>
      <c r="AF45" s="21" t="str">
        <f>MID(L39,7,1)</f>
        <v>0</v>
      </c>
      <c r="AG45" s="26" t="str">
        <f t="shared" si="59"/>
        <v>0</v>
      </c>
      <c r="AH45" s="7" t="s">
        <v>73</v>
      </c>
      <c r="AI45" s="8" t="s">
        <v>66</v>
      </c>
      <c r="AJ45" s="400"/>
      <c r="AK45" s="401"/>
      <c r="AN45" s="284"/>
      <c r="AO45" t="str">
        <f>H571&amp;I571&amp;J571&amp;K571&amp;L571</f>
        <v/>
      </c>
      <c r="AP45" t="str">
        <f t="shared" si="1"/>
        <v/>
      </c>
      <c r="AR45" t="str">
        <f>I159</f>
        <v>00</v>
      </c>
      <c r="AS45" s="279" t="str">
        <f t="shared" si="52"/>
        <v/>
      </c>
      <c r="AT45" s="53" t="s">
        <v>152</v>
      </c>
      <c r="AU45" s="54">
        <v>9</v>
      </c>
      <c r="AV45" s="53" t="s">
        <v>152</v>
      </c>
    </row>
    <row r="46" spans="1:66" ht="15" thickBot="1" x14ac:dyDescent="0.35">
      <c r="A46" s="270"/>
      <c r="B46" s="87" t="str">
        <f>IF(OR(LEFT(A46,7)="720G4HF",LEFT(A46,7)="7200431"),RIGHT(D453,1)&amp;E453&amp;F453&amp;G453&amp;H450&amp;I450&amp;J450&amp;K450&amp;L450&amp;M450,IF(OR(LEFT(A46,7)="720G4I0",LEFT(A46,7)="7200432"),RIGHT(D464,1)&amp;E464&amp;F464&amp;G464&amp;H461&amp;I461&amp;J461&amp;K461&amp;L461&amp;M461,RIGHT(D431,1)&amp;E431&amp;F431&amp;G431&amp;H428&amp;I428&amp;J428&amp;K428&amp;L428&amp;M428))</f>
        <v/>
      </c>
      <c r="C46" s="9" t="s">
        <v>1678</v>
      </c>
      <c r="D46" s="334" t="str">
        <f>D41</f>
        <v>07</v>
      </c>
      <c r="E46" s="334" t="str">
        <f t="shared" ref="E46:G46" si="64">E41</f>
        <v>20</v>
      </c>
      <c r="F46" s="334" t="str">
        <f t="shared" si="64"/>
        <v>G1</v>
      </c>
      <c r="G46" s="334" t="str">
        <f t="shared" si="64"/>
        <v>G4</v>
      </c>
      <c r="H46" s="10"/>
      <c r="I46" s="10"/>
      <c r="J46" s="10"/>
      <c r="K46" s="10"/>
      <c r="L46" s="10"/>
      <c r="M46" s="10"/>
      <c r="N46" s="11"/>
      <c r="P46" s="22" t="str">
        <f>MID(H39,8,1)</f>
        <v>0</v>
      </c>
      <c r="Q46" s="55" t="str">
        <f t="shared" si="54"/>
        <v>0</v>
      </c>
      <c r="R46" s="9" t="s">
        <v>74</v>
      </c>
      <c r="S46" s="11" t="s">
        <v>66</v>
      </c>
      <c r="T46" s="22" t="str">
        <f>MID(I39,8,1)</f>
        <v>0</v>
      </c>
      <c r="U46" s="55" t="str">
        <f t="shared" si="56"/>
        <v>0</v>
      </c>
      <c r="V46" s="9" t="s">
        <v>74</v>
      </c>
      <c r="W46" s="11" t="s">
        <v>66</v>
      </c>
      <c r="X46" s="22" t="str">
        <f>MID(J39,8,1)</f>
        <v>0</v>
      </c>
      <c r="Y46" s="55" t="str">
        <f t="shared" si="57"/>
        <v>0</v>
      </c>
      <c r="Z46" s="9" t="s">
        <v>74</v>
      </c>
      <c r="AA46" s="11" t="s">
        <v>66</v>
      </c>
      <c r="AB46" s="22" t="str">
        <f>MID(K39,8,1)</f>
        <v>0</v>
      </c>
      <c r="AC46" s="55" t="str">
        <f t="shared" si="58"/>
        <v>0</v>
      </c>
      <c r="AD46" s="9" t="s">
        <v>74</v>
      </c>
      <c r="AE46" s="11" t="s">
        <v>66</v>
      </c>
      <c r="AF46" s="22" t="str">
        <f>MID(L39,8,1)</f>
        <v>0</v>
      </c>
      <c r="AG46" s="55" t="str">
        <f t="shared" si="59"/>
        <v>0</v>
      </c>
      <c r="AH46" s="9" t="s">
        <v>74</v>
      </c>
      <c r="AI46" s="11" t="s">
        <v>66</v>
      </c>
      <c r="AJ46" s="402"/>
      <c r="AK46" s="404"/>
      <c r="AN46" s="284"/>
      <c r="AO46" t="str">
        <f>H582&amp;I582&amp;J582&amp;K582&amp;L582</f>
        <v/>
      </c>
      <c r="AP46" t="str">
        <f t="shared" si="1"/>
        <v/>
      </c>
      <c r="AR46" t="str">
        <f>J159</f>
        <v>00</v>
      </c>
      <c r="AS46" s="279" t="str">
        <f t="shared" si="52"/>
        <v/>
      </c>
      <c r="AT46" s="53" t="s">
        <v>153</v>
      </c>
      <c r="AU46" s="54" t="s">
        <v>154</v>
      </c>
      <c r="AV46" s="53" t="s">
        <v>153</v>
      </c>
    </row>
    <row r="47" spans="1:66" ht="15" thickBot="1" x14ac:dyDescent="0.35">
      <c r="A47" s="270"/>
      <c r="B47" s="87" t="str">
        <f>IF(OR(LEFT(A47,7)="720G4I0",LEFT(A47,7)="7200432"),RIGHT(D464,1)&amp;E464&amp;F464&amp;G464&amp;H461&amp;I461&amp;J461&amp;K461&amp;L461&amp;M461,IF(OR(LEFT(A47,7)="720G4I1",LEFT(A47,7)="7200433"),RIGHT(D475,1)&amp;E475&amp;F475&amp;G475&amp;H472&amp;I472&amp;J472&amp;K472&amp;L472&amp;M472,RIGHT(D442,1)&amp;E442&amp;F442&amp;G442&amp;H439&amp;I439&amp;J439&amp;K439&amp;L439&amp;M439))</f>
        <v/>
      </c>
      <c r="C47" s="4"/>
      <c r="D47" s="5"/>
      <c r="E47" s="5"/>
      <c r="F47" s="5"/>
      <c r="G47" s="5"/>
      <c r="H47" s="5"/>
      <c r="I47" s="5"/>
      <c r="J47" s="5"/>
      <c r="K47" s="5"/>
      <c r="L47" s="5"/>
      <c r="M47" s="5" t="s">
        <v>41</v>
      </c>
      <c r="N47" s="6"/>
      <c r="P47" s="392" t="s">
        <v>1268</v>
      </c>
      <c r="Q47" s="392"/>
      <c r="R47" s="392"/>
      <c r="S47" s="392"/>
      <c r="T47" s="392"/>
      <c r="U47" s="392"/>
      <c r="V47" s="392"/>
      <c r="W47" s="392"/>
      <c r="X47" s="392"/>
      <c r="Y47" s="392"/>
      <c r="Z47" s="392"/>
      <c r="AA47" s="392"/>
      <c r="AB47" s="392"/>
      <c r="AC47" s="392"/>
      <c r="AD47" s="392"/>
      <c r="AE47" s="392"/>
      <c r="AF47" s="392"/>
      <c r="AG47" s="392"/>
      <c r="AH47" s="392"/>
      <c r="AI47" s="392"/>
      <c r="AJ47" s="392"/>
      <c r="AK47" s="392"/>
      <c r="AN47" s="284"/>
      <c r="AO47" t="str">
        <f>H593&amp;I593&amp;J593&amp;K593&amp;L593</f>
        <v/>
      </c>
      <c r="AP47" t="str">
        <f t="shared" si="1"/>
        <v/>
      </c>
      <c r="AR47" t="str">
        <f>K159</f>
        <v>00</v>
      </c>
      <c r="AS47" s="279" t="str">
        <f t="shared" si="52"/>
        <v/>
      </c>
      <c r="AT47" s="53" t="s">
        <v>155</v>
      </c>
      <c r="AU47" s="54" t="s">
        <v>156</v>
      </c>
      <c r="AV47" s="53" t="s">
        <v>155</v>
      </c>
    </row>
    <row r="48" spans="1:66" ht="15" thickBot="1" x14ac:dyDescent="0.35">
      <c r="A48" s="270"/>
      <c r="B48" s="87" t="str">
        <f>IF(OR(LEFT(A48,7)="720G4I1",LEFT(A48,7)="7200433"),RIGHT(D475,1)&amp;E475&amp;F475&amp;G475&amp;H472&amp;I472&amp;J472&amp;K472&amp;L472&amp;M472,IF(OR(LEFT(A48,7)="720G4I2",LEFT(A48,7)="7200434"),RIGHT(D486,1)&amp;E486&amp;F486&amp;G486&amp;H483&amp;I483&amp;J483&amp;K483&amp;L483&amp;M483,RIGHT(D453,1)&amp;E453&amp;F453&amp;G453&amp;H450&amp;I450&amp;J450&amp;K450&amp;L450&amp;M450))</f>
        <v/>
      </c>
      <c r="C48" s="7"/>
      <c r="D48" s="393" t="s">
        <v>1267</v>
      </c>
      <c r="E48" s="393"/>
      <c r="F48" s="393"/>
      <c r="G48" s="393"/>
      <c r="H48" s="99" t="s">
        <v>44</v>
      </c>
      <c r="I48" s="99" t="s">
        <v>45</v>
      </c>
      <c r="J48" s="99" t="s">
        <v>46</v>
      </c>
      <c r="K48" s="99" t="s">
        <v>47</v>
      </c>
      <c r="L48" s="99" t="s">
        <v>48</v>
      </c>
      <c r="M48" s="99" t="s">
        <v>49</v>
      </c>
      <c r="N48" s="8"/>
      <c r="P48" s="394" t="s">
        <v>50</v>
      </c>
      <c r="Q48" s="395"/>
      <c r="R48" s="395"/>
      <c r="S48" s="396"/>
      <c r="T48" s="394" t="s">
        <v>51</v>
      </c>
      <c r="U48" s="395"/>
      <c r="V48" s="395"/>
      <c r="W48" s="396"/>
      <c r="X48" s="394" t="s">
        <v>52</v>
      </c>
      <c r="Y48" s="395"/>
      <c r="Z48" s="395"/>
      <c r="AA48" s="396"/>
      <c r="AB48" s="394" t="s">
        <v>53</v>
      </c>
      <c r="AC48" s="395"/>
      <c r="AD48" s="395"/>
      <c r="AE48" s="396"/>
      <c r="AF48" s="394" t="s">
        <v>97</v>
      </c>
      <c r="AG48" s="395"/>
      <c r="AH48" s="395"/>
      <c r="AI48" s="396"/>
      <c r="AJ48" s="394" t="s">
        <v>55</v>
      </c>
      <c r="AK48" s="396"/>
      <c r="AN48" s="284"/>
      <c r="AO48" t="str">
        <f>H604&amp;I604&amp;J604&amp;K604&amp;L604</f>
        <v/>
      </c>
      <c r="AP48" t="str">
        <f t="shared" si="1"/>
        <v/>
      </c>
      <c r="AR48" t="str">
        <f>I170</f>
        <v>00</v>
      </c>
      <c r="AS48" s="279" t="str">
        <f t="shared" si="52"/>
        <v/>
      </c>
      <c r="AT48" s="53" t="s">
        <v>159</v>
      </c>
      <c r="AU48" s="54" t="s">
        <v>160</v>
      </c>
      <c r="AV48" s="53" t="s">
        <v>159</v>
      </c>
    </row>
    <row r="49" spans="1:48" ht="15" thickBot="1" x14ac:dyDescent="0.35">
      <c r="A49" s="270"/>
      <c r="B49" s="87" t="str">
        <f>IF(OR(LEFT(A49,7)="720G4I2",LEFT(A49,7)="7200434"),RIGHT(D486,1)&amp;E486&amp;F486&amp;G486&amp;H483&amp;I483&amp;J483&amp;K483&amp;L483&amp;M483,IF(OR(LEFT(A49,7)="720G4I3",LEFT(A49,7)="7200435"),RIGHT(D497,1)&amp;E497&amp;F497&amp;G497&amp;H494&amp;I494&amp;J494&amp;K494&amp;L494&amp;M494,RIGHT(D464,1)&amp;E464&amp;F464&amp;G464&amp;H461&amp;I461&amp;J461&amp;K461&amp;L461&amp;M461))</f>
        <v/>
      </c>
      <c r="C49" s="7" t="s">
        <v>56</v>
      </c>
      <c r="D49" s="12" t="s">
        <v>57</v>
      </c>
      <c r="E49" s="13" t="s">
        <v>130</v>
      </c>
      <c r="F49" s="13" t="s">
        <v>59</v>
      </c>
      <c r="G49" s="14" t="s">
        <v>113</v>
      </c>
      <c r="H49" s="316" t="str" cm="1">
        <f t="array" ref="H49">MID(INDEX($A$3:$A$70,IF(ISNA(MATCH("720G1G5*",$A$3:$A$70,0))=TRUE,MATCH("7200105*",$A$3:$A$70,0),MATCH("720G1G5*",$A$3:$A$70,0))),$AU$8,2)</f>
        <v>00</v>
      </c>
      <c r="I49" s="317" t="str" cm="1">
        <f t="array" ref="I49">MID(INDEX($A$3:$A$70,IF(ISNA(MATCH("720G1G5*",$A$3:$A$70,0))=TRUE,MATCH("7200105*",$A$3:$A$70,0),MATCH("720G1G5*",$A$3:$A$70,0))),$AV$8,2)</f>
        <v>00</v>
      </c>
      <c r="J49" s="317" t="str" cm="1">
        <f t="array" ref="J49">MID(INDEX($A$3:$A$70,IF(ISNA(MATCH("720G1G5*",$A$3:$A$70,0))=TRUE,MATCH("7200105*",$A$3:$A$70,0),MATCH("720G1G5*",$A$3:$A$70,0))),$AW$8,2)</f>
        <v>00</v>
      </c>
      <c r="K49" s="317" t="str" cm="1">
        <f t="array" ref="K49">MID(INDEX($A$3:$A$70,IF(ISNA(MATCH("720G1G5*",$A$3:$A$70,0))=TRUE,MATCH("7200105*",$A$3:$A$70,0),MATCH("720G1G5*",$A$3:$A$70,0))),$AX$8,2)</f>
        <v>00</v>
      </c>
      <c r="L49" s="318" t="str" cm="1">
        <f t="array" ref="L49">MID(INDEX($A$3:$A$70,IF(ISNA(MATCH("720G1G5*",$A$3:$A$70,0))=TRUE,MATCH("7200105*",$A$3:$A$70,0),MATCH("720G1G5*",$A$3:$A$70,0))),$AY$8,2)</f>
        <v>00</v>
      </c>
      <c r="M49" s="319" t="str" cm="1">
        <f t="array" ref="M49">MID(INDEX($A$3:$A$70,IF(ISNA(MATCH("720G1G5*",$A$3:$A$70,0))=TRUE,MATCH("7200105*",$A$3:$A$70,0),MATCH("720G1G5*",$A$3:$A$70,0))),$AZ$8,2)</f>
        <v>2D</v>
      </c>
      <c r="N49" s="8" t="s">
        <v>60</v>
      </c>
      <c r="P49" s="19" t="s">
        <v>60</v>
      </c>
      <c r="Q49" s="20" t="s">
        <v>61</v>
      </c>
      <c r="R49" t="s">
        <v>62</v>
      </c>
      <c r="S49" s="8"/>
      <c r="T49" s="19" t="s">
        <v>60</v>
      </c>
      <c r="U49" s="20" t="s">
        <v>61</v>
      </c>
      <c r="V49" t="s">
        <v>62</v>
      </c>
      <c r="W49" s="8"/>
      <c r="X49" s="19" t="s">
        <v>60</v>
      </c>
      <c r="Y49" s="20" t="s">
        <v>61</v>
      </c>
      <c r="Z49" t="s">
        <v>62</v>
      </c>
      <c r="AA49" s="8"/>
      <c r="AB49" s="19" t="s">
        <v>60</v>
      </c>
      <c r="AC49" s="20" t="s">
        <v>61</v>
      </c>
      <c r="AD49" t="s">
        <v>62</v>
      </c>
      <c r="AE49" s="8"/>
      <c r="AF49" s="19" t="s">
        <v>60</v>
      </c>
      <c r="AG49" s="20" t="s">
        <v>61</v>
      </c>
      <c r="AH49" t="s">
        <v>62</v>
      </c>
      <c r="AJ49" s="394" t="s">
        <v>63</v>
      </c>
      <c r="AK49" s="396"/>
      <c r="AN49" s="284"/>
      <c r="AO49" t="str">
        <f>H615&amp;I615&amp;J615&amp;K615&amp;L615</f>
        <v/>
      </c>
      <c r="AP49" t="str">
        <f t="shared" si="1"/>
        <v/>
      </c>
      <c r="AR49" t="str">
        <f>J170</f>
        <v>00</v>
      </c>
      <c r="AS49" s="279" t="str">
        <f t="shared" si="52"/>
        <v/>
      </c>
      <c r="AT49" s="53" t="s">
        <v>161</v>
      </c>
      <c r="AU49" s="54" t="s">
        <v>162</v>
      </c>
      <c r="AV49" s="53" t="s">
        <v>161</v>
      </c>
    </row>
    <row r="50" spans="1:48" x14ac:dyDescent="0.3">
      <c r="A50" s="270"/>
      <c r="B50" s="87" t="str">
        <f>IF(OR(LEFT(A50,7)="720G4I3",LEFT(A50,7)="7200435"),RIGHT(D497,1)&amp;E497&amp;F497&amp;G497&amp;H494&amp;I494&amp;J494&amp;K494&amp;L494&amp;M494,IF(OR(LEFT(A50,7)="720G4I4",LEFT(A50,7)="7200436"),RIGHT(D508,1)&amp;E508&amp;F508&amp;G508&amp;H505&amp;I505&amp;J505&amp;K505&amp;L505&amp;M505,RIGHT(D475,1)&amp;E475&amp;F475&amp;G475&amp;H472&amp;I472&amp;J472&amp;K472&amp;L472&amp;M472))</f>
        <v/>
      </c>
      <c r="C50" s="7" t="s">
        <v>64</v>
      </c>
      <c r="D50" s="99" t="str">
        <f>HEX2BIN(D49,8)</f>
        <v>00000111</v>
      </c>
      <c r="E50" s="99" t="str">
        <f t="shared" ref="E50:L50" si="65">HEX2BIN(E49,8)</f>
        <v>00100000</v>
      </c>
      <c r="F50" s="99" t="str">
        <f t="shared" si="65"/>
        <v>00000001</v>
      </c>
      <c r="G50" s="99" t="str">
        <f t="shared" si="65"/>
        <v>00000101</v>
      </c>
      <c r="H50" s="99" t="str">
        <f t="shared" si="65"/>
        <v>00000000</v>
      </c>
      <c r="I50" s="99" t="str">
        <f t="shared" si="65"/>
        <v>00000000</v>
      </c>
      <c r="J50" s="99" t="str">
        <f t="shared" si="65"/>
        <v>00000000</v>
      </c>
      <c r="K50" s="99" t="str">
        <f t="shared" si="65"/>
        <v>00000000</v>
      </c>
      <c r="L50" s="99" t="str">
        <f t="shared" si="65"/>
        <v>00000000</v>
      </c>
      <c r="N50" s="8"/>
      <c r="P50" s="21" t="str">
        <f>MID(H50,1,1)</f>
        <v>0</v>
      </c>
      <c r="Q50" s="26" t="str">
        <f t="shared" ref="Q50:Q57" si="66">P50</f>
        <v>0</v>
      </c>
      <c r="R50" s="7" t="s">
        <v>65</v>
      </c>
      <c r="S50" s="8" t="s">
        <v>66</v>
      </c>
      <c r="T50" s="21" t="str">
        <f>MID(I50,1,1)</f>
        <v>0</v>
      </c>
      <c r="U50" s="26" t="str">
        <f>T50</f>
        <v>0</v>
      </c>
      <c r="V50" s="7" t="s">
        <v>65</v>
      </c>
      <c r="W50" s="8" t="s">
        <v>66</v>
      </c>
      <c r="X50" s="21" t="str">
        <f>MID(J50,1,1)</f>
        <v>0</v>
      </c>
      <c r="Y50" s="26" t="str">
        <f>X50</f>
        <v>0</v>
      </c>
      <c r="Z50" s="7" t="s">
        <v>65</v>
      </c>
      <c r="AA50" s="8" t="s">
        <v>66</v>
      </c>
      <c r="AB50" s="21" t="str">
        <f>MID(K50,1,1)</f>
        <v>0</v>
      </c>
      <c r="AC50" s="26" t="str">
        <f>AB50</f>
        <v>0</v>
      </c>
      <c r="AD50" s="7" t="s">
        <v>65</v>
      </c>
      <c r="AE50" s="8" t="s">
        <v>66</v>
      </c>
      <c r="AF50" s="21" t="str">
        <f>MID(L50,1,1)</f>
        <v>0</v>
      </c>
      <c r="AG50" s="26" t="str">
        <f>AF50</f>
        <v>0</v>
      </c>
      <c r="AH50" s="7" t="s">
        <v>65</v>
      </c>
      <c r="AI50" s="8" t="s">
        <v>66</v>
      </c>
      <c r="AJ50" s="400"/>
      <c r="AK50" s="401"/>
      <c r="AN50" s="284"/>
      <c r="AO50" t="str">
        <f>H626&amp;I626&amp;J626&amp;K626&amp;L626</f>
        <v/>
      </c>
      <c r="AP50" t="str">
        <f t="shared" si="1"/>
        <v/>
      </c>
      <c r="AR50" t="str">
        <f>K170</f>
        <v>00</v>
      </c>
      <c r="AS50" s="279" t="str">
        <f t="shared" si="52"/>
        <v/>
      </c>
      <c r="AT50" s="53" t="s">
        <v>163</v>
      </c>
      <c r="AU50" s="54" t="s">
        <v>164</v>
      </c>
      <c r="AV50" s="53" t="s">
        <v>163</v>
      </c>
    </row>
    <row r="51" spans="1:48" x14ac:dyDescent="0.3">
      <c r="A51" s="270"/>
      <c r="B51" s="87" t="str">
        <f>IF(OR(LEFT(A51,7)="720G4I4",LEFT(A51,7)="7200436"),RIGHT(D508,1)&amp;E508&amp;F508&amp;G508&amp;H505&amp;I505&amp;J505&amp;K505&amp;L505&amp;M505,IF(OR(LEFT(A51,7)="720G4I5",LEFT(A51,7)="7200437"),RIGHT(D519,1)&amp;E519&amp;F519&amp;G519&amp;H516&amp;I516&amp;J516&amp;K516&amp;L516&amp;M516,RIGHT(D486,1)&amp;E486&amp;F486&amp;G486&amp;H483&amp;I483&amp;J483&amp;K483&amp;L483&amp;M483))</f>
        <v/>
      </c>
      <c r="C51" s="7" t="s">
        <v>67</v>
      </c>
      <c r="D51" s="99">
        <f>HEX2DEC(D49)</f>
        <v>7</v>
      </c>
      <c r="E51" s="99">
        <f t="shared" ref="E51:L51" si="67">HEX2DEC(E49)</f>
        <v>32</v>
      </c>
      <c r="F51" s="99">
        <f t="shared" si="67"/>
        <v>1</v>
      </c>
      <c r="G51" s="99">
        <f t="shared" si="67"/>
        <v>5</v>
      </c>
      <c r="H51" s="99">
        <f t="shared" si="67"/>
        <v>0</v>
      </c>
      <c r="I51" s="99">
        <f t="shared" si="67"/>
        <v>0</v>
      </c>
      <c r="J51" s="99">
        <f t="shared" si="67"/>
        <v>0</v>
      </c>
      <c r="K51" s="99">
        <f t="shared" si="67"/>
        <v>0</v>
      </c>
      <c r="L51" s="99">
        <f t="shared" si="67"/>
        <v>0</v>
      </c>
      <c r="M51" s="99">
        <f>SUM(D51:L51)</f>
        <v>45</v>
      </c>
      <c r="N51" s="8"/>
      <c r="P51" s="21" t="str">
        <f>MID(H50,2,1)</f>
        <v>0</v>
      </c>
      <c r="Q51" s="26" t="str">
        <f t="shared" si="66"/>
        <v>0</v>
      </c>
      <c r="R51" s="7" t="s">
        <v>68</v>
      </c>
      <c r="S51" s="8" t="s">
        <v>66</v>
      </c>
      <c r="T51" s="21" t="str">
        <f>MID(I50,2,1)</f>
        <v>0</v>
      </c>
      <c r="U51" s="26" t="str">
        <f t="shared" ref="U51:U57" si="68">T51</f>
        <v>0</v>
      </c>
      <c r="V51" s="7" t="s">
        <v>68</v>
      </c>
      <c r="W51" s="8" t="s">
        <v>66</v>
      </c>
      <c r="X51" s="21" t="str">
        <f>MID(J50,2,1)</f>
        <v>0</v>
      </c>
      <c r="Y51" s="26" t="str">
        <f t="shared" ref="Y51:Y57" si="69">X51</f>
        <v>0</v>
      </c>
      <c r="Z51" s="7" t="s">
        <v>68</v>
      </c>
      <c r="AA51" s="8" t="s">
        <v>66</v>
      </c>
      <c r="AB51" s="21" t="str">
        <f>MID(K50,2,1)</f>
        <v>0</v>
      </c>
      <c r="AC51" s="26" t="str">
        <f t="shared" ref="AC51:AC57" si="70">AB51</f>
        <v>0</v>
      </c>
      <c r="AD51" s="7" t="s">
        <v>68</v>
      </c>
      <c r="AE51" s="8" t="s">
        <v>66</v>
      </c>
      <c r="AF51" s="21" t="str">
        <f>MID(L50,2,1)</f>
        <v>0</v>
      </c>
      <c r="AG51" s="26" t="str">
        <f t="shared" ref="AG51:AG57" si="71">AF51</f>
        <v>0</v>
      </c>
      <c r="AH51" s="7" t="s">
        <v>68</v>
      </c>
      <c r="AI51" s="8" t="s">
        <v>66</v>
      </c>
      <c r="AJ51" s="400"/>
      <c r="AK51" s="401"/>
      <c r="AN51" s="284"/>
      <c r="AO51" t="str">
        <f>H637&amp;I637&amp;J637&amp;K637&amp;L637</f>
        <v/>
      </c>
      <c r="AP51" t="str">
        <f t="shared" si="1"/>
        <v/>
      </c>
      <c r="AR51" t="str">
        <f>L170</f>
        <v>00</v>
      </c>
      <c r="AS51" s="279" t="str">
        <f t="shared" si="52"/>
        <v/>
      </c>
      <c r="AT51" s="53" t="s">
        <v>165</v>
      </c>
      <c r="AU51" s="54" t="s">
        <v>166</v>
      </c>
      <c r="AV51" s="53" t="s">
        <v>165</v>
      </c>
    </row>
    <row r="52" spans="1:48" x14ac:dyDescent="0.3">
      <c r="A52" s="270"/>
      <c r="B52" s="87" t="str">
        <f>IF(OR(LEFT(A52,7)="720G4I5",LEFT(A52,7)="7200437"),RIGHT(D519,1)&amp;E519&amp;F519&amp;G519&amp;H516&amp;I516&amp;J516&amp;K516&amp;L516&amp;M516,IF(OR(LEFT(A52,7)="720G4I6",LEFT(A52,7)="7200438"),RIGHT(D530,1)&amp;E530&amp;F530&amp;G530&amp;H527&amp;I527&amp;J527&amp;K527&amp;L527&amp;M527,RIGHT(D497,1)&amp;E497&amp;F497&amp;G497&amp;H494&amp;I494&amp;J494&amp;K494&amp;L494&amp;M494))</f>
        <v/>
      </c>
      <c r="C52" s="7" t="s">
        <v>1678</v>
      </c>
      <c r="D52" s="333" t="str">
        <f>D49</f>
        <v>07</v>
      </c>
      <c r="E52" s="333" t="str">
        <f>E49</f>
        <v>20</v>
      </c>
      <c r="F52" s="99" t="str">
        <f>MID(INDEX($A$3:$A$70,IF(ISNA(MATCH("720G1G5*",$A$3:$A$70,0))=TRUE,MATCH("7200105*",$A$3:$A$70,0),MATCH("720G1G5*",$A$3:$A$70,0))),$AS$8,2)</f>
        <v>G1</v>
      </c>
      <c r="G52" s="99" t="str">
        <f>MID(INDEX($A$3:$A$70,IF(ISNA(MATCH("720G1G5*",$A$3:$A$70,0))=TRUE,MATCH("7200105*",$A$3:$A$70,0),MATCH("720G1G5*",$A$3:$A$70,0))),$AT$8,2)</f>
        <v>G5</v>
      </c>
      <c r="N52" s="8"/>
      <c r="P52" s="21" t="str">
        <f>MID(H50,3,1)</f>
        <v>0</v>
      </c>
      <c r="Q52" s="26" t="str">
        <f t="shared" si="66"/>
        <v>0</v>
      </c>
      <c r="R52" s="7" t="s">
        <v>69</v>
      </c>
      <c r="S52" s="8" t="s">
        <v>66</v>
      </c>
      <c r="T52" s="21" t="str">
        <f>MID(I50,3,1)</f>
        <v>0</v>
      </c>
      <c r="U52" s="26" t="str">
        <f t="shared" si="68"/>
        <v>0</v>
      </c>
      <c r="V52" s="7" t="s">
        <v>69</v>
      </c>
      <c r="W52" s="8" t="s">
        <v>66</v>
      </c>
      <c r="X52" s="21" t="str">
        <f>MID(J50,3,1)</f>
        <v>0</v>
      </c>
      <c r="Y52" s="26" t="str">
        <f t="shared" si="69"/>
        <v>0</v>
      </c>
      <c r="Z52" s="7" t="s">
        <v>69</v>
      </c>
      <c r="AA52" s="8" t="s">
        <v>66</v>
      </c>
      <c r="AB52" s="21" t="str">
        <f>MID(K50,3,1)</f>
        <v>0</v>
      </c>
      <c r="AC52" s="26" t="str">
        <f t="shared" si="70"/>
        <v>0</v>
      </c>
      <c r="AD52" s="7" t="s">
        <v>69</v>
      </c>
      <c r="AE52" s="8" t="s">
        <v>66</v>
      </c>
      <c r="AF52" s="21" t="str">
        <f>MID(L50,3,1)</f>
        <v>0</v>
      </c>
      <c r="AG52" s="26" t="str">
        <f t="shared" si="71"/>
        <v>0</v>
      </c>
      <c r="AH52" s="7" t="s">
        <v>69</v>
      </c>
      <c r="AI52" s="8" t="s">
        <v>66</v>
      </c>
      <c r="AJ52" s="400"/>
      <c r="AK52" s="401"/>
      <c r="AN52" s="284"/>
      <c r="AO52" t="str">
        <f>H648&amp;I648&amp;J648&amp;K648&amp;L648</f>
        <v/>
      </c>
      <c r="AP52" t="str">
        <f t="shared" si="1"/>
        <v/>
      </c>
      <c r="AR52" t="str">
        <f>H181</f>
        <v>00</v>
      </c>
      <c r="AS52" s="279" t="str">
        <f t="shared" si="52"/>
        <v/>
      </c>
      <c r="AT52" s="53" t="s">
        <v>167</v>
      </c>
      <c r="AU52" s="54" t="s">
        <v>168</v>
      </c>
      <c r="AV52" s="53" t="s">
        <v>167</v>
      </c>
    </row>
    <row r="53" spans="1:48" ht="15" thickBot="1" x14ac:dyDescent="0.35">
      <c r="A53" s="270"/>
      <c r="B53" s="87" t="str">
        <f>IF(OR(LEFT(A53,7)="720G4I6",LEFT(A53,7)="7200438"),RIGHT(D530,1)&amp;E530&amp;F530&amp;G530&amp;H527&amp;I527&amp;J527&amp;K527&amp;L527&amp;M527,IF(OR(LEFT(A53,7)="720G4I7",LEFT(A53,7)="7200439"),RIGHT(D541,1)&amp;E541&amp;F541&amp;G541&amp;H538&amp;I538&amp;J538&amp;K538&amp;L538&amp;M538,RIGHT(D508,1)&amp;E508&amp;F508&amp;G508&amp;H505&amp;I505&amp;J505&amp;K505&amp;L505&amp;M505))</f>
        <v/>
      </c>
      <c r="C53" s="7"/>
      <c r="N53" s="8"/>
      <c r="P53" s="21" t="str">
        <f>MID(H50,4,1)</f>
        <v>0</v>
      </c>
      <c r="Q53" s="26" t="str">
        <f t="shared" si="66"/>
        <v>0</v>
      </c>
      <c r="R53" s="7" t="s">
        <v>70</v>
      </c>
      <c r="S53" s="8" t="s">
        <v>66</v>
      </c>
      <c r="T53" s="21" t="str">
        <f>MID(I50,4,1)</f>
        <v>0</v>
      </c>
      <c r="U53" s="26" t="str">
        <f t="shared" si="68"/>
        <v>0</v>
      </c>
      <c r="V53" s="7" t="s">
        <v>70</v>
      </c>
      <c r="W53" s="8" t="s">
        <v>66</v>
      </c>
      <c r="X53" s="21" t="str">
        <f>MID(J50,4,1)</f>
        <v>0</v>
      </c>
      <c r="Y53" s="26" t="str">
        <f t="shared" si="69"/>
        <v>0</v>
      </c>
      <c r="Z53" s="7" t="s">
        <v>70</v>
      </c>
      <c r="AA53" s="8" t="s">
        <v>66</v>
      </c>
      <c r="AB53" s="21" t="str">
        <f>MID(K50,4,1)</f>
        <v>0</v>
      </c>
      <c r="AC53" s="26" t="str">
        <f t="shared" si="70"/>
        <v>0</v>
      </c>
      <c r="AD53" s="7" t="s">
        <v>70</v>
      </c>
      <c r="AE53" s="8" t="s">
        <v>66</v>
      </c>
      <c r="AF53" s="21" t="str">
        <f>MID(L50,4,1)</f>
        <v>0</v>
      </c>
      <c r="AG53" s="26" t="str">
        <f t="shared" si="71"/>
        <v>0</v>
      </c>
      <c r="AH53" s="7" t="s">
        <v>70</v>
      </c>
      <c r="AI53" s="8" t="s">
        <v>66</v>
      </c>
      <c r="AJ53" s="400"/>
      <c r="AK53" s="401"/>
      <c r="AN53" s="284"/>
      <c r="AO53" t="str">
        <f>H659&amp;I659&amp;J659&amp;K659&amp;L659</f>
        <v/>
      </c>
      <c r="AP53" t="str">
        <f t="shared" si="1"/>
        <v/>
      </c>
      <c r="AT53" s="53" t="s">
        <v>169</v>
      </c>
      <c r="AU53" s="54" t="s">
        <v>170</v>
      </c>
      <c r="AV53" s="53" t="s">
        <v>169</v>
      </c>
    </row>
    <row r="54" spans="1:48" ht="15" thickBot="1" x14ac:dyDescent="0.35">
      <c r="A54" s="270"/>
      <c r="B54" s="87" t="str">
        <f>IF(OR(LEFT(A54,7)="720G4I7",LEFT(A54,7)="7200439"),RIGHT(D541,1)&amp;E541&amp;F541&amp;G541&amp;H538&amp;I538&amp;J538&amp;K538&amp;L538&amp;M538,IF(OR(LEFT(A54,7)="720G4I8",LEFT(A54,7)="7200440"),RIGHT(D552,1)&amp;E552&amp;F552&amp;G552&amp;H549&amp;I549&amp;J549&amp;K549&amp;L549&amp;M549,RIGHT(D519,1)&amp;E519&amp;F519&amp;G519&amp;H516&amp;I516&amp;J516&amp;K516&amp;L516&amp;M516))</f>
        <v/>
      </c>
      <c r="C54" s="7" t="s">
        <v>56</v>
      </c>
      <c r="D54" s="15" t="str">
        <f t="shared" ref="D54:G54" si="72">D49</f>
        <v>07</v>
      </c>
      <c r="E54" s="16" t="str">
        <f t="shared" si="72"/>
        <v>20</v>
      </c>
      <c r="F54" s="16" t="str">
        <f t="shared" si="72"/>
        <v>01</v>
      </c>
      <c r="G54" s="17" t="str">
        <f t="shared" si="72"/>
        <v>05</v>
      </c>
      <c r="H54" s="23" t="str">
        <f>BIN2HEX(H55,2)</f>
        <v>00</v>
      </c>
      <c r="I54" s="25" t="str">
        <f t="shared" ref="I54:L54" si="73">BIN2HEX(I55,2)</f>
        <v>00</v>
      </c>
      <c r="J54" s="24" t="str">
        <f t="shared" si="73"/>
        <v>00</v>
      </c>
      <c r="K54" s="2" t="str">
        <f t="shared" si="73"/>
        <v>00</v>
      </c>
      <c r="L54" s="18" t="str">
        <f t="shared" si="73"/>
        <v>00</v>
      </c>
      <c r="M54" s="3" t="str">
        <f>IF(LEN(M55)&gt;2,MID(M55,2,2),M55)</f>
        <v>2D</v>
      </c>
      <c r="N54" s="8" t="s">
        <v>61</v>
      </c>
      <c r="P54" s="21" t="str">
        <f>MID(H50,5,1)</f>
        <v>0</v>
      </c>
      <c r="Q54" s="26" t="str">
        <f t="shared" si="66"/>
        <v>0</v>
      </c>
      <c r="R54" s="7" t="s">
        <v>71</v>
      </c>
      <c r="S54" s="8" t="s">
        <v>66</v>
      </c>
      <c r="T54" s="21" t="str">
        <f>MID(I50,5,1)</f>
        <v>0</v>
      </c>
      <c r="U54" s="26" t="str">
        <f t="shared" si="68"/>
        <v>0</v>
      </c>
      <c r="V54" s="7" t="s">
        <v>71</v>
      </c>
      <c r="W54" s="8" t="s">
        <v>66</v>
      </c>
      <c r="X54" s="21" t="str">
        <f>MID(J50,5,1)</f>
        <v>0</v>
      </c>
      <c r="Y54" s="26" t="str">
        <f t="shared" si="69"/>
        <v>0</v>
      </c>
      <c r="Z54" s="7" t="s">
        <v>71</v>
      </c>
      <c r="AA54" s="8" t="s">
        <v>66</v>
      </c>
      <c r="AB54" s="21" t="str">
        <f>MID(K50,5,1)</f>
        <v>0</v>
      </c>
      <c r="AC54" s="26" t="str">
        <f t="shared" si="70"/>
        <v>0</v>
      </c>
      <c r="AD54" s="7" t="s">
        <v>71</v>
      </c>
      <c r="AE54" s="8" t="s">
        <v>66</v>
      </c>
      <c r="AF54" s="21" t="str">
        <f>MID(L50,5,1)</f>
        <v>0</v>
      </c>
      <c r="AG54" s="26" t="str">
        <f t="shared" si="71"/>
        <v>0</v>
      </c>
      <c r="AH54" s="7" t="s">
        <v>71</v>
      </c>
      <c r="AI54" s="8" t="s">
        <v>66</v>
      </c>
      <c r="AJ54" s="400"/>
      <c r="AK54" s="401"/>
      <c r="AN54" s="284"/>
      <c r="AO54" t="str">
        <f>H670&amp;I670&amp;J670&amp;K670&amp;L670</f>
        <v/>
      </c>
      <c r="AP54" t="str">
        <f t="shared" si="1"/>
        <v/>
      </c>
      <c r="AT54" s="53" t="s">
        <v>171</v>
      </c>
      <c r="AU54" s="54" t="s">
        <v>172</v>
      </c>
      <c r="AV54" s="53" t="s">
        <v>171</v>
      </c>
    </row>
    <row r="55" spans="1:48" x14ac:dyDescent="0.3">
      <c r="A55" s="270"/>
      <c r="B55" s="87" t="str">
        <f>IF(OR(LEFT(A55,7)="720G4I8",LEFT(A55,7)="7200440"),RIGHT(D552,1)&amp;E552&amp;F552&amp;G552&amp;H549&amp;I549&amp;J549&amp;K549&amp;L549&amp;M549,IF(OR(LEFT(A55,7)="720G4I9",LEFT(A55,7)="7200441"),RIGHT(D563,1)&amp;E563&amp;F563&amp;G563&amp;H560&amp;I560&amp;J560&amp;K560&amp;L560&amp;M560,RIGHT(D530,1)&amp;E530&amp;F530&amp;G530&amp;H527&amp;I527&amp;J527&amp;K527&amp;L527&amp;M527))</f>
        <v/>
      </c>
      <c r="C55" s="7" t="s">
        <v>64</v>
      </c>
      <c r="D55" s="99" t="str">
        <f>HEX2BIN(D54,8)</f>
        <v>00000111</v>
      </c>
      <c r="E55" s="99" t="str">
        <f t="shared" ref="E55:G55" si="74">HEX2BIN(E54,8)</f>
        <v>00100000</v>
      </c>
      <c r="F55" s="99" t="str">
        <f t="shared" si="74"/>
        <v>00000001</v>
      </c>
      <c r="G55" s="99" t="str">
        <f t="shared" si="74"/>
        <v>00000101</v>
      </c>
      <c r="H55" s="29" t="str">
        <f>Q50&amp;Q51&amp;Q52&amp;Q53&amp;Q54&amp;Q55&amp;Q56&amp;Q57</f>
        <v>00000000</v>
      </c>
      <c r="I55" s="99" t="str">
        <f>U50&amp;U51&amp;U52&amp;U53&amp;U54&amp;U55&amp;U56&amp;U57</f>
        <v>00000000</v>
      </c>
      <c r="J55" s="29" t="str">
        <f>Y50&amp;Y51&amp;Y52&amp;Y53&amp;Y54&amp;Y55&amp;Y56&amp;Y57</f>
        <v>00000000</v>
      </c>
      <c r="K55" s="29" t="str">
        <f>AC50&amp;AC51&amp;AC52&amp;AC53&amp;AC54&amp;AC55&amp;AC56&amp;AC57</f>
        <v>00000000</v>
      </c>
      <c r="L55" s="99" t="str">
        <f>AG50&amp;AG51&amp;AG52&amp;AG53&amp;AG54&amp;AG55&amp;AG56&amp;AG57</f>
        <v>00000000</v>
      </c>
      <c r="M55" s="99" t="str">
        <f>DEC2HEX(M56)</f>
        <v>2D</v>
      </c>
      <c r="N55" s="8"/>
      <c r="P55" s="21" t="str">
        <f>MID(H50,6,1)</f>
        <v>0</v>
      </c>
      <c r="Q55" s="26" t="str">
        <f t="shared" si="66"/>
        <v>0</v>
      </c>
      <c r="R55" s="7" t="s">
        <v>72</v>
      </c>
      <c r="S55" s="8" t="s">
        <v>66</v>
      </c>
      <c r="T55" s="21" t="str">
        <f>MID(I50,6,1)</f>
        <v>0</v>
      </c>
      <c r="U55" s="26" t="str">
        <f t="shared" si="68"/>
        <v>0</v>
      </c>
      <c r="V55" s="7" t="s">
        <v>72</v>
      </c>
      <c r="W55" s="8" t="s">
        <v>66</v>
      </c>
      <c r="X55" s="21" t="str">
        <f>MID(J50,6,1)</f>
        <v>0</v>
      </c>
      <c r="Y55" s="26" t="str">
        <f t="shared" si="69"/>
        <v>0</v>
      </c>
      <c r="Z55" s="7" t="s">
        <v>72</v>
      </c>
      <c r="AA55" s="8" t="s">
        <v>66</v>
      </c>
      <c r="AB55" s="21" t="str">
        <f>MID(K50,6,1)</f>
        <v>0</v>
      </c>
      <c r="AC55" s="26" t="str">
        <f t="shared" si="70"/>
        <v>0</v>
      </c>
      <c r="AD55" s="7" t="s">
        <v>72</v>
      </c>
      <c r="AE55" s="8" t="s">
        <v>66</v>
      </c>
      <c r="AF55" s="21" t="str">
        <f>MID(L50,6,1)</f>
        <v>0</v>
      </c>
      <c r="AG55" s="26" t="str">
        <f t="shared" si="71"/>
        <v>0</v>
      </c>
      <c r="AH55" s="7" t="s">
        <v>72</v>
      </c>
      <c r="AI55" s="8" t="s">
        <v>66</v>
      </c>
      <c r="AJ55" s="400"/>
      <c r="AK55" s="401"/>
      <c r="AN55" s="284"/>
      <c r="AO55" t="str">
        <f>H681&amp;I681&amp;J681&amp;K681&amp;L681</f>
        <v/>
      </c>
      <c r="AP55" t="str">
        <f t="shared" si="1"/>
        <v/>
      </c>
      <c r="AT55" s="53" t="s">
        <v>173</v>
      </c>
      <c r="AU55" s="54" t="s">
        <v>174</v>
      </c>
      <c r="AV55" s="53" t="s">
        <v>173</v>
      </c>
    </row>
    <row r="56" spans="1:48" x14ac:dyDescent="0.3">
      <c r="A56" s="270"/>
      <c r="B56" s="87" t="str">
        <f>IF(OR(LEFT(A56,7)="720G4I9",LEFT(A56,7)="7200441"),RIGHT(D563,1)&amp;E563&amp;F563&amp;G563&amp;H560&amp;I560&amp;J560&amp;K560&amp;L560&amp;M560,IF(OR(LEFT(A56,7)="720G4IA",LEFT(A56,7)="7200442"),RIGHT(D574,1)&amp;E574&amp;F574&amp;G574&amp;H571&amp;I571&amp;J571&amp;K571&amp;L571&amp;M571,RIGHT(D541,1)&amp;E541&amp;F541&amp;G541&amp;H538&amp;I538&amp;J538&amp;K538&amp;L538&amp;M538))</f>
        <v/>
      </c>
      <c r="C56" s="7" t="s">
        <v>67</v>
      </c>
      <c r="D56" s="99">
        <f>HEX2DEC(D54)</f>
        <v>7</v>
      </c>
      <c r="E56" s="99">
        <f t="shared" ref="E56:L56" si="75">HEX2DEC(E54)</f>
        <v>32</v>
      </c>
      <c r="F56" s="99">
        <f t="shared" si="75"/>
        <v>1</v>
      </c>
      <c r="G56" s="99">
        <f t="shared" si="75"/>
        <v>5</v>
      </c>
      <c r="H56" s="99">
        <f t="shared" si="75"/>
        <v>0</v>
      </c>
      <c r="I56" s="99">
        <f t="shared" si="75"/>
        <v>0</v>
      </c>
      <c r="J56" s="99">
        <f t="shared" si="75"/>
        <v>0</v>
      </c>
      <c r="K56" s="99">
        <f t="shared" si="75"/>
        <v>0</v>
      </c>
      <c r="L56" s="99">
        <f t="shared" si="75"/>
        <v>0</v>
      </c>
      <c r="M56" s="99">
        <f>SUM(D56:L56)</f>
        <v>45</v>
      </c>
      <c r="N56" s="8"/>
      <c r="P56" s="21" t="str">
        <f>MID(H50,7,1)</f>
        <v>0</v>
      </c>
      <c r="Q56" s="26" t="str">
        <f t="shared" si="66"/>
        <v>0</v>
      </c>
      <c r="R56" s="7" t="s">
        <v>73</v>
      </c>
      <c r="S56" s="8" t="s">
        <v>66</v>
      </c>
      <c r="T56" s="21" t="str">
        <f>MID(I50,7,1)</f>
        <v>0</v>
      </c>
      <c r="U56" s="26" t="str">
        <f t="shared" si="68"/>
        <v>0</v>
      </c>
      <c r="V56" s="7" t="s">
        <v>73</v>
      </c>
      <c r="W56" s="8" t="s">
        <v>66</v>
      </c>
      <c r="X56" s="21" t="str">
        <f>MID(J50,7,1)</f>
        <v>0</v>
      </c>
      <c r="Y56" s="26" t="str">
        <f t="shared" si="69"/>
        <v>0</v>
      </c>
      <c r="Z56" s="7" t="s">
        <v>73</v>
      </c>
      <c r="AA56" s="8" t="s">
        <v>66</v>
      </c>
      <c r="AB56" s="21" t="str">
        <f>MID(K50,7,1)</f>
        <v>0</v>
      </c>
      <c r="AC56" s="26" t="str">
        <f t="shared" si="70"/>
        <v>0</v>
      </c>
      <c r="AD56" s="7" t="s">
        <v>73</v>
      </c>
      <c r="AE56" s="8" t="s">
        <v>66</v>
      </c>
      <c r="AF56" s="21" t="str">
        <f>MID(L50,7,1)</f>
        <v>0</v>
      </c>
      <c r="AG56" s="26" t="str">
        <f t="shared" si="71"/>
        <v>0</v>
      </c>
      <c r="AH56" s="7" t="s">
        <v>73</v>
      </c>
      <c r="AI56" s="8" t="s">
        <v>66</v>
      </c>
      <c r="AJ56" s="400"/>
      <c r="AK56" s="401"/>
      <c r="AN56" s="284"/>
      <c r="AO56" t="str">
        <f>H692&amp;I692&amp;J692&amp;K692&amp;L692</f>
        <v/>
      </c>
      <c r="AP56" t="str">
        <f t="shared" si="1"/>
        <v/>
      </c>
      <c r="AT56" s="53" t="s">
        <v>175</v>
      </c>
      <c r="AU56" s="54" t="s">
        <v>176</v>
      </c>
      <c r="AV56" s="53" t="s">
        <v>175</v>
      </c>
    </row>
    <row r="57" spans="1:48" ht="15" thickBot="1" x14ac:dyDescent="0.35">
      <c r="A57" s="270"/>
      <c r="B57" s="87" t="str">
        <f>IF(OR(LEFT(A57,7)="720G4IA",LEFT(A57,7)="7200442"),RIGHT(D574,1)&amp;E574&amp;F574&amp;G574&amp;H571&amp;I571&amp;J571&amp;K571&amp;L571&amp;M571,IF(OR(LEFT(A57,7)="720G4IB",LEFT(A57,7)="7200443"),RIGHT(D585,1)&amp;E585&amp;F585&amp;G585&amp;H582&amp;I582&amp;J582&amp;K582&amp;L582&amp;M582,RIGHT(D552,1)&amp;E552&amp;F552&amp;G552&amp;H549&amp;I549&amp;J549&amp;K549&amp;L549&amp;M549))</f>
        <v/>
      </c>
      <c r="C57" s="9" t="s">
        <v>1678</v>
      </c>
      <c r="D57" s="334" t="str">
        <f>D52</f>
        <v>07</v>
      </c>
      <c r="E57" s="334" t="str">
        <f t="shared" ref="E57:G57" si="76">E52</f>
        <v>20</v>
      </c>
      <c r="F57" s="334" t="str">
        <f t="shared" si="76"/>
        <v>G1</v>
      </c>
      <c r="G57" s="334" t="str">
        <f t="shared" si="76"/>
        <v>G5</v>
      </c>
      <c r="H57" s="10"/>
      <c r="I57" s="10"/>
      <c r="J57" s="10"/>
      <c r="K57" s="10"/>
      <c r="L57" s="10"/>
      <c r="M57" s="10"/>
      <c r="N57" s="11"/>
      <c r="P57" s="22" t="str">
        <f>MID(H50,8,1)</f>
        <v>0</v>
      </c>
      <c r="Q57" s="55" t="str">
        <f t="shared" si="66"/>
        <v>0</v>
      </c>
      <c r="R57" s="9" t="s">
        <v>74</v>
      </c>
      <c r="S57" s="11" t="s">
        <v>66</v>
      </c>
      <c r="T57" s="22" t="str">
        <f>MID(I50,8,1)</f>
        <v>0</v>
      </c>
      <c r="U57" s="55" t="str">
        <f t="shared" si="68"/>
        <v>0</v>
      </c>
      <c r="V57" s="9" t="s">
        <v>74</v>
      </c>
      <c r="W57" s="11" t="s">
        <v>66</v>
      </c>
      <c r="X57" s="22" t="str">
        <f>MID(J50,8,1)</f>
        <v>0</v>
      </c>
      <c r="Y57" s="55" t="str">
        <f t="shared" si="69"/>
        <v>0</v>
      </c>
      <c r="Z57" s="9" t="s">
        <v>74</v>
      </c>
      <c r="AA57" s="11" t="s">
        <v>66</v>
      </c>
      <c r="AB57" s="22" t="str">
        <f>MID(K50,8,1)</f>
        <v>0</v>
      </c>
      <c r="AC57" s="55" t="str">
        <f t="shared" si="70"/>
        <v>0</v>
      </c>
      <c r="AD57" s="9" t="s">
        <v>74</v>
      </c>
      <c r="AE57" s="11" t="s">
        <v>66</v>
      </c>
      <c r="AF57" s="22" t="str">
        <f>MID(L50,8,1)</f>
        <v>0</v>
      </c>
      <c r="AG57" s="55" t="str">
        <f t="shared" si="71"/>
        <v>0</v>
      </c>
      <c r="AH57" s="9" t="s">
        <v>74</v>
      </c>
      <c r="AI57" s="11" t="s">
        <v>66</v>
      </c>
      <c r="AJ57" s="402"/>
      <c r="AK57" s="404"/>
      <c r="AT57" s="53" t="s">
        <v>177</v>
      </c>
      <c r="AU57" s="54" t="s">
        <v>178</v>
      </c>
      <c r="AV57" s="53" t="s">
        <v>177</v>
      </c>
    </row>
    <row r="58" spans="1:48" ht="15" thickBot="1" x14ac:dyDescent="0.35">
      <c r="A58" s="270"/>
      <c r="B58" s="87" t="str">
        <f>IF(OR(LEFT(A58,7)="720G4IB",LEFT(A58,7)="7200443"),RIGHT(D585,1)&amp;E585&amp;F585&amp;G585&amp;H582&amp;I582&amp;J582&amp;K582&amp;L582&amp;M582,IF(OR(LEFT(A58,7)="720G4IC",LEFT(A58,7)="7200444"),RIGHT(D596,1)&amp;E596&amp;F596&amp;G596&amp;H593&amp;I593&amp;J593&amp;K593&amp;L593&amp;M593,RIGHT(D563,1)&amp;E563&amp;F563&amp;G563&amp;H560&amp;I560&amp;J560&amp;K560&amp;L560&amp;M560))</f>
        <v/>
      </c>
      <c r="C58" s="4"/>
      <c r="D58" s="5"/>
      <c r="E58" s="5"/>
      <c r="F58" s="5"/>
      <c r="G58" s="5"/>
      <c r="H58" s="5"/>
      <c r="I58" s="5"/>
      <c r="J58" s="5"/>
      <c r="K58" s="5" t="str">
        <f>IF(L60="","checksum","")</f>
        <v>checksum</v>
      </c>
      <c r="L58" s="5"/>
      <c r="M58" s="5" t="str">
        <f>IF(L60="","","checksum")</f>
        <v/>
      </c>
      <c r="N58" s="6"/>
      <c r="P58" s="392" t="s">
        <v>1270</v>
      </c>
      <c r="Q58" s="392"/>
      <c r="R58" s="392"/>
      <c r="S58" s="392"/>
      <c r="T58" s="392"/>
      <c r="U58" s="392"/>
      <c r="V58" s="392"/>
      <c r="W58" s="392"/>
      <c r="X58" s="392"/>
      <c r="Y58" s="392"/>
      <c r="Z58" s="392"/>
      <c r="AA58" s="392"/>
      <c r="AB58" s="392"/>
      <c r="AC58" s="392"/>
      <c r="AD58" s="392"/>
      <c r="AE58" s="392"/>
      <c r="AF58" s="392"/>
      <c r="AG58" s="392"/>
      <c r="AH58" s="392"/>
      <c r="AI58" s="392"/>
      <c r="AJ58" s="392"/>
      <c r="AK58" s="392"/>
      <c r="AL58" s="503" t="s">
        <v>1276</v>
      </c>
      <c r="AT58" s="53" t="s">
        <v>179</v>
      </c>
      <c r="AU58" s="54" t="s">
        <v>180</v>
      </c>
      <c r="AV58" s="53" t="s">
        <v>179</v>
      </c>
    </row>
    <row r="59" spans="1:48" ht="15" thickBot="1" x14ac:dyDescent="0.35">
      <c r="A59" s="270"/>
      <c r="B59" s="87" t="str">
        <f>IF(OR(LEFT(A59,7)="720G4IC",LEFT(A59,7)="7200444"),RIGHT(D596,1)&amp;E596&amp;F596&amp;G596&amp;H593&amp;I593&amp;J593&amp;K593&amp;L593&amp;M593,IF(OR(LEFT(A59,7)="720G4ID",LEFT(A59,7)="7200445"),RIGHT(D607,1)&amp;E607&amp;F607&amp;G607&amp;H604&amp;I604&amp;J604&amp;K604&amp;L604&amp;M604,RIGHT(D574,1)&amp;E574&amp;F574&amp;G574&amp;H571&amp;I571&amp;J571&amp;K571&amp;L571&amp;M571))</f>
        <v/>
      </c>
      <c r="C59" s="7"/>
      <c r="D59" s="393" t="s">
        <v>1269</v>
      </c>
      <c r="E59" s="393"/>
      <c r="F59" s="393"/>
      <c r="G59" s="393"/>
      <c r="H59" s="99" t="s">
        <v>44</v>
      </c>
      <c r="I59" s="99" t="s">
        <v>45</v>
      </c>
      <c r="J59" s="99" t="s">
        <v>46</v>
      </c>
      <c r="K59" s="99" t="s">
        <v>47</v>
      </c>
      <c r="L59" s="99" t="s">
        <v>48</v>
      </c>
      <c r="M59" s="99" t="s">
        <v>49</v>
      </c>
      <c r="N59" s="8"/>
      <c r="P59" s="394" t="s">
        <v>50</v>
      </c>
      <c r="Q59" s="395"/>
      <c r="R59" s="395"/>
      <c r="S59" s="396"/>
      <c r="T59" s="394" t="s">
        <v>51</v>
      </c>
      <c r="U59" s="395"/>
      <c r="V59" s="395"/>
      <c r="W59" s="396"/>
      <c r="X59" s="394" t="s">
        <v>52</v>
      </c>
      <c r="Y59" s="395"/>
      <c r="Z59" s="395"/>
      <c r="AA59" s="396"/>
      <c r="AB59" s="394" t="s">
        <v>53</v>
      </c>
      <c r="AC59" s="395"/>
      <c r="AD59" s="395"/>
      <c r="AE59" s="396"/>
      <c r="AF59" s="394" t="s">
        <v>97</v>
      </c>
      <c r="AG59" s="395"/>
      <c r="AH59" s="395"/>
      <c r="AI59" s="396"/>
      <c r="AJ59" s="394" t="s">
        <v>55</v>
      </c>
      <c r="AK59" s="396"/>
      <c r="AL59" s="504"/>
      <c r="AT59" s="53" t="s">
        <v>186</v>
      </c>
      <c r="AU59" s="54" t="s">
        <v>187</v>
      </c>
      <c r="AV59" s="53" t="s">
        <v>186</v>
      </c>
    </row>
    <row r="60" spans="1:48" ht="15" thickBot="1" x14ac:dyDescent="0.35">
      <c r="A60" s="270"/>
      <c r="B60" s="87" t="str">
        <f>IF(OR(LEFT(A60,7)="720G4ID",LEFT(A60,7)="7200445"),RIGHT(D607,1)&amp;E607&amp;F607&amp;G607&amp;H604&amp;I604&amp;J604&amp;K604&amp;L604&amp;M604,IF(OR(LEFT(A60,7)="720G4IE",LEFT(A60,7)="7200446"),RIGHT(D618,1)&amp;E618&amp;F618&amp;G618&amp;H615&amp;I615&amp;J615&amp;K615&amp;L615&amp;M615,RIGHT(D585,1)&amp;E585&amp;F585&amp;G585&amp;H582&amp;I582&amp;J582&amp;K582&amp;L582&amp;M582))</f>
        <v/>
      </c>
      <c r="C60" s="7" t="s">
        <v>56</v>
      </c>
      <c r="D60" s="12" t="s">
        <v>57</v>
      </c>
      <c r="E60" s="13" t="s">
        <v>130</v>
      </c>
      <c r="F60" s="13" t="s">
        <v>59</v>
      </c>
      <c r="G60" s="14" t="s">
        <v>227</v>
      </c>
      <c r="H60" s="316" t="str" cm="1">
        <f t="array" ref="H60">MID(INDEX($A$3:$A$70,IF(ISNA(MATCH("720G1G6*",$A$3:$A$70,0))=TRUE,MATCH("7200106*",$A$3:$A$70,0),MATCH("720G1G6*",$A$3:$A$70,0))),$AU$8,2)</f>
        <v>00</v>
      </c>
      <c r="I60" s="317" t="str" cm="1">
        <f t="array" ref="I60">MID(INDEX($A$3:$A$70,IF(ISNA(MATCH("720G1G6*",$A$3:$A$70,0))=TRUE,MATCH("7200106*",$A$3:$A$70,0),MATCH("720G1G6*",$A$3:$A$70,0))),$AV$8,2)</f>
        <v>00</v>
      </c>
      <c r="J60" s="317" t="str" cm="1">
        <f t="array" ref="J60">MID(INDEX($A$3:$A$70,IF(ISNA(MATCH("720G1G6*",$A$3:$A$70,0))=TRUE,MATCH("7200106*",$A$3:$A$70,0),MATCH("720G1G6*",$A$3:$A$70,0))),$AW$8,2)</f>
        <v>00</v>
      </c>
      <c r="K60" s="317" t="str" cm="1">
        <f t="array" ref="K60">MID(INDEX($A$3:$A$70,IF(ISNA(MATCH("720G1G6*",$A$3:$A$70,0))=TRUE,MATCH("7200106*",$A$3:$A$70,0),MATCH("720G1G6*",$A$3:$A$70,0))),$AX$8,2)</f>
        <v>2E</v>
      </c>
      <c r="L60" s="318" t="str" cm="1">
        <f t="array" ref="L60">MID(INDEX($A$3:$A$70,IF(ISNA(MATCH("720G1G6*",$A$3:$A$70,0))=TRUE,MATCH("7200106*",$A$3:$A$70,0),MATCH("720G1G6*",$A$3:$A$70,0))),$AY$8,2)</f>
        <v/>
      </c>
      <c r="M60" s="319" t="str" cm="1">
        <f t="array" ref="M60">MID(INDEX($A$3:$A$70,IF(ISNA(MATCH("720G1G6*",$A$3:$A$70,0))=TRUE,MATCH("7200106*",$A$3:$A$70,0),MATCH("720G1G6*",$A$3:$A$70,0))),$AZ$8,2)</f>
        <v/>
      </c>
      <c r="N60" s="8" t="s">
        <v>60</v>
      </c>
      <c r="P60" s="19" t="s">
        <v>60</v>
      </c>
      <c r="Q60" s="20" t="s">
        <v>61</v>
      </c>
      <c r="R60" t="s">
        <v>62</v>
      </c>
      <c r="S60" s="8"/>
      <c r="T60" s="19" t="s">
        <v>60</v>
      </c>
      <c r="U60" s="20" t="s">
        <v>61</v>
      </c>
      <c r="V60" t="s">
        <v>62</v>
      </c>
      <c r="W60" s="8"/>
      <c r="X60" s="19" t="s">
        <v>60</v>
      </c>
      <c r="Y60" s="20" t="s">
        <v>61</v>
      </c>
      <c r="Z60" t="s">
        <v>62</v>
      </c>
      <c r="AA60" s="8"/>
      <c r="AB60" s="19" t="s">
        <v>60</v>
      </c>
      <c r="AC60" s="20" t="s">
        <v>61</v>
      </c>
      <c r="AD60" t="s">
        <v>62</v>
      </c>
      <c r="AE60" s="8"/>
      <c r="AF60" s="19" t="s">
        <v>60</v>
      </c>
      <c r="AG60" s="20" t="s">
        <v>61</v>
      </c>
      <c r="AH60" t="s">
        <v>62</v>
      </c>
      <c r="AJ60" s="394" t="s">
        <v>63</v>
      </c>
      <c r="AK60" s="396"/>
      <c r="AL60" s="504"/>
      <c r="AT60" s="53" t="s">
        <v>188</v>
      </c>
      <c r="AU60" s="54" t="s">
        <v>189</v>
      </c>
      <c r="AV60" s="53" t="s">
        <v>188</v>
      </c>
    </row>
    <row r="61" spans="1:48" x14ac:dyDescent="0.3">
      <c r="A61" s="270"/>
      <c r="B61" s="87" t="str">
        <f>IF(OR(LEFT(A61,7)="720G4IE",LEFT(A61,7)="7200446"),RIGHT(D618,1)&amp;E618&amp;F618&amp;G618&amp;H615&amp;I615&amp;J615&amp;K615&amp;L615&amp;M615,IF(OR(LEFT(A61,7)="720G4IF",LEFT(A61,7)="7200447"),RIGHT(D629,1)&amp;E629&amp;F629&amp;G629&amp;H626&amp;I626&amp;J626&amp;K626&amp;L626&amp;M626,RIGHT(D596,1)&amp;E596&amp;F596&amp;G596&amp;H593&amp;I593&amp;J593&amp;K593&amp;L593&amp;M593))</f>
        <v/>
      </c>
      <c r="C61" s="7" t="s">
        <v>64</v>
      </c>
      <c r="D61" s="99" t="str">
        <f>HEX2BIN(D60,8)</f>
        <v>00000111</v>
      </c>
      <c r="E61" s="99" t="str">
        <f t="shared" ref="E61:J61" si="77">HEX2BIN(E60,8)</f>
        <v>00100000</v>
      </c>
      <c r="F61" s="99" t="str">
        <f t="shared" si="77"/>
        <v>00000001</v>
      </c>
      <c r="G61" s="99" t="str">
        <f t="shared" si="77"/>
        <v>00000110</v>
      </c>
      <c r="H61" s="99" t="str">
        <f t="shared" si="77"/>
        <v>00000000</v>
      </c>
      <c r="I61" s="99" t="str">
        <f t="shared" si="77"/>
        <v>00000000</v>
      </c>
      <c r="J61" s="99" t="str">
        <f t="shared" si="77"/>
        <v>00000000</v>
      </c>
      <c r="K61" s="99" t="str">
        <f>IF(L60="","",HEX2BIN(K60,8))</f>
        <v/>
      </c>
      <c r="L61" s="99" t="str">
        <f>IF(L60="","",HEX2BIN(L60,8))</f>
        <v/>
      </c>
      <c r="N61" s="8"/>
      <c r="P61" s="21" t="str">
        <f>MID(H61,1,1)</f>
        <v>0</v>
      </c>
      <c r="Q61" s="26" t="str">
        <f t="shared" ref="Q61:Q68" si="78">P61</f>
        <v>0</v>
      </c>
      <c r="R61" s="7" t="s">
        <v>65</v>
      </c>
      <c r="S61" s="8" t="s">
        <v>66</v>
      </c>
      <c r="T61" s="21" t="str">
        <f>MID(I61,1,1)</f>
        <v>0</v>
      </c>
      <c r="U61" s="26" t="str">
        <f>T61</f>
        <v>0</v>
      </c>
      <c r="V61" s="7" t="s">
        <v>65</v>
      </c>
      <c r="W61" s="8" t="s">
        <v>66</v>
      </c>
      <c r="X61" s="21" t="str">
        <f>MID(J61,1,1)</f>
        <v>0</v>
      </c>
      <c r="Y61" s="26" t="str">
        <f>X61</f>
        <v>0</v>
      </c>
      <c r="Z61" s="7" t="s">
        <v>65</v>
      </c>
      <c r="AA61" s="8" t="s">
        <v>66</v>
      </c>
      <c r="AB61" s="21" t="str">
        <f>MID(K61,1,1)</f>
        <v/>
      </c>
      <c r="AC61" s="26" t="str">
        <f>AB61</f>
        <v/>
      </c>
      <c r="AD61" s="7" t="s">
        <v>65</v>
      </c>
      <c r="AE61" s="8" t="s">
        <v>66</v>
      </c>
      <c r="AF61" s="21" t="str">
        <f>MID(L61,1,1)</f>
        <v/>
      </c>
      <c r="AG61" s="26" t="str">
        <f>AF61</f>
        <v/>
      </c>
      <c r="AH61" s="7" t="s">
        <v>65</v>
      </c>
      <c r="AI61" s="8" t="s">
        <v>66</v>
      </c>
      <c r="AJ61" s="400"/>
      <c r="AK61" s="401"/>
      <c r="AL61" s="504"/>
      <c r="AT61" s="53" t="s">
        <v>190</v>
      </c>
      <c r="AU61" s="54" t="s">
        <v>191</v>
      </c>
      <c r="AV61" s="53" t="s">
        <v>190</v>
      </c>
    </row>
    <row r="62" spans="1:48" x14ac:dyDescent="0.3">
      <c r="A62" s="270"/>
      <c r="B62" s="87" t="str">
        <f>IF(OR(LEFT(A62,7)="720G4IF",LEFT(A62,7)="7200447"),RIGHT(D629,1)&amp;E629&amp;F629&amp;G629&amp;H626&amp;I626&amp;J626&amp;K626&amp;L626&amp;M626,IF(OR(LEFT(A62,7)="720G4J0",LEFT(A62,7)="7200448"),RIGHT(D640,1)&amp;E640&amp;F640&amp;G640&amp;H637&amp;I637&amp;J637&amp;K637&amp;L637&amp;M637,RIGHT(D607,1)&amp;E607&amp;F607&amp;G607&amp;H604&amp;I604&amp;J604&amp;K604&amp;L604&amp;M604))</f>
        <v/>
      </c>
      <c r="C62" s="7" t="s">
        <v>67</v>
      </c>
      <c r="D62" s="99">
        <f>HEX2DEC(D60)</f>
        <v>7</v>
      </c>
      <c r="E62" s="99">
        <f t="shared" ref="E62:J62" si="79">HEX2DEC(E60)</f>
        <v>32</v>
      </c>
      <c r="F62" s="99">
        <f t="shared" si="79"/>
        <v>1</v>
      </c>
      <c r="G62" s="99">
        <f t="shared" si="79"/>
        <v>6</v>
      </c>
      <c r="H62" s="99">
        <f t="shared" si="79"/>
        <v>0</v>
      </c>
      <c r="I62" s="99">
        <f t="shared" si="79"/>
        <v>0</v>
      </c>
      <c r="J62" s="99">
        <f t="shared" si="79"/>
        <v>0</v>
      </c>
      <c r="K62" s="99">
        <f>IF(L60="",SUM(D62:J62),HEX2DEC(K60))</f>
        <v>46</v>
      </c>
      <c r="L62" s="99" t="str">
        <f>IF(L60="","",HEX2DEC(L60))</f>
        <v/>
      </c>
      <c r="M62" s="99" t="str">
        <f>IF(L60="","",SUM(D62:L62))</f>
        <v/>
      </c>
      <c r="N62" s="8"/>
      <c r="P62" s="21" t="str">
        <f>MID(H61,2,1)</f>
        <v>0</v>
      </c>
      <c r="Q62" s="26" t="str">
        <f t="shared" si="78"/>
        <v>0</v>
      </c>
      <c r="R62" s="7" t="s">
        <v>68</v>
      </c>
      <c r="S62" s="8" t="s">
        <v>66</v>
      </c>
      <c r="T62" s="21" t="str">
        <f>MID(I61,2,1)</f>
        <v>0</v>
      </c>
      <c r="U62" s="26" t="str">
        <f t="shared" ref="U62:U68" si="80">T62</f>
        <v>0</v>
      </c>
      <c r="V62" s="7" t="s">
        <v>68</v>
      </c>
      <c r="W62" s="8" t="s">
        <v>66</v>
      </c>
      <c r="X62" s="21" t="str">
        <f>MID(J61,2,1)</f>
        <v>0</v>
      </c>
      <c r="Y62" s="26" t="str">
        <f t="shared" ref="Y62:Y68" si="81">X62</f>
        <v>0</v>
      </c>
      <c r="Z62" s="7" t="s">
        <v>68</v>
      </c>
      <c r="AA62" s="8" t="s">
        <v>66</v>
      </c>
      <c r="AB62" s="21" t="str">
        <f>MID(K61,2,1)</f>
        <v/>
      </c>
      <c r="AC62" s="26" t="str">
        <f t="shared" ref="AC62:AC68" si="82">AB62</f>
        <v/>
      </c>
      <c r="AD62" s="7" t="s">
        <v>68</v>
      </c>
      <c r="AE62" s="8" t="s">
        <v>66</v>
      </c>
      <c r="AF62" s="21" t="str">
        <f>MID(L61,2,1)</f>
        <v/>
      </c>
      <c r="AG62" s="26" t="str">
        <f t="shared" ref="AG62:AG68" si="83">AF62</f>
        <v/>
      </c>
      <c r="AH62" s="7" t="s">
        <v>68</v>
      </c>
      <c r="AI62" s="8" t="s">
        <v>66</v>
      </c>
      <c r="AJ62" s="400"/>
      <c r="AK62" s="401"/>
      <c r="AL62" s="504"/>
      <c r="AT62" s="53" t="s">
        <v>192</v>
      </c>
      <c r="AU62" s="54" t="s">
        <v>193</v>
      </c>
      <c r="AV62" s="53" t="s">
        <v>192</v>
      </c>
    </row>
    <row r="63" spans="1:48" x14ac:dyDescent="0.3">
      <c r="A63" s="270"/>
      <c r="B63" s="87" t="str">
        <f>IF(OR(LEFT(A63,7)="720G4J0",LEFT(A63,7)="7200448"),RIGHT(D640,1)&amp;E640&amp;F640&amp;G640&amp;H637&amp;I637&amp;J637&amp;K637&amp;L637&amp;M637,IF(OR(LEFT(A63,7)="720G4J1",LEFT(A63,7)="7200449"),RIGHT(D651,1)&amp;E651&amp;F651&amp;G651&amp;H648&amp;I648&amp;J648&amp;K648&amp;L648&amp;M648,RIGHT(D618,1)&amp;E618&amp;F618&amp;G618&amp;H615&amp;I615&amp;J615&amp;K615&amp;L615&amp;M615))</f>
        <v/>
      </c>
      <c r="C63" s="7" t="s">
        <v>1678</v>
      </c>
      <c r="D63" s="333" t="str">
        <f>D60</f>
        <v>07</v>
      </c>
      <c r="E63" s="333" t="str">
        <f>E60</f>
        <v>20</v>
      </c>
      <c r="F63" s="99" t="str">
        <f>MID(INDEX($A$3:$A$70,IF(ISNA(MATCH("720G1G6*",$A$3:$A$70,0))=TRUE,MATCH("7200106*",$A$3:$A$70,0),MATCH("720G1G6*",$A$3:$A$70,0))),$AS$8,2)</f>
        <v>G1</v>
      </c>
      <c r="G63" s="99" t="str">
        <f>MID(INDEX($A$3:$A$70,IF(ISNA(MATCH("720G1G6*",$A$3:$A$70,0))=TRUE,MATCH("7200106*",$A$3:$A$70,0),MATCH("720G1G6*",$A$3:$A$70,0))),$AT$8,2)</f>
        <v>G6</v>
      </c>
      <c r="N63" s="8"/>
      <c r="P63" s="21" t="str">
        <f>MID(H61,3,1)</f>
        <v>0</v>
      </c>
      <c r="Q63" s="26" t="str">
        <f t="shared" si="78"/>
        <v>0</v>
      </c>
      <c r="R63" s="7" t="s">
        <v>69</v>
      </c>
      <c r="S63" s="8" t="s">
        <v>66</v>
      </c>
      <c r="T63" s="21" t="str">
        <f>MID(I61,3,1)</f>
        <v>0</v>
      </c>
      <c r="U63" s="26" t="str">
        <f t="shared" si="80"/>
        <v>0</v>
      </c>
      <c r="V63" s="7" t="s">
        <v>69</v>
      </c>
      <c r="W63" s="8" t="s">
        <v>66</v>
      </c>
      <c r="X63" s="21" t="str">
        <f>MID(J61,3,1)</f>
        <v>0</v>
      </c>
      <c r="Y63" s="26" t="str">
        <f t="shared" si="81"/>
        <v>0</v>
      </c>
      <c r="Z63" s="7" t="s">
        <v>69</v>
      </c>
      <c r="AA63" s="8" t="s">
        <v>66</v>
      </c>
      <c r="AB63" s="21" t="str">
        <f>MID(K61,3,1)</f>
        <v/>
      </c>
      <c r="AC63" s="26" t="str">
        <f t="shared" si="82"/>
        <v/>
      </c>
      <c r="AD63" s="7" t="s">
        <v>69</v>
      </c>
      <c r="AE63" s="8" t="s">
        <v>66</v>
      </c>
      <c r="AF63" s="21" t="str">
        <f>MID(L61,3,1)</f>
        <v/>
      </c>
      <c r="AG63" s="26" t="str">
        <f t="shared" si="83"/>
        <v/>
      </c>
      <c r="AH63" s="7" t="s">
        <v>69</v>
      </c>
      <c r="AI63" s="8" t="s">
        <v>66</v>
      </c>
      <c r="AJ63" s="400"/>
      <c r="AK63" s="401"/>
      <c r="AL63" s="504"/>
      <c r="AT63" s="53" t="s">
        <v>194</v>
      </c>
      <c r="AU63" s="54" t="s">
        <v>195</v>
      </c>
      <c r="AV63" s="53" t="s">
        <v>194</v>
      </c>
    </row>
    <row r="64" spans="1:48" ht="15" thickBot="1" x14ac:dyDescent="0.35">
      <c r="A64" s="270"/>
      <c r="B64" s="87" t="str">
        <f>IF(OR(LEFT(A64,7)="720G4J1",LEFT(A64,7)="7200449"),RIGHT(D651,1)&amp;E651&amp;F651&amp;G651&amp;H648&amp;I648&amp;J648&amp;K648&amp;L648&amp;M648,IF(OR(LEFT(A64,7)="720G4J2",LEFT(A64,7)="7200450"),RIGHT(D662,1)&amp;E662&amp;F662&amp;G662&amp;H659&amp;I659&amp;J659&amp;K659&amp;L659&amp;M659,RIGHT(D629,1)&amp;E629&amp;F629&amp;G629&amp;H626&amp;I626&amp;J626&amp;K626&amp;L626&amp;M626))</f>
        <v/>
      </c>
      <c r="C64" s="7"/>
      <c r="N64" s="8"/>
      <c r="P64" s="21" t="str">
        <f>MID(H61,4,1)</f>
        <v>0</v>
      </c>
      <c r="Q64" s="26" t="str">
        <f t="shared" si="78"/>
        <v>0</v>
      </c>
      <c r="R64" s="7" t="s">
        <v>70</v>
      </c>
      <c r="S64" s="8" t="s">
        <v>66</v>
      </c>
      <c r="T64" s="21" t="str">
        <f>MID(I61,4,1)</f>
        <v>0</v>
      </c>
      <c r="U64" s="26" t="str">
        <f t="shared" si="80"/>
        <v>0</v>
      </c>
      <c r="V64" s="7" t="s">
        <v>70</v>
      </c>
      <c r="W64" s="8" t="s">
        <v>66</v>
      </c>
      <c r="X64" s="21" t="str">
        <f>MID(J61,4,1)</f>
        <v>0</v>
      </c>
      <c r="Y64" s="26" t="str">
        <f t="shared" si="81"/>
        <v>0</v>
      </c>
      <c r="Z64" s="7" t="s">
        <v>70</v>
      </c>
      <c r="AA64" s="8" t="s">
        <v>66</v>
      </c>
      <c r="AB64" s="21" t="str">
        <f>MID(K61,4,1)</f>
        <v/>
      </c>
      <c r="AC64" s="26" t="str">
        <f t="shared" si="82"/>
        <v/>
      </c>
      <c r="AD64" s="7" t="s">
        <v>70</v>
      </c>
      <c r="AE64" s="8" t="s">
        <v>66</v>
      </c>
      <c r="AF64" s="21" t="str">
        <f>MID(L61,4,1)</f>
        <v/>
      </c>
      <c r="AG64" s="26" t="str">
        <f t="shared" si="83"/>
        <v/>
      </c>
      <c r="AH64" s="7" t="s">
        <v>70</v>
      </c>
      <c r="AI64" s="8" t="s">
        <v>66</v>
      </c>
      <c r="AJ64" s="400"/>
      <c r="AK64" s="401"/>
      <c r="AL64" s="504"/>
      <c r="AT64" s="53" t="s">
        <v>196</v>
      </c>
      <c r="AU64" s="54" t="s">
        <v>197</v>
      </c>
      <c r="AV64" s="53" t="s">
        <v>196</v>
      </c>
    </row>
    <row r="65" spans="1:48" ht="15" thickBot="1" x14ac:dyDescent="0.35">
      <c r="A65" s="270"/>
      <c r="B65" s="87" t="str">
        <f>IF(OR(LEFT(A65,7)="720G4J2",LEFT(A65,7)="7200450"),RIGHT(D662,1)&amp;E662&amp;F662&amp;G662&amp;H659&amp;I659&amp;J659&amp;K659&amp;L659&amp;M659,IF(OR(LEFT(A65,7)="720G4J3",LEFT(A65,7)="7200451"),RIGHT(D673,1)&amp;E673&amp;F673&amp;G673&amp;H670&amp;I670&amp;J670&amp;K670&amp;L670&amp;M670,RIGHT(D640,1)&amp;E640&amp;F640&amp;G640&amp;H637&amp;I637&amp;J637&amp;K637&amp;L637&amp;M637))</f>
        <v/>
      </c>
      <c r="C65" s="7" t="s">
        <v>56</v>
      </c>
      <c r="D65" s="15" t="str">
        <f t="shared" ref="D65:G65" si="84">D60</f>
        <v>07</v>
      </c>
      <c r="E65" s="16" t="str">
        <f t="shared" si="84"/>
        <v>20</v>
      </c>
      <c r="F65" s="16" t="str">
        <f t="shared" si="84"/>
        <v>01</v>
      </c>
      <c r="G65" s="17" t="str">
        <f t="shared" si="84"/>
        <v>06</v>
      </c>
      <c r="H65" s="23" t="str">
        <f>BIN2HEX(H66,2)</f>
        <v>00</v>
      </c>
      <c r="I65" s="25" t="str">
        <f t="shared" ref="I65:J65" si="85">BIN2HEX(I66,2)</f>
        <v>00</v>
      </c>
      <c r="J65" s="24" t="str">
        <f t="shared" si="85"/>
        <v>00</v>
      </c>
      <c r="K65" s="2" t="str">
        <f>IF(L60="",IF(LEN(K66)&gt;2,MID(K66,2,2),K66),BIN2HEX(K66,2))</f>
        <v>2E</v>
      </c>
      <c r="L65" s="18" t="str">
        <f>IF(L60="","",BIN2HEX(L66,2))</f>
        <v/>
      </c>
      <c r="M65" s="3" t="str">
        <f>IF(L60="","",IF(LEN(M66)&gt;2,MID(M66,2,2),M66))</f>
        <v/>
      </c>
      <c r="N65" s="8" t="s">
        <v>61</v>
      </c>
      <c r="P65" s="21" t="str">
        <f>MID(H61,5,1)</f>
        <v>0</v>
      </c>
      <c r="Q65" s="26" t="str">
        <f t="shared" si="78"/>
        <v>0</v>
      </c>
      <c r="R65" s="7" t="s">
        <v>71</v>
      </c>
      <c r="S65" s="8" t="s">
        <v>66</v>
      </c>
      <c r="T65" s="21" t="str">
        <f>MID(I61,5,1)</f>
        <v>0</v>
      </c>
      <c r="U65" s="26" t="str">
        <f t="shared" si="80"/>
        <v>0</v>
      </c>
      <c r="V65" s="7" t="s">
        <v>71</v>
      </c>
      <c r="W65" s="8" t="s">
        <v>66</v>
      </c>
      <c r="X65" s="21" t="str">
        <f>MID(J61,5,1)</f>
        <v>0</v>
      </c>
      <c r="Y65" s="26" t="str">
        <f t="shared" si="81"/>
        <v>0</v>
      </c>
      <c r="Z65" s="7" t="s">
        <v>71</v>
      </c>
      <c r="AA65" s="8" t="s">
        <v>66</v>
      </c>
      <c r="AB65" s="21" t="str">
        <f>MID(K61,5,1)</f>
        <v/>
      </c>
      <c r="AC65" s="26" t="str">
        <f t="shared" si="82"/>
        <v/>
      </c>
      <c r="AD65" s="7" t="s">
        <v>71</v>
      </c>
      <c r="AE65" s="8" t="s">
        <v>66</v>
      </c>
      <c r="AF65" s="21" t="str">
        <f>MID(L61,5,1)</f>
        <v/>
      </c>
      <c r="AG65" s="26" t="str">
        <f t="shared" si="83"/>
        <v/>
      </c>
      <c r="AH65" s="7" t="s">
        <v>71</v>
      </c>
      <c r="AI65" s="8" t="s">
        <v>66</v>
      </c>
      <c r="AJ65" s="400"/>
      <c r="AK65" s="401"/>
      <c r="AL65" s="504"/>
      <c r="AT65" s="53" t="s">
        <v>198</v>
      </c>
      <c r="AU65" s="54" t="s">
        <v>199</v>
      </c>
      <c r="AV65" s="53" t="s">
        <v>198</v>
      </c>
    </row>
    <row r="66" spans="1:48" x14ac:dyDescent="0.3">
      <c r="A66" s="270"/>
      <c r="B66" s="87" t="str">
        <f>IF(OR(LEFT(A66,7)="720G4J3",LEFT(A66,7)="7200451"),RIGHT(D673,1)&amp;E673&amp;F673&amp;G673&amp;H670&amp;I670&amp;J670&amp;K670&amp;L670&amp;M670,IF(OR(LEFT(A66,7)="720G4J4",LEFT(A66,7)="7200452"),RIGHT(D684,1)&amp;E684&amp;F684&amp;G684&amp;H681&amp;I681&amp;J681&amp;K681&amp;L681&amp;M681,RIGHT(D651,1)&amp;E651&amp;F651&amp;G651&amp;H648&amp;I648&amp;J648&amp;K648&amp;L648&amp;M648))</f>
        <v/>
      </c>
      <c r="C66" s="7" t="s">
        <v>64</v>
      </c>
      <c r="D66" s="99" t="str">
        <f>HEX2BIN(D65,8)</f>
        <v>00000111</v>
      </c>
      <c r="E66" s="99" t="str">
        <f t="shared" ref="E66:G66" si="86">HEX2BIN(E65,8)</f>
        <v>00100000</v>
      </c>
      <c r="F66" s="99" t="str">
        <f t="shared" si="86"/>
        <v>00000001</v>
      </c>
      <c r="G66" s="99" t="str">
        <f t="shared" si="86"/>
        <v>00000110</v>
      </c>
      <c r="H66" s="29" t="str">
        <f>Q61&amp;Q62&amp;Q63&amp;Q64&amp;Q65&amp;Q66&amp;Q67&amp;Q68</f>
        <v>00000000</v>
      </c>
      <c r="I66" s="99" t="str">
        <f>U61&amp;U62&amp;U63&amp;U64&amp;U65&amp;U66&amp;U67&amp;U68</f>
        <v>00000000</v>
      </c>
      <c r="J66" s="29" t="str">
        <f>Y61&amp;Y62&amp;Y63&amp;Y64&amp;Y65&amp;Y66&amp;Y67&amp;Y68</f>
        <v>00000000</v>
      </c>
      <c r="K66" s="29" t="str">
        <f>IF(L60="",DEC2HEX(K67),AC61&amp;AC62&amp;AC63&amp;AC64&amp;AC65&amp;AC66&amp;AC67&amp;AC68)</f>
        <v>2E</v>
      </c>
      <c r="L66" s="99" t="str">
        <f>IF(L60="","",AG61&amp;AG62&amp;AG63&amp;AG64&amp;AG65&amp;AG66&amp;AG67&amp;AG68)</f>
        <v/>
      </c>
      <c r="M66" s="99" t="str">
        <f>IF(L60="","",DEC2HEX(M67))</f>
        <v/>
      </c>
      <c r="N66" s="8"/>
      <c r="P66" s="21" t="str">
        <f>MID(H61,6,1)</f>
        <v>0</v>
      </c>
      <c r="Q66" s="26" t="str">
        <f t="shared" si="78"/>
        <v>0</v>
      </c>
      <c r="R66" s="7" t="s">
        <v>72</v>
      </c>
      <c r="S66" s="8" t="s">
        <v>66</v>
      </c>
      <c r="T66" s="21" t="str">
        <f>MID(I61,6,1)</f>
        <v>0</v>
      </c>
      <c r="U66" s="26" t="str">
        <f t="shared" si="80"/>
        <v>0</v>
      </c>
      <c r="V66" s="7" t="s">
        <v>72</v>
      </c>
      <c r="W66" s="8" t="s">
        <v>66</v>
      </c>
      <c r="X66" s="21" t="str">
        <f>MID(J61,6,1)</f>
        <v>0</v>
      </c>
      <c r="Y66" s="26" t="str">
        <f t="shared" si="81"/>
        <v>0</v>
      </c>
      <c r="Z66" s="7" t="s">
        <v>72</v>
      </c>
      <c r="AA66" s="8" t="s">
        <v>66</v>
      </c>
      <c r="AB66" s="21" t="str">
        <f>MID(K61,6,1)</f>
        <v/>
      </c>
      <c r="AC66" s="26" t="str">
        <f t="shared" si="82"/>
        <v/>
      </c>
      <c r="AD66" s="7" t="s">
        <v>72</v>
      </c>
      <c r="AE66" s="8" t="s">
        <v>66</v>
      </c>
      <c r="AF66" s="21" t="str">
        <f>MID(L61,6,1)</f>
        <v/>
      </c>
      <c r="AG66" s="26" t="str">
        <f t="shared" si="83"/>
        <v/>
      </c>
      <c r="AH66" s="7" t="s">
        <v>72</v>
      </c>
      <c r="AI66" s="8" t="s">
        <v>66</v>
      </c>
      <c r="AJ66" s="400"/>
      <c r="AK66" s="401"/>
      <c r="AL66" s="504"/>
      <c r="AT66" s="53" t="s">
        <v>200</v>
      </c>
      <c r="AU66" s="54" t="s">
        <v>201</v>
      </c>
      <c r="AV66" s="53" t="s">
        <v>200</v>
      </c>
    </row>
    <row r="67" spans="1:48" x14ac:dyDescent="0.3">
      <c r="A67" s="270"/>
      <c r="B67" s="87" t="str">
        <f>IF(OR(LEFT(A67,7)="720G4J4",LEFT(A67,7)="7200452"),RIGHT(D684,1)&amp;E684&amp;F684&amp;G684&amp;H681&amp;I681&amp;J681&amp;K681&amp;L681&amp;M681,IF(OR(LEFT(A67,7)="720G4J5",LEFT(A67,7)="7200453"),RIGHT(D695,1)&amp;E695&amp;F695&amp;G695&amp;H692&amp;I692&amp;J692&amp;K692&amp;L692,RIGHT(D662,1)&amp;E662&amp;F662&amp;G662&amp;H659&amp;I659&amp;J659&amp;K659&amp;L659&amp;M659))</f>
        <v/>
      </c>
      <c r="C67" s="7" t="s">
        <v>67</v>
      </c>
      <c r="D67" s="99">
        <f>HEX2DEC(D65)</f>
        <v>7</v>
      </c>
      <c r="E67" s="99">
        <f t="shared" ref="E67:J67" si="87">HEX2DEC(E65)</f>
        <v>32</v>
      </c>
      <c r="F67" s="99">
        <f t="shared" si="87"/>
        <v>1</v>
      </c>
      <c r="G67" s="99">
        <f t="shared" si="87"/>
        <v>6</v>
      </c>
      <c r="H67" s="99">
        <f t="shared" si="87"/>
        <v>0</v>
      </c>
      <c r="I67" s="99">
        <f t="shared" si="87"/>
        <v>0</v>
      </c>
      <c r="J67" s="99">
        <f t="shared" si="87"/>
        <v>0</v>
      </c>
      <c r="K67" s="99">
        <f>IF(L60="",SUM(D67:J67),HEX2DEC(K65))</f>
        <v>46</v>
      </c>
      <c r="L67" s="99" t="str">
        <f>IF(L60="","",HEX2DEC(L65))</f>
        <v/>
      </c>
      <c r="M67" s="99" t="str">
        <f>IF(L60="","",SUM(D67:L67))</f>
        <v/>
      </c>
      <c r="N67" s="8"/>
      <c r="P67" s="21" t="str">
        <f>MID(H61,7,1)</f>
        <v>0</v>
      </c>
      <c r="Q67" s="26" t="str">
        <f t="shared" si="78"/>
        <v>0</v>
      </c>
      <c r="R67" s="7" t="s">
        <v>73</v>
      </c>
      <c r="S67" s="8" t="s">
        <v>66</v>
      </c>
      <c r="T67" s="21" t="str">
        <f>MID(I61,7,1)</f>
        <v>0</v>
      </c>
      <c r="U67" s="26" t="str">
        <f t="shared" si="80"/>
        <v>0</v>
      </c>
      <c r="V67" s="7" t="s">
        <v>73</v>
      </c>
      <c r="W67" s="8" t="s">
        <v>66</v>
      </c>
      <c r="X67" s="21" t="str">
        <f>MID(J61,7,1)</f>
        <v>0</v>
      </c>
      <c r="Y67" s="26" t="str">
        <f t="shared" si="81"/>
        <v>0</v>
      </c>
      <c r="Z67" s="7" t="s">
        <v>73</v>
      </c>
      <c r="AA67" s="8" t="s">
        <v>66</v>
      </c>
      <c r="AB67" s="21" t="str">
        <f>MID(K61,7,1)</f>
        <v/>
      </c>
      <c r="AC67" s="26" t="str">
        <f t="shared" si="82"/>
        <v/>
      </c>
      <c r="AD67" s="7" t="s">
        <v>73</v>
      </c>
      <c r="AE67" s="8" t="s">
        <v>66</v>
      </c>
      <c r="AF67" s="21" t="str">
        <f>MID(L61,7,1)</f>
        <v/>
      </c>
      <c r="AG67" s="26" t="str">
        <f t="shared" si="83"/>
        <v/>
      </c>
      <c r="AH67" s="7" t="s">
        <v>73</v>
      </c>
      <c r="AI67" s="8" t="s">
        <v>66</v>
      </c>
      <c r="AJ67" s="400"/>
      <c r="AK67" s="401"/>
      <c r="AL67" s="504"/>
      <c r="AT67" s="53" t="s">
        <v>202</v>
      </c>
      <c r="AU67" s="54" t="s">
        <v>203</v>
      </c>
      <c r="AV67" s="53" t="s">
        <v>202</v>
      </c>
    </row>
    <row r="68" spans="1:48" ht="15" thickBot="1" x14ac:dyDescent="0.35">
      <c r="A68" s="270"/>
      <c r="B68" s="87" t="str">
        <f>IF(OR(LEFT(A68,7)="720G4J5",LEFT(A68,7)="7200453"),RIGHT(D695,1)&amp;E695&amp;F695&amp;G695&amp;H692&amp;I692&amp;J692&amp;K692&amp;L692,IF(OR(LEFT(A68,7)="720G4J3",LEFT(A68,7)="7200451"),RIGHT(D673,1)&amp;E673&amp;F673&amp;G673&amp;H670&amp;I670&amp;J670&amp;K670&amp;L670&amp;M670,""))</f>
        <v/>
      </c>
      <c r="C68" s="9" t="s">
        <v>1678</v>
      </c>
      <c r="D68" s="334" t="str">
        <f>D63</f>
        <v>07</v>
      </c>
      <c r="E68" s="334" t="str">
        <f t="shared" ref="E68:G68" si="88">E63</f>
        <v>20</v>
      </c>
      <c r="F68" s="334" t="str">
        <f t="shared" si="88"/>
        <v>G1</v>
      </c>
      <c r="G68" s="334" t="str">
        <f t="shared" si="88"/>
        <v>G6</v>
      </c>
      <c r="H68" s="10"/>
      <c r="I68" s="10"/>
      <c r="J68" s="10"/>
      <c r="K68" s="10"/>
      <c r="L68" s="10"/>
      <c r="M68" s="10"/>
      <c r="N68" s="11"/>
      <c r="P68" s="22" t="str">
        <f>MID(H61,8,1)</f>
        <v>0</v>
      </c>
      <c r="Q68" s="55" t="str">
        <f t="shared" si="78"/>
        <v>0</v>
      </c>
      <c r="R68" s="9" t="s">
        <v>74</v>
      </c>
      <c r="S68" s="11" t="s">
        <v>66</v>
      </c>
      <c r="T68" s="22" t="str">
        <f>MID(I61,8,1)</f>
        <v>0</v>
      </c>
      <c r="U68" s="55" t="str">
        <f t="shared" si="80"/>
        <v>0</v>
      </c>
      <c r="V68" s="9" t="s">
        <v>74</v>
      </c>
      <c r="W68" s="11" t="s">
        <v>66</v>
      </c>
      <c r="X68" s="22" t="str">
        <f>MID(J61,8,1)</f>
        <v>0</v>
      </c>
      <c r="Y68" s="55" t="str">
        <f t="shared" si="81"/>
        <v>0</v>
      </c>
      <c r="Z68" s="9" t="s">
        <v>74</v>
      </c>
      <c r="AA68" s="11" t="s">
        <v>66</v>
      </c>
      <c r="AB68" s="22" t="str">
        <f>MID(K61,8,1)</f>
        <v/>
      </c>
      <c r="AC68" s="55" t="str">
        <f t="shared" si="82"/>
        <v/>
      </c>
      <c r="AD68" s="9" t="s">
        <v>74</v>
      </c>
      <c r="AE68" s="11" t="s">
        <v>66</v>
      </c>
      <c r="AF68" s="22" t="str">
        <f>MID(L61,8,1)</f>
        <v/>
      </c>
      <c r="AG68" s="55" t="str">
        <f t="shared" si="83"/>
        <v/>
      </c>
      <c r="AH68" s="9" t="s">
        <v>74</v>
      </c>
      <c r="AI68" s="11" t="s">
        <v>66</v>
      </c>
      <c r="AJ68" s="402"/>
      <c r="AK68" s="404"/>
      <c r="AL68" s="504"/>
      <c r="AT68" s="53" t="s">
        <v>204</v>
      </c>
      <c r="AU68" s="54" t="s">
        <v>205</v>
      </c>
      <c r="AV68" s="53" t="s">
        <v>204</v>
      </c>
    </row>
    <row r="69" spans="1:48" ht="15" thickBot="1" x14ac:dyDescent="0.35">
      <c r="A69" s="270"/>
      <c r="B69" s="87" t="str">
        <f>IF(OR(LEFT(A69,7)="720G4J4",LEFT(A69,7)="7200452"),RIGHT(D684,1)&amp;E684&amp;F684&amp;G684&amp;H681&amp;I681&amp;J681&amp;K681&amp;L681&amp;M681,"")</f>
        <v/>
      </c>
      <c r="C69" s="4"/>
      <c r="D69" s="5"/>
      <c r="E69" s="5"/>
      <c r="F69" s="5"/>
      <c r="G69" s="5"/>
      <c r="H69" s="5"/>
      <c r="I69" s="5"/>
      <c r="J69" s="5" t="str">
        <f>IF(K71="","checksum","")</f>
        <v>checksum</v>
      </c>
      <c r="K69" s="5"/>
      <c r="L69" s="5"/>
      <c r="M69" s="5" t="str">
        <f>IF(K71="","","checksum")</f>
        <v/>
      </c>
      <c r="N69" s="6"/>
      <c r="P69" s="392" t="s">
        <v>1272</v>
      </c>
      <c r="Q69" s="392"/>
      <c r="R69" s="392"/>
      <c r="S69" s="392"/>
      <c r="T69" s="392"/>
      <c r="U69" s="392"/>
      <c r="V69" s="392"/>
      <c r="W69" s="392"/>
      <c r="X69" s="392"/>
      <c r="Y69" s="392"/>
      <c r="Z69" s="392"/>
      <c r="AA69" s="392"/>
      <c r="AB69" s="392"/>
      <c r="AC69" s="392"/>
      <c r="AD69" s="392"/>
      <c r="AE69" s="392"/>
      <c r="AF69" s="392"/>
      <c r="AG69" s="392"/>
      <c r="AH69" s="392"/>
      <c r="AI69" s="392"/>
      <c r="AJ69" s="392"/>
      <c r="AK69" s="392"/>
      <c r="AL69" s="505"/>
      <c r="AM69" s="507" t="s">
        <v>1275</v>
      </c>
      <c r="AT69" s="53" t="s">
        <v>206</v>
      </c>
      <c r="AU69" s="54" t="s">
        <v>207</v>
      </c>
      <c r="AV69" s="53" t="s">
        <v>206</v>
      </c>
    </row>
    <row r="70" spans="1:48" ht="15" thickBot="1" x14ac:dyDescent="0.35">
      <c r="A70" s="270"/>
      <c r="B70" s="87" t="str">
        <f>IF(OR(LEFT(A70,7)="720G4J5",LEFT(A70,7)="7200453"),RIGHT(D695,1)&amp;E695&amp;F695&amp;G695&amp;H692&amp;I692&amp;J692&amp;K692&amp;L692,"")</f>
        <v/>
      </c>
      <c r="C70" s="7"/>
      <c r="D70" s="393" t="s">
        <v>1271</v>
      </c>
      <c r="E70" s="393"/>
      <c r="F70" s="393"/>
      <c r="G70" s="393"/>
      <c r="H70" s="99" t="s">
        <v>44</v>
      </c>
      <c r="I70" s="99" t="s">
        <v>45</v>
      </c>
      <c r="J70" s="99" t="s">
        <v>46</v>
      </c>
      <c r="K70" s="99" t="s">
        <v>47</v>
      </c>
      <c r="L70" s="99" t="s">
        <v>48</v>
      </c>
      <c r="M70" s="99" t="s">
        <v>49</v>
      </c>
      <c r="N70" s="8"/>
      <c r="P70" s="394" t="s">
        <v>50</v>
      </c>
      <c r="Q70" s="395"/>
      <c r="R70" s="395"/>
      <c r="S70" s="396"/>
      <c r="T70" s="394" t="s">
        <v>51</v>
      </c>
      <c r="U70" s="395"/>
      <c r="V70" s="395"/>
      <c r="W70" s="396"/>
      <c r="X70" s="394" t="s">
        <v>52</v>
      </c>
      <c r="Y70" s="395"/>
      <c r="Z70" s="395"/>
      <c r="AA70" s="396"/>
      <c r="AB70" s="394" t="s">
        <v>53</v>
      </c>
      <c r="AC70" s="395"/>
      <c r="AD70" s="395"/>
      <c r="AE70" s="396"/>
      <c r="AF70" s="394" t="s">
        <v>97</v>
      </c>
      <c r="AG70" s="395"/>
      <c r="AH70" s="395"/>
      <c r="AI70" s="396"/>
      <c r="AJ70" s="394" t="s">
        <v>55</v>
      </c>
      <c r="AK70" s="396"/>
      <c r="AL70" s="505"/>
      <c r="AM70" s="508"/>
      <c r="AT70" s="53" t="s">
        <v>213</v>
      </c>
      <c r="AU70" s="54" t="s">
        <v>214</v>
      </c>
      <c r="AV70" s="53" t="s">
        <v>213</v>
      </c>
    </row>
    <row r="71" spans="1:48" ht="15" thickBot="1" x14ac:dyDescent="0.35">
      <c r="A71" s="35"/>
      <c r="C71" s="7" t="s">
        <v>56</v>
      </c>
      <c r="D71" s="12" t="s">
        <v>57</v>
      </c>
      <c r="E71" s="13" t="s">
        <v>130</v>
      </c>
      <c r="F71" s="13" t="s">
        <v>59</v>
      </c>
      <c r="G71" s="14" t="s">
        <v>57</v>
      </c>
      <c r="H71" s="316" t="str" cm="1">
        <f t="array" ref="H71">_xlfn.IFNA(MID(INDEX($A$3:$A$70,IF(ISNA(MATCH("720G1G7*",$A$3:$A$70,0))=TRUE,MATCH("7200107*",$A$3:$A$70,0),MATCH("720G1G7*",$A$3:$A$70,0))),$AU$8,2),"")</f>
        <v/>
      </c>
      <c r="I71" s="317" t="str" cm="1">
        <f t="array" ref="I71">_xlfn.IFNA(MID(INDEX($A$3:$A$70,IF(ISNA(MATCH("720G1G7*",$A$3:$A$70,0))=TRUE,MATCH("7200107*",$A$3:$A$70,0),MATCH("720G1G7*",$A$3:$A$70,0))),$AV$8,2),"")</f>
        <v/>
      </c>
      <c r="J71" s="317" t="str" cm="1">
        <f t="array" ref="J71">_xlfn.IFNA(MID(INDEX($A$3:$A$70,IF(ISNA(MATCH("720G1G7*",$A$3:$A$70,0))=TRUE,MATCH("7200107*",$A$3:$A$70,0),MATCH("720G1G7*",$A$3:$A$70,0))),$AW$8,2),"")</f>
        <v/>
      </c>
      <c r="K71" s="317" t="str" cm="1">
        <f t="array" ref="K71">_xlfn.IFNA(MID(INDEX($A$3:$A$70,IF(ISNA(MATCH("720G1G7*",$A$3:$A$70,0))=TRUE,MATCH("7200107*",$A$3:$A$70,0),MATCH("720G1G7*",$A$3:$A$70,0))),$AX$8,2),"")</f>
        <v/>
      </c>
      <c r="L71" s="318" t="str" cm="1">
        <f t="array" ref="L71">_xlfn.IFNA(MID(INDEX($A$3:$A$70,IF(ISNA(MATCH("720G1G7*",$A$3:$A$70,0))=TRUE,MATCH("7200107*",$A$3:$A$70,0),MATCH("720G1G7*",$A$3:$A$70,0))),$AY$8,2),"")</f>
        <v/>
      </c>
      <c r="M71" s="319" t="str" cm="1">
        <f t="array" ref="M71">_xlfn.IFNA(MID(INDEX($A$3:$A$70,IF(ISNA(MATCH("720G1G7*",$A$3:$A$70,0))=TRUE,MATCH("7200107*",$A$3:$A$70,0),MATCH("720G1G7*",$A$3:$A$70,0))),$AZ$8,2),"")</f>
        <v/>
      </c>
      <c r="N71" s="8" t="s">
        <v>60</v>
      </c>
      <c r="P71" s="19" t="s">
        <v>60</v>
      </c>
      <c r="Q71" s="20" t="s">
        <v>61</v>
      </c>
      <c r="R71" t="s">
        <v>62</v>
      </c>
      <c r="S71" s="8"/>
      <c r="T71" s="19" t="s">
        <v>60</v>
      </c>
      <c r="U71" s="20" t="s">
        <v>61</v>
      </c>
      <c r="V71" t="s">
        <v>62</v>
      </c>
      <c r="W71" s="8"/>
      <c r="X71" s="19" t="s">
        <v>60</v>
      </c>
      <c r="Y71" s="20" t="s">
        <v>61</v>
      </c>
      <c r="Z71" t="s">
        <v>62</v>
      </c>
      <c r="AA71" s="8"/>
      <c r="AB71" s="19" t="s">
        <v>60</v>
      </c>
      <c r="AC71" s="20" t="s">
        <v>61</v>
      </c>
      <c r="AD71" t="s">
        <v>62</v>
      </c>
      <c r="AE71" s="8"/>
      <c r="AF71" s="19" t="s">
        <v>60</v>
      </c>
      <c r="AG71" s="20" t="s">
        <v>61</v>
      </c>
      <c r="AH71" t="s">
        <v>62</v>
      </c>
      <c r="AJ71" s="394" t="s">
        <v>63</v>
      </c>
      <c r="AK71" s="396"/>
      <c r="AL71" s="505"/>
      <c r="AM71" s="508"/>
      <c r="AT71" s="53" t="s">
        <v>215</v>
      </c>
      <c r="AU71" s="54" t="s">
        <v>216</v>
      </c>
      <c r="AV71" s="53" t="s">
        <v>215</v>
      </c>
    </row>
    <row r="72" spans="1:48" x14ac:dyDescent="0.3">
      <c r="A72" s="35"/>
      <c r="C72" s="7" t="s">
        <v>64</v>
      </c>
      <c r="D72" s="99" t="str">
        <f>HEX2BIN(D71,8)</f>
        <v>00000111</v>
      </c>
      <c r="E72" s="99" t="str">
        <f t="shared" ref="E72:I72" si="89">HEX2BIN(E71,8)</f>
        <v>00100000</v>
      </c>
      <c r="F72" s="99" t="str">
        <f t="shared" si="89"/>
        <v>00000001</v>
      </c>
      <c r="G72" s="99" t="str">
        <f t="shared" si="89"/>
        <v>00000111</v>
      </c>
      <c r="H72" s="99" t="str">
        <f t="shared" si="89"/>
        <v>00000000</v>
      </c>
      <c r="I72" s="99" t="str">
        <f t="shared" si="89"/>
        <v>00000000</v>
      </c>
      <c r="J72" s="99" t="str">
        <f>IF(K71="","",HEX2BIN(J71,8))</f>
        <v/>
      </c>
      <c r="K72" s="99" t="str">
        <f>IF(K71="","",HEX2BIN(K71,8))</f>
        <v/>
      </c>
      <c r="L72" s="99" t="str">
        <f>IF(K71="","",HEX2BIN(L71,8))</f>
        <v/>
      </c>
      <c r="N72" s="8"/>
      <c r="P72" s="21" t="str">
        <f>MID(H72,1,1)</f>
        <v>0</v>
      </c>
      <c r="Q72" s="26" t="str">
        <f t="shared" ref="Q72:Q79" si="90">P72</f>
        <v>0</v>
      </c>
      <c r="R72" s="7" t="s">
        <v>65</v>
      </c>
      <c r="S72" s="8" t="s">
        <v>66</v>
      </c>
      <c r="T72" s="21" t="str">
        <f>MID(I72,1,1)</f>
        <v>0</v>
      </c>
      <c r="U72" s="26" t="str">
        <f>T72</f>
        <v>0</v>
      </c>
      <c r="V72" s="7" t="s">
        <v>65</v>
      </c>
      <c r="W72" s="8" t="s">
        <v>66</v>
      </c>
      <c r="X72" s="21" t="str">
        <f>MID(J72,1,1)</f>
        <v/>
      </c>
      <c r="Y72" s="26" t="str">
        <f>X72</f>
        <v/>
      </c>
      <c r="Z72" s="7" t="s">
        <v>65</v>
      </c>
      <c r="AA72" s="8" t="s">
        <v>66</v>
      </c>
      <c r="AB72" s="21" t="str">
        <f>MID(K72,1,1)</f>
        <v/>
      </c>
      <c r="AC72" s="26" t="str">
        <f>AB72</f>
        <v/>
      </c>
      <c r="AD72" s="7" t="s">
        <v>65</v>
      </c>
      <c r="AE72" s="8" t="s">
        <v>66</v>
      </c>
      <c r="AF72" s="21" t="str">
        <f>MID(L72,1,1)</f>
        <v/>
      </c>
      <c r="AG72" s="26" t="str">
        <f>AF72</f>
        <v/>
      </c>
      <c r="AH72" s="7" t="s">
        <v>65</v>
      </c>
      <c r="AI72" s="8" t="s">
        <v>66</v>
      </c>
      <c r="AJ72" s="400"/>
      <c r="AK72" s="401"/>
      <c r="AL72" s="505"/>
      <c r="AM72" s="508"/>
    </row>
    <row r="73" spans="1:48" x14ac:dyDescent="0.3">
      <c r="A73" s="35"/>
      <c r="C73" s="7" t="s">
        <v>67</v>
      </c>
      <c r="D73" s="99">
        <f>HEX2DEC(D71)</f>
        <v>7</v>
      </c>
      <c r="E73" s="99">
        <f t="shared" ref="E73:I73" si="91">HEX2DEC(E71)</f>
        <v>32</v>
      </c>
      <c r="F73" s="99">
        <f t="shared" si="91"/>
        <v>1</v>
      </c>
      <c r="G73" s="99">
        <f t="shared" si="91"/>
        <v>7</v>
      </c>
      <c r="H73" s="99">
        <f t="shared" si="91"/>
        <v>0</v>
      </c>
      <c r="I73" s="99">
        <f t="shared" si="91"/>
        <v>0</v>
      </c>
      <c r="J73" s="99">
        <f>IF(K71="",SUM(D73:I73),HEX2DEC(J71))</f>
        <v>47</v>
      </c>
      <c r="K73" s="99" t="str">
        <f>IF(K71="","",HEX2DEC(K71))</f>
        <v/>
      </c>
      <c r="L73" s="99" t="str">
        <f>IF(K71="","",HEX2DEC(L71))</f>
        <v/>
      </c>
      <c r="M73" s="99" t="str">
        <f>IF(K71="","",SUM(D73:L73))</f>
        <v/>
      </c>
      <c r="N73" s="8"/>
      <c r="P73" s="21" t="str">
        <f>MID(H72,2,1)</f>
        <v>0</v>
      </c>
      <c r="Q73" s="26" t="str">
        <f t="shared" si="90"/>
        <v>0</v>
      </c>
      <c r="R73" s="7" t="s">
        <v>68</v>
      </c>
      <c r="S73" s="8" t="s">
        <v>66</v>
      </c>
      <c r="T73" s="21" t="str">
        <f>MID(I72,2,1)</f>
        <v>0</v>
      </c>
      <c r="U73" s="26" t="str">
        <f t="shared" ref="U73:U79" si="92">T73</f>
        <v>0</v>
      </c>
      <c r="V73" s="7" t="s">
        <v>68</v>
      </c>
      <c r="W73" s="8" t="s">
        <v>66</v>
      </c>
      <c r="X73" s="21" t="str">
        <f>MID(J72,2,1)</f>
        <v/>
      </c>
      <c r="Y73" s="26" t="str">
        <f t="shared" ref="Y73:Y79" si="93">X73</f>
        <v/>
      </c>
      <c r="Z73" s="7" t="s">
        <v>68</v>
      </c>
      <c r="AA73" s="8" t="s">
        <v>66</v>
      </c>
      <c r="AB73" s="21" t="str">
        <f>MID(K72,2,1)</f>
        <v/>
      </c>
      <c r="AC73" s="26" t="str">
        <f t="shared" ref="AC73:AC79" si="94">AB73</f>
        <v/>
      </c>
      <c r="AD73" s="7" t="s">
        <v>68</v>
      </c>
      <c r="AE73" s="8" t="s">
        <v>66</v>
      </c>
      <c r="AF73" s="21" t="str">
        <f>MID(L72,2,1)</f>
        <v/>
      </c>
      <c r="AG73" s="26" t="str">
        <f t="shared" ref="AG73:AG79" si="95">AF73</f>
        <v/>
      </c>
      <c r="AH73" s="7" t="s">
        <v>68</v>
      </c>
      <c r="AI73" s="8" t="s">
        <v>66</v>
      </c>
      <c r="AJ73" s="400"/>
      <c r="AK73" s="401"/>
      <c r="AL73" s="505"/>
      <c r="AM73" s="508"/>
    </row>
    <row r="74" spans="1:48" x14ac:dyDescent="0.3">
      <c r="A74" s="35"/>
      <c r="C74" s="7" t="s">
        <v>1678</v>
      </c>
      <c r="D74" s="333" t="str">
        <f>D71</f>
        <v>07</v>
      </c>
      <c r="E74" s="333" t="str">
        <f>E71</f>
        <v>20</v>
      </c>
      <c r="F74" s="99" t="str">
        <f>_xlfn.IFNA(MID(INDEX($A$3:$A$70,IF(ISNA(MATCH("720G1G7*",$A$3:$A$70,0))=TRUE,MATCH("7200107*",$A$3:$A$70,0),MATCH("720G1G7*",$A$3:$A$70,0))),$AS$8,2),"")</f>
        <v/>
      </c>
      <c r="G74" s="99" t="str">
        <f>_xlfn.IFNA(MID(INDEX($A$3:$A$70,IF(ISNA(MATCH("720G1G7*",$A$3:$A$70,0))=TRUE,MATCH("7200107*",$A$3:$A$70,0),MATCH("720G1G7*",$A$3:$A$70,0))),$AT$8,2),"")</f>
        <v/>
      </c>
      <c r="N74" s="8"/>
      <c r="P74" s="21" t="str">
        <f>MID(H72,3,1)</f>
        <v>0</v>
      </c>
      <c r="Q74" s="26" t="str">
        <f t="shared" si="90"/>
        <v>0</v>
      </c>
      <c r="R74" s="7" t="s">
        <v>69</v>
      </c>
      <c r="S74" s="8" t="s">
        <v>66</v>
      </c>
      <c r="T74" s="21" t="str">
        <f>MID(I72,3,1)</f>
        <v>0</v>
      </c>
      <c r="U74" s="26" t="str">
        <f t="shared" si="92"/>
        <v>0</v>
      </c>
      <c r="V74" s="7" t="s">
        <v>69</v>
      </c>
      <c r="W74" s="8" t="s">
        <v>66</v>
      </c>
      <c r="X74" s="21" t="str">
        <f>MID(J72,3,1)</f>
        <v/>
      </c>
      <c r="Y74" s="26" t="str">
        <f t="shared" si="93"/>
        <v/>
      </c>
      <c r="Z74" s="7" t="s">
        <v>69</v>
      </c>
      <c r="AA74" s="8" t="s">
        <v>66</v>
      </c>
      <c r="AB74" s="21" t="str">
        <f>MID(K72,3,1)</f>
        <v/>
      </c>
      <c r="AC74" s="26" t="str">
        <f t="shared" si="94"/>
        <v/>
      </c>
      <c r="AD74" s="7" t="s">
        <v>69</v>
      </c>
      <c r="AE74" s="8" t="s">
        <v>66</v>
      </c>
      <c r="AF74" s="21" t="str">
        <f>MID(L72,3,1)</f>
        <v/>
      </c>
      <c r="AG74" s="26" t="str">
        <f t="shared" si="95"/>
        <v/>
      </c>
      <c r="AH74" s="7" t="s">
        <v>69</v>
      </c>
      <c r="AI74" s="8" t="s">
        <v>66</v>
      </c>
      <c r="AJ74" s="400"/>
      <c r="AK74" s="401"/>
      <c r="AL74" s="505"/>
      <c r="AM74" s="508"/>
    </row>
    <row r="75" spans="1:48" ht="15" thickBot="1" x14ac:dyDescent="0.35">
      <c r="A75" s="35"/>
      <c r="C75" s="7"/>
      <c r="N75" s="8"/>
      <c r="P75" s="21" t="str">
        <f>MID(H72,4,1)</f>
        <v>0</v>
      </c>
      <c r="Q75" s="26" t="str">
        <f t="shared" si="90"/>
        <v>0</v>
      </c>
      <c r="R75" s="7" t="s">
        <v>70</v>
      </c>
      <c r="S75" s="8" t="s">
        <v>66</v>
      </c>
      <c r="T75" s="21" t="str">
        <f>MID(I72,4,1)</f>
        <v>0</v>
      </c>
      <c r="U75" s="26" t="str">
        <f t="shared" si="92"/>
        <v>0</v>
      </c>
      <c r="V75" s="7" t="s">
        <v>70</v>
      </c>
      <c r="W75" s="8" t="s">
        <v>66</v>
      </c>
      <c r="X75" s="21" t="str">
        <f>MID(J72,4,1)</f>
        <v/>
      </c>
      <c r="Y75" s="26" t="str">
        <f t="shared" si="93"/>
        <v/>
      </c>
      <c r="Z75" s="7" t="s">
        <v>70</v>
      </c>
      <c r="AA75" s="8" t="s">
        <v>66</v>
      </c>
      <c r="AB75" s="21" t="str">
        <f>MID(K72,4,1)</f>
        <v/>
      </c>
      <c r="AC75" s="26" t="str">
        <f t="shared" si="94"/>
        <v/>
      </c>
      <c r="AD75" s="7" t="s">
        <v>70</v>
      </c>
      <c r="AE75" s="8" t="s">
        <v>66</v>
      </c>
      <c r="AF75" s="21" t="str">
        <f>MID(L72,4,1)</f>
        <v/>
      </c>
      <c r="AG75" s="26" t="str">
        <f t="shared" si="95"/>
        <v/>
      </c>
      <c r="AH75" s="7" t="s">
        <v>70</v>
      </c>
      <c r="AI75" s="8" t="s">
        <v>66</v>
      </c>
      <c r="AJ75" s="400"/>
      <c r="AK75" s="401"/>
      <c r="AL75" s="505"/>
      <c r="AM75" s="508"/>
    </row>
    <row r="76" spans="1:48" ht="15" thickBot="1" x14ac:dyDescent="0.35">
      <c r="A76" s="35"/>
      <c r="C76" s="7" t="s">
        <v>56</v>
      </c>
      <c r="D76" s="15" t="str">
        <f t="shared" ref="D76:G76" si="96">D71</f>
        <v>07</v>
      </c>
      <c r="E76" s="16" t="str">
        <f t="shared" si="96"/>
        <v>20</v>
      </c>
      <c r="F76" s="16" t="str">
        <f t="shared" si="96"/>
        <v>01</v>
      </c>
      <c r="G76" s="17" t="str">
        <f t="shared" si="96"/>
        <v>07</v>
      </c>
      <c r="H76" s="23" t="str">
        <f>IF(L60="","",BIN2HEX(H77,2))</f>
        <v/>
      </c>
      <c r="I76" s="25" t="str">
        <f>IF(L60="","",BIN2HEX(I77,2))</f>
        <v/>
      </c>
      <c r="J76" s="24" t="str">
        <f>IF(L60="","",IF(K71="",IF(LEN(J77)&gt;2,MID(J77,2,2),J77),BIN2HEX(J77,2)))</f>
        <v/>
      </c>
      <c r="K76" s="2" t="str">
        <f>IF(K71="","",BIN2HEX(K77,2))</f>
        <v/>
      </c>
      <c r="L76" s="18" t="str">
        <f>IF(K71="","",BIN2HEX(L77,2))</f>
        <v/>
      </c>
      <c r="M76" s="3" t="str">
        <f>IF(K71="","",IF(LEN(M77)&gt;2,MID(M77,2,2),M77))</f>
        <v/>
      </c>
      <c r="N76" s="8" t="s">
        <v>61</v>
      </c>
      <c r="P76" s="21" t="str">
        <f>MID(H72,5,1)</f>
        <v>0</v>
      </c>
      <c r="Q76" s="26" t="str">
        <f t="shared" si="90"/>
        <v>0</v>
      </c>
      <c r="R76" s="7" t="s">
        <v>71</v>
      </c>
      <c r="S76" s="8" t="s">
        <v>66</v>
      </c>
      <c r="T76" s="21" t="str">
        <f>MID(I72,5,1)</f>
        <v>0</v>
      </c>
      <c r="U76" s="26" t="str">
        <f t="shared" si="92"/>
        <v>0</v>
      </c>
      <c r="V76" s="7" t="s">
        <v>71</v>
      </c>
      <c r="W76" s="8" t="s">
        <v>66</v>
      </c>
      <c r="X76" s="21" t="str">
        <f>MID(J72,5,1)</f>
        <v/>
      </c>
      <c r="Y76" s="26" t="str">
        <f t="shared" si="93"/>
        <v/>
      </c>
      <c r="Z76" s="7" t="s">
        <v>71</v>
      </c>
      <c r="AA76" s="8" t="s">
        <v>66</v>
      </c>
      <c r="AB76" s="21" t="str">
        <f>MID(K72,5,1)</f>
        <v/>
      </c>
      <c r="AC76" s="26" t="str">
        <f t="shared" si="94"/>
        <v/>
      </c>
      <c r="AD76" s="7" t="s">
        <v>71</v>
      </c>
      <c r="AE76" s="8" t="s">
        <v>66</v>
      </c>
      <c r="AF76" s="21" t="str">
        <f>MID(L72,5,1)</f>
        <v/>
      </c>
      <c r="AG76" s="26" t="str">
        <f t="shared" si="95"/>
        <v/>
      </c>
      <c r="AH76" s="7" t="s">
        <v>71</v>
      </c>
      <c r="AI76" s="8" t="s">
        <v>66</v>
      </c>
      <c r="AJ76" s="400"/>
      <c r="AK76" s="401"/>
      <c r="AL76" s="505"/>
      <c r="AM76" s="508"/>
    </row>
    <row r="77" spans="1:48" x14ac:dyDescent="0.3">
      <c r="A77" s="35"/>
      <c r="C77" s="7" t="s">
        <v>64</v>
      </c>
      <c r="D77" s="99" t="str">
        <f>HEX2BIN(D76,8)</f>
        <v>00000111</v>
      </c>
      <c r="E77" s="99" t="str">
        <f t="shared" ref="E77:G77" si="97">HEX2BIN(E76,8)</f>
        <v>00100000</v>
      </c>
      <c r="F77" s="99" t="str">
        <f t="shared" si="97"/>
        <v>00000001</v>
      </c>
      <c r="G77" s="99" t="str">
        <f t="shared" si="97"/>
        <v>00000111</v>
      </c>
      <c r="H77" s="29" t="str">
        <f>Q72&amp;Q73&amp;Q74&amp;Q75&amp;Q76&amp;Q77&amp;Q78&amp;Q79</f>
        <v>00000000</v>
      </c>
      <c r="I77" s="99" t="str">
        <f>U72&amp;U73&amp;U74&amp;U75&amp;U76&amp;U77&amp;U78&amp;U79</f>
        <v>00000000</v>
      </c>
      <c r="J77" s="29" t="str">
        <f>IF(K71="",DEC2HEX(J78),Y72&amp;Y73&amp;Y74&amp;Y75&amp;Y76&amp;Y77&amp;Y78&amp;Y79)</f>
        <v>2F</v>
      </c>
      <c r="K77" s="29" t="str">
        <f>IF(K71="","",AC72&amp;AC73&amp;AC74&amp;AC75&amp;AC76&amp;AC77&amp;AC78&amp;AC79)</f>
        <v/>
      </c>
      <c r="L77" s="99" t="str">
        <f>IF(K71="","",AG72&amp;AG73&amp;AG74&amp;AG75&amp;AG76&amp;AG77&amp;AG78&amp;AG79)</f>
        <v/>
      </c>
      <c r="M77" s="99" t="str">
        <f>IF(K71="","",DEC2HEX(M78))</f>
        <v/>
      </c>
      <c r="N77" s="8"/>
      <c r="P77" s="21" t="str">
        <f>MID(H72,6,1)</f>
        <v>0</v>
      </c>
      <c r="Q77" s="26" t="str">
        <f t="shared" si="90"/>
        <v>0</v>
      </c>
      <c r="R77" s="7" t="s">
        <v>72</v>
      </c>
      <c r="S77" s="8" t="s">
        <v>66</v>
      </c>
      <c r="T77" s="21" t="str">
        <f>MID(I72,6,1)</f>
        <v>0</v>
      </c>
      <c r="U77" s="26" t="str">
        <f t="shared" si="92"/>
        <v>0</v>
      </c>
      <c r="V77" s="7" t="s">
        <v>72</v>
      </c>
      <c r="W77" s="8" t="s">
        <v>66</v>
      </c>
      <c r="X77" s="21" t="str">
        <f>MID(J72,6,1)</f>
        <v/>
      </c>
      <c r="Y77" s="26" t="str">
        <f t="shared" si="93"/>
        <v/>
      </c>
      <c r="Z77" s="7" t="s">
        <v>72</v>
      </c>
      <c r="AA77" s="8" t="s">
        <v>66</v>
      </c>
      <c r="AB77" s="21" t="str">
        <f>MID(K72,6,1)</f>
        <v/>
      </c>
      <c r="AC77" s="26" t="str">
        <f t="shared" si="94"/>
        <v/>
      </c>
      <c r="AD77" s="7" t="s">
        <v>72</v>
      </c>
      <c r="AE77" s="8" t="s">
        <v>66</v>
      </c>
      <c r="AF77" s="21" t="str">
        <f>MID(L72,6,1)</f>
        <v/>
      </c>
      <c r="AG77" s="26" t="str">
        <f t="shared" si="95"/>
        <v/>
      </c>
      <c r="AH77" s="7" t="s">
        <v>72</v>
      </c>
      <c r="AI77" s="8" t="s">
        <v>66</v>
      </c>
      <c r="AJ77" s="400"/>
      <c r="AK77" s="401"/>
      <c r="AL77" s="505"/>
      <c r="AM77" s="508"/>
    </row>
    <row r="78" spans="1:48" x14ac:dyDescent="0.3">
      <c r="A78" s="35"/>
      <c r="C78" s="7" t="s">
        <v>67</v>
      </c>
      <c r="D78" s="99">
        <f>HEX2DEC(D76)</f>
        <v>7</v>
      </c>
      <c r="E78" s="99">
        <f t="shared" ref="E78:I78" si="98">HEX2DEC(E76)</f>
        <v>32</v>
      </c>
      <c r="F78" s="99">
        <f t="shared" si="98"/>
        <v>1</v>
      </c>
      <c r="G78" s="99">
        <f t="shared" si="98"/>
        <v>7</v>
      </c>
      <c r="H78" s="99">
        <f t="shared" si="98"/>
        <v>0</v>
      </c>
      <c r="I78" s="99">
        <f t="shared" si="98"/>
        <v>0</v>
      </c>
      <c r="J78" s="99">
        <f>IF(K71="",SUM(D78:I78),HEX2DEC(J76))</f>
        <v>47</v>
      </c>
      <c r="K78" s="99" t="str">
        <f>IF(K71="","",HEX2DEC(K76))</f>
        <v/>
      </c>
      <c r="L78" s="99" t="str">
        <f>IF(K71="","",HEX2DEC(L76))</f>
        <v/>
      </c>
      <c r="M78" s="99" t="str">
        <f>IF(K71="","",SUM(D78:L78))</f>
        <v/>
      </c>
      <c r="N78" s="8"/>
      <c r="P78" s="21" t="str">
        <f>MID(H72,7,1)</f>
        <v>0</v>
      </c>
      <c r="Q78" s="26" t="str">
        <f t="shared" si="90"/>
        <v>0</v>
      </c>
      <c r="R78" s="7" t="s">
        <v>73</v>
      </c>
      <c r="S78" s="8" t="s">
        <v>66</v>
      </c>
      <c r="T78" s="21" t="str">
        <f>MID(I72,7,1)</f>
        <v>0</v>
      </c>
      <c r="U78" s="26" t="str">
        <f t="shared" si="92"/>
        <v>0</v>
      </c>
      <c r="V78" s="7" t="s">
        <v>73</v>
      </c>
      <c r="W78" s="8" t="s">
        <v>66</v>
      </c>
      <c r="X78" s="21" t="str">
        <f>MID(J72,7,1)</f>
        <v/>
      </c>
      <c r="Y78" s="26" t="str">
        <f t="shared" si="93"/>
        <v/>
      </c>
      <c r="Z78" s="7" t="s">
        <v>73</v>
      </c>
      <c r="AA78" s="8" t="s">
        <v>66</v>
      </c>
      <c r="AB78" s="21" t="str">
        <f>MID(K72,7,1)</f>
        <v/>
      </c>
      <c r="AC78" s="26" t="str">
        <f t="shared" si="94"/>
        <v/>
      </c>
      <c r="AD78" s="7" t="s">
        <v>73</v>
      </c>
      <c r="AE78" s="8" t="s">
        <v>66</v>
      </c>
      <c r="AF78" s="21" t="str">
        <f>MID(L72,7,1)</f>
        <v/>
      </c>
      <c r="AG78" s="26" t="str">
        <f t="shared" si="95"/>
        <v/>
      </c>
      <c r="AH78" s="7" t="s">
        <v>73</v>
      </c>
      <c r="AI78" s="8" t="s">
        <v>66</v>
      </c>
      <c r="AJ78" s="400"/>
      <c r="AK78" s="401"/>
      <c r="AL78" s="505"/>
      <c r="AM78" s="508"/>
    </row>
    <row r="79" spans="1:48" ht="15" thickBot="1" x14ac:dyDescent="0.35">
      <c r="A79" s="35"/>
      <c r="C79" s="9" t="s">
        <v>1678</v>
      </c>
      <c r="D79" s="334" t="str">
        <f>D74</f>
        <v>07</v>
      </c>
      <c r="E79" s="334" t="str">
        <f t="shared" ref="E79:G79" si="99">E74</f>
        <v>20</v>
      </c>
      <c r="F79" s="334" t="str">
        <f t="shared" si="99"/>
        <v/>
      </c>
      <c r="G79" s="334" t="str">
        <f t="shared" si="99"/>
        <v/>
      </c>
      <c r="H79" s="10"/>
      <c r="I79" s="10"/>
      <c r="J79" s="10"/>
      <c r="K79" s="10"/>
      <c r="L79" s="10"/>
      <c r="M79" s="10"/>
      <c r="N79" s="11"/>
      <c r="P79" s="22" t="str">
        <f>MID(H72,8,1)</f>
        <v>0</v>
      </c>
      <c r="Q79" s="55" t="str">
        <f t="shared" si="90"/>
        <v>0</v>
      </c>
      <c r="R79" s="9" t="s">
        <v>74</v>
      </c>
      <c r="S79" s="11" t="s">
        <v>66</v>
      </c>
      <c r="T79" s="22" t="str">
        <f>MID(I72,8,1)</f>
        <v>0</v>
      </c>
      <c r="U79" s="55" t="str">
        <f t="shared" si="92"/>
        <v>0</v>
      </c>
      <c r="V79" s="9" t="s">
        <v>74</v>
      </c>
      <c r="W79" s="11" t="s">
        <v>66</v>
      </c>
      <c r="X79" s="22" t="str">
        <f>MID(J72,8,1)</f>
        <v/>
      </c>
      <c r="Y79" s="55" t="str">
        <f t="shared" si="93"/>
        <v/>
      </c>
      <c r="Z79" s="9" t="s">
        <v>74</v>
      </c>
      <c r="AA79" s="11" t="s">
        <v>66</v>
      </c>
      <c r="AB79" s="22" t="str">
        <f>MID(K72,8,1)</f>
        <v/>
      </c>
      <c r="AC79" s="55" t="str">
        <f t="shared" si="94"/>
        <v/>
      </c>
      <c r="AD79" s="9" t="s">
        <v>74</v>
      </c>
      <c r="AE79" s="11" t="s">
        <v>66</v>
      </c>
      <c r="AF79" s="22" t="str">
        <f>MID(L72,8,1)</f>
        <v/>
      </c>
      <c r="AG79" s="55" t="str">
        <f t="shared" si="95"/>
        <v/>
      </c>
      <c r="AH79" s="9" t="s">
        <v>74</v>
      </c>
      <c r="AI79" s="11" t="s">
        <v>66</v>
      </c>
      <c r="AJ79" s="402"/>
      <c r="AK79" s="404"/>
      <c r="AL79" s="506"/>
      <c r="AM79" s="508"/>
    </row>
    <row r="80" spans="1:48" ht="15" thickBot="1" x14ac:dyDescent="0.35">
      <c r="A80" s="35"/>
      <c r="C80" s="4"/>
      <c r="D80" s="5"/>
      <c r="E80" s="5"/>
      <c r="F80" s="5"/>
      <c r="G80" s="5"/>
      <c r="H80" s="5"/>
      <c r="I80" s="5"/>
      <c r="J80" s="5"/>
      <c r="K80" s="5"/>
      <c r="L80" s="5"/>
      <c r="M80" s="5" t="s">
        <v>41</v>
      </c>
      <c r="N80" s="6"/>
      <c r="P80" s="392" t="s">
        <v>1274</v>
      </c>
      <c r="Q80" s="392"/>
      <c r="R80" s="392"/>
      <c r="S80" s="392"/>
      <c r="T80" s="392"/>
      <c r="U80" s="392"/>
      <c r="V80" s="392"/>
      <c r="W80" s="392"/>
      <c r="X80" s="392"/>
      <c r="Y80" s="392"/>
      <c r="Z80" s="392"/>
      <c r="AA80" s="392"/>
      <c r="AB80" s="392"/>
      <c r="AC80" s="392"/>
      <c r="AD80" s="392"/>
      <c r="AE80" s="392"/>
      <c r="AF80" s="392"/>
      <c r="AG80" s="392"/>
      <c r="AH80" s="392"/>
      <c r="AI80" s="392"/>
      <c r="AJ80" s="392"/>
      <c r="AK80" s="392"/>
      <c r="AM80" s="508"/>
    </row>
    <row r="81" spans="1:39" ht="15" thickBot="1" x14ac:dyDescent="0.35">
      <c r="A81" s="35"/>
      <c r="C81" s="7"/>
      <c r="D81" s="393" t="s">
        <v>1273</v>
      </c>
      <c r="E81" s="393"/>
      <c r="F81" s="393"/>
      <c r="G81" s="393"/>
      <c r="H81" s="99" t="s">
        <v>44</v>
      </c>
      <c r="I81" s="99" t="s">
        <v>45</v>
      </c>
      <c r="J81" s="99" t="s">
        <v>46</v>
      </c>
      <c r="K81" s="99" t="s">
        <v>47</v>
      </c>
      <c r="L81" s="99" t="s">
        <v>48</v>
      </c>
      <c r="M81" s="99" t="s">
        <v>49</v>
      </c>
      <c r="N81" s="8"/>
      <c r="P81" s="394" t="s">
        <v>50</v>
      </c>
      <c r="Q81" s="395"/>
      <c r="R81" s="395"/>
      <c r="S81" s="396"/>
      <c r="T81" s="394" t="s">
        <v>51</v>
      </c>
      <c r="U81" s="395"/>
      <c r="V81" s="395"/>
      <c r="W81" s="396"/>
      <c r="X81" s="394" t="s">
        <v>52</v>
      </c>
      <c r="Y81" s="395"/>
      <c r="Z81" s="395"/>
      <c r="AA81" s="396"/>
      <c r="AB81" s="394" t="s">
        <v>53</v>
      </c>
      <c r="AC81" s="395"/>
      <c r="AD81" s="395"/>
      <c r="AE81" s="396"/>
      <c r="AF81" s="394" t="s">
        <v>97</v>
      </c>
      <c r="AG81" s="395"/>
      <c r="AH81" s="395"/>
      <c r="AI81" s="396"/>
      <c r="AJ81" s="394" t="s">
        <v>55</v>
      </c>
      <c r="AK81" s="396"/>
      <c r="AM81" s="508"/>
    </row>
    <row r="82" spans="1:39" ht="15" thickBot="1" x14ac:dyDescent="0.35">
      <c r="A82" s="35"/>
      <c r="C82" s="7" t="s">
        <v>56</v>
      </c>
      <c r="D82" s="12" t="s">
        <v>57</v>
      </c>
      <c r="E82" s="13" t="s">
        <v>130</v>
      </c>
      <c r="F82" s="13" t="s">
        <v>59</v>
      </c>
      <c r="G82" s="14" t="s">
        <v>231</v>
      </c>
      <c r="H82" s="316" t="str" cm="1">
        <f t="array" ref="H82">_xlfn.IFNA(MID(INDEX($A$3:$A$70,IF(ISNA(MATCH("720G1G8*",$A$3:$A$70,0))=TRUE,MATCH("7200108*",$A$3:$A$70,0),MATCH("720G1G8*",$A$3:$A$70,0))),$AU$8,2),"")</f>
        <v/>
      </c>
      <c r="I82" s="317" t="str" cm="1">
        <f t="array" ref="I82">_xlfn.IFNA(MID(INDEX($A$3:$A$70,IF(ISNA(MATCH("720G1G8*",$A$3:$A$70,0))=TRUE,MATCH("7200108*",$A$3:$A$70,0),MATCH("720G1G8*",$A$3:$A$70,0))),$AV$8,2),"")</f>
        <v/>
      </c>
      <c r="J82" s="317" t="str" cm="1">
        <f t="array" ref="J82">_xlfn.IFNA(MID(INDEX($A$3:$A$70,IF(ISNA(MATCH("720G1G8*",$A$3:$A$70,0))=TRUE,MATCH("7200108*",$A$3:$A$70,0),MATCH("720G1G8*",$A$3:$A$70,0))),$AW$8,2),"")</f>
        <v/>
      </c>
      <c r="K82" s="317" t="str" cm="1">
        <f t="array" ref="K82">_xlfn.IFNA(MID(INDEX($A$3:$A$70,IF(ISNA(MATCH("720G1G8*",$A$3:$A$70,0))=TRUE,MATCH("7200108*",$A$3:$A$70,0),MATCH("720G1G8*",$A$3:$A$70,0))),$AX$8,2),"")</f>
        <v/>
      </c>
      <c r="L82" s="318" t="str" cm="1">
        <f t="array" ref="L82">_xlfn.IFNA(MID(INDEX($A$3:$A$70,IF(ISNA(MATCH("720G1G8*",$A$3:$A$70,0))=TRUE,MATCH("7200108*",$A$3:$A$70,0),MATCH("720G1G8*",$A$3:$A$70,0))),$AY$8,2),"")</f>
        <v/>
      </c>
      <c r="M82" s="319" t="str" cm="1">
        <f t="array" ref="M82">_xlfn.IFNA(MID(INDEX($A$3:$A$70,IF(ISNA(MATCH("720G1G8*",$A$3:$A$70,0))=TRUE,MATCH("7200108*",$A$3:$A$70,0),MATCH("720G1G8*",$A$3:$A$70,0))),$AZ$8,2),"")</f>
        <v/>
      </c>
      <c r="N82" s="8" t="s">
        <v>60</v>
      </c>
      <c r="P82" s="19" t="s">
        <v>60</v>
      </c>
      <c r="Q82" s="20" t="s">
        <v>61</v>
      </c>
      <c r="R82" t="s">
        <v>62</v>
      </c>
      <c r="S82" s="8"/>
      <c r="T82" s="19" t="s">
        <v>60</v>
      </c>
      <c r="U82" s="20" t="s">
        <v>61</v>
      </c>
      <c r="V82" t="s">
        <v>62</v>
      </c>
      <c r="W82" s="8"/>
      <c r="X82" s="19" t="s">
        <v>60</v>
      </c>
      <c r="Y82" s="20" t="s">
        <v>61</v>
      </c>
      <c r="Z82" t="s">
        <v>62</v>
      </c>
      <c r="AA82" s="8"/>
      <c r="AB82" s="19" t="s">
        <v>60</v>
      </c>
      <c r="AC82" s="20" t="s">
        <v>61</v>
      </c>
      <c r="AD82" t="s">
        <v>62</v>
      </c>
      <c r="AE82" s="8"/>
      <c r="AF82" s="19" t="s">
        <v>60</v>
      </c>
      <c r="AG82" s="20" t="s">
        <v>61</v>
      </c>
      <c r="AH82" t="s">
        <v>62</v>
      </c>
      <c r="AJ82" s="394" t="s">
        <v>63</v>
      </c>
      <c r="AK82" s="396"/>
      <c r="AM82" s="508"/>
    </row>
    <row r="83" spans="1:39" x14ac:dyDescent="0.3">
      <c r="A83" s="35"/>
      <c r="C83" s="7" t="s">
        <v>64</v>
      </c>
      <c r="D83" s="99" t="str">
        <f>HEX2BIN(D82,8)</f>
        <v>00000111</v>
      </c>
      <c r="E83" s="99" t="str">
        <f t="shared" ref="E83:L83" si="100">HEX2BIN(E82,8)</f>
        <v>00100000</v>
      </c>
      <c r="F83" s="99" t="str">
        <f t="shared" si="100"/>
        <v>00000001</v>
      </c>
      <c r="G83" s="99" t="str">
        <f t="shared" si="100"/>
        <v>00001000</v>
      </c>
      <c r="H83" s="99" t="str">
        <f t="shared" si="100"/>
        <v>00000000</v>
      </c>
      <c r="I83" s="99" t="str">
        <f t="shared" si="100"/>
        <v>00000000</v>
      </c>
      <c r="J83" s="99" t="str">
        <f t="shared" si="100"/>
        <v>00000000</v>
      </c>
      <c r="K83" s="99" t="str">
        <f t="shared" si="100"/>
        <v>00000000</v>
      </c>
      <c r="L83" s="99" t="str">
        <f t="shared" si="100"/>
        <v>00000000</v>
      </c>
      <c r="N83" s="8"/>
      <c r="P83" s="21" t="str">
        <f>MID(H83,1,1)</f>
        <v>0</v>
      </c>
      <c r="Q83" s="26" t="str">
        <f t="shared" ref="Q83:Q90" si="101">P83</f>
        <v>0</v>
      </c>
      <c r="R83" s="7" t="s">
        <v>65</v>
      </c>
      <c r="S83" s="8" t="s">
        <v>66</v>
      </c>
      <c r="T83" s="21" t="str">
        <f>MID(I83,1,1)</f>
        <v>0</v>
      </c>
      <c r="U83" s="26" t="str">
        <f>T83</f>
        <v>0</v>
      </c>
      <c r="V83" s="7" t="s">
        <v>65</v>
      </c>
      <c r="W83" s="8" t="s">
        <v>66</v>
      </c>
      <c r="X83" s="21" t="str">
        <f>MID(J83,1,1)</f>
        <v>0</v>
      </c>
      <c r="Y83" s="26" t="str">
        <f>X83</f>
        <v>0</v>
      </c>
      <c r="Z83" s="7" t="s">
        <v>65</v>
      </c>
      <c r="AA83" s="8" t="s">
        <v>66</v>
      </c>
      <c r="AB83" s="21" t="str">
        <f>MID(K83,1,1)</f>
        <v>0</v>
      </c>
      <c r="AC83" s="26" t="str">
        <f>AB83</f>
        <v>0</v>
      </c>
      <c r="AD83" s="7" t="s">
        <v>65</v>
      </c>
      <c r="AE83" s="8" t="s">
        <v>66</v>
      </c>
      <c r="AF83" s="21" t="str">
        <f>MID(L83,1,1)</f>
        <v>0</v>
      </c>
      <c r="AG83" s="26" t="str">
        <f>AF83</f>
        <v>0</v>
      </c>
      <c r="AH83" s="7" t="s">
        <v>65</v>
      </c>
      <c r="AI83" s="8" t="s">
        <v>66</v>
      </c>
      <c r="AJ83" s="400"/>
      <c r="AK83" s="401"/>
      <c r="AM83" s="508"/>
    </row>
    <row r="84" spans="1:39" x14ac:dyDescent="0.3">
      <c r="A84" s="35"/>
      <c r="C84" s="7" t="s">
        <v>67</v>
      </c>
      <c r="D84" s="99">
        <f>HEX2DEC(D82)</f>
        <v>7</v>
      </c>
      <c r="E84" s="99">
        <f t="shared" ref="E84:L84" si="102">HEX2DEC(E82)</f>
        <v>32</v>
      </c>
      <c r="F84" s="99">
        <f t="shared" si="102"/>
        <v>1</v>
      </c>
      <c r="G84" s="99">
        <f t="shared" si="102"/>
        <v>8</v>
      </c>
      <c r="H84" s="99">
        <f t="shared" si="102"/>
        <v>0</v>
      </c>
      <c r="I84" s="99">
        <f t="shared" si="102"/>
        <v>0</v>
      </c>
      <c r="J84" s="99">
        <f t="shared" si="102"/>
        <v>0</v>
      </c>
      <c r="K84" s="99">
        <f t="shared" si="102"/>
        <v>0</v>
      </c>
      <c r="L84" s="99">
        <f t="shared" si="102"/>
        <v>0</v>
      </c>
      <c r="M84" s="99">
        <f>SUM(D84:L84)</f>
        <v>48</v>
      </c>
      <c r="N84" s="8"/>
      <c r="P84" s="21" t="str">
        <f>MID(H83,2,1)</f>
        <v>0</v>
      </c>
      <c r="Q84" s="26" t="str">
        <f t="shared" si="101"/>
        <v>0</v>
      </c>
      <c r="R84" s="7" t="s">
        <v>68</v>
      </c>
      <c r="S84" s="8" t="s">
        <v>66</v>
      </c>
      <c r="T84" s="21" t="str">
        <f>MID(I83,2,1)</f>
        <v>0</v>
      </c>
      <c r="U84" s="26" t="str">
        <f t="shared" ref="U84:U90" si="103">T84</f>
        <v>0</v>
      </c>
      <c r="V84" s="7" t="s">
        <v>68</v>
      </c>
      <c r="W84" s="8" t="s">
        <v>66</v>
      </c>
      <c r="X84" s="21" t="str">
        <f>MID(J83,2,1)</f>
        <v>0</v>
      </c>
      <c r="Y84" s="26" t="str">
        <f t="shared" ref="Y84:Y90" si="104">X84</f>
        <v>0</v>
      </c>
      <c r="Z84" s="7" t="s">
        <v>68</v>
      </c>
      <c r="AA84" s="8" t="s">
        <v>66</v>
      </c>
      <c r="AB84" s="21" t="str">
        <f>MID(K83,2,1)</f>
        <v>0</v>
      </c>
      <c r="AC84" s="26" t="str">
        <f t="shared" ref="AC84:AC90" si="105">AB84</f>
        <v>0</v>
      </c>
      <c r="AD84" s="7" t="s">
        <v>68</v>
      </c>
      <c r="AE84" s="8" t="s">
        <v>66</v>
      </c>
      <c r="AF84" s="21" t="str">
        <f>MID(L83,2,1)</f>
        <v>0</v>
      </c>
      <c r="AG84" s="26" t="str">
        <f t="shared" ref="AG84:AG90" si="106">AF84</f>
        <v>0</v>
      </c>
      <c r="AH84" s="7" t="s">
        <v>68</v>
      </c>
      <c r="AI84" s="8" t="s">
        <v>66</v>
      </c>
      <c r="AJ84" s="400"/>
      <c r="AK84" s="401"/>
      <c r="AM84" s="508"/>
    </row>
    <row r="85" spans="1:39" x14ac:dyDescent="0.3">
      <c r="A85" s="35"/>
      <c r="C85" s="7" t="s">
        <v>1678</v>
      </c>
      <c r="D85" s="333" t="str">
        <f>D82</f>
        <v>07</v>
      </c>
      <c r="E85" s="333" t="str">
        <f>E82</f>
        <v>20</v>
      </c>
      <c r="F85" s="99" t="str">
        <f>_xlfn.IFNA(MID(INDEX($A$3:$A$70,IF(ISNA(MATCH("720G1G8*",$A$3:$A$70,0))=TRUE,MATCH("7200108*",$A$3:$A$70,0),MATCH("720G1G8*",$A$3:$A$70,0))),$AS$8,2),"G1")</f>
        <v>G1</v>
      </c>
      <c r="G85" s="99" t="str">
        <f>_xlfn.IFNA(MID(INDEX($A$3:$A$70,IF(ISNA(MATCH("720G1G8*",$A$3:$A$70,0))=TRUE,MATCH("7200108*",$A$3:$A$70,0),MATCH("720G1G8*",$A$3:$A$70,0))),$AT$8,2),"G8")</f>
        <v>G8</v>
      </c>
      <c r="N85" s="8"/>
      <c r="P85" s="21" t="str">
        <f>MID(H83,3,1)</f>
        <v>0</v>
      </c>
      <c r="Q85" s="26" t="str">
        <f t="shared" si="101"/>
        <v>0</v>
      </c>
      <c r="R85" s="7" t="s">
        <v>69</v>
      </c>
      <c r="S85" s="8" t="s">
        <v>66</v>
      </c>
      <c r="T85" s="21" t="str">
        <f>MID(I83,3,1)</f>
        <v>0</v>
      </c>
      <c r="U85" s="26" t="str">
        <f t="shared" si="103"/>
        <v>0</v>
      </c>
      <c r="V85" s="7" t="s">
        <v>69</v>
      </c>
      <c r="W85" s="8" t="s">
        <v>66</v>
      </c>
      <c r="X85" s="21" t="str">
        <f>MID(J83,3,1)</f>
        <v>0</v>
      </c>
      <c r="Y85" s="26" t="str">
        <f t="shared" si="104"/>
        <v>0</v>
      </c>
      <c r="Z85" s="7" t="s">
        <v>69</v>
      </c>
      <c r="AA85" s="8" t="s">
        <v>66</v>
      </c>
      <c r="AB85" s="21" t="str">
        <f>MID(K83,3,1)</f>
        <v>0</v>
      </c>
      <c r="AC85" s="26" t="str">
        <f t="shared" si="105"/>
        <v>0</v>
      </c>
      <c r="AD85" s="7" t="s">
        <v>69</v>
      </c>
      <c r="AE85" s="8" t="s">
        <v>66</v>
      </c>
      <c r="AF85" s="21" t="str">
        <f>MID(L83,3,1)</f>
        <v>0</v>
      </c>
      <c r="AG85" s="26" t="str">
        <f t="shared" si="106"/>
        <v>0</v>
      </c>
      <c r="AH85" s="7" t="s">
        <v>69</v>
      </c>
      <c r="AI85" s="8" t="s">
        <v>66</v>
      </c>
      <c r="AJ85" s="400"/>
      <c r="AK85" s="401"/>
      <c r="AM85" s="508"/>
    </row>
    <row r="86" spans="1:39" ht="15" thickBot="1" x14ac:dyDescent="0.35">
      <c r="A86" s="35"/>
      <c r="C86" s="7"/>
      <c r="N86" s="8"/>
      <c r="P86" s="21" t="str">
        <f>MID(H83,4,1)</f>
        <v>0</v>
      </c>
      <c r="Q86" s="26" t="str">
        <f t="shared" si="101"/>
        <v>0</v>
      </c>
      <c r="R86" s="7" t="s">
        <v>70</v>
      </c>
      <c r="S86" s="8" t="s">
        <v>66</v>
      </c>
      <c r="T86" s="21" t="str">
        <f>MID(I83,4,1)</f>
        <v>0</v>
      </c>
      <c r="U86" s="26" t="str">
        <f t="shared" si="103"/>
        <v>0</v>
      </c>
      <c r="V86" s="7" t="s">
        <v>70</v>
      </c>
      <c r="W86" s="8" t="s">
        <v>66</v>
      </c>
      <c r="X86" s="21" t="str">
        <f>MID(J83,4,1)</f>
        <v>0</v>
      </c>
      <c r="Y86" s="26" t="str">
        <f t="shared" si="104"/>
        <v>0</v>
      </c>
      <c r="Z86" s="7" t="s">
        <v>70</v>
      </c>
      <c r="AA86" s="8" t="s">
        <v>66</v>
      </c>
      <c r="AB86" s="21" t="str">
        <f>MID(K83,4,1)</f>
        <v>0</v>
      </c>
      <c r="AC86" s="26" t="str">
        <f t="shared" si="105"/>
        <v>0</v>
      </c>
      <c r="AD86" s="7" t="s">
        <v>70</v>
      </c>
      <c r="AE86" s="8" t="s">
        <v>66</v>
      </c>
      <c r="AF86" s="21" t="str">
        <f>MID(L83,4,1)</f>
        <v>0</v>
      </c>
      <c r="AG86" s="26" t="str">
        <f t="shared" si="106"/>
        <v>0</v>
      </c>
      <c r="AH86" s="7" t="s">
        <v>70</v>
      </c>
      <c r="AI86" s="8" t="s">
        <v>66</v>
      </c>
      <c r="AJ86" s="400"/>
      <c r="AK86" s="401"/>
      <c r="AM86" s="508"/>
    </row>
    <row r="87" spans="1:39" ht="15" thickBot="1" x14ac:dyDescent="0.35">
      <c r="A87" s="35"/>
      <c r="C87" s="7" t="s">
        <v>56</v>
      </c>
      <c r="D87" s="15" t="str">
        <f t="shared" ref="D87:G87" si="107">D82</f>
        <v>07</v>
      </c>
      <c r="E87" s="16" t="str">
        <f t="shared" si="107"/>
        <v>20</v>
      </c>
      <c r="F87" s="16" t="str">
        <f t="shared" si="107"/>
        <v>01</v>
      </c>
      <c r="G87" s="17" t="str">
        <f t="shared" si="107"/>
        <v>08</v>
      </c>
      <c r="H87" s="23" t="str">
        <f>IF(K71="","",BIN2HEX(H88,2))</f>
        <v/>
      </c>
      <c r="I87" s="25" t="str">
        <f>IF(K71="","",BIN2HEX(I88,2))</f>
        <v/>
      </c>
      <c r="J87" s="24" t="str">
        <f>IF(K71="","",BIN2HEX(J88,2))</f>
        <v/>
      </c>
      <c r="K87" s="2" t="str">
        <f>IF(K71="","",BIN2HEX(K88,2))</f>
        <v/>
      </c>
      <c r="L87" s="18" t="str">
        <f>IF(K71="","",BIN2HEX(L88,2))</f>
        <v/>
      </c>
      <c r="M87" s="3" t="str">
        <f>IF(K71="","",IF(LEN(M88)&gt;2,MID(M88,2,2),M88))</f>
        <v/>
      </c>
      <c r="N87" s="8" t="s">
        <v>61</v>
      </c>
      <c r="P87" s="21" t="str">
        <f>MID(H83,5,1)</f>
        <v>0</v>
      </c>
      <c r="Q87" s="26" t="str">
        <f t="shared" si="101"/>
        <v>0</v>
      </c>
      <c r="R87" s="7" t="s">
        <v>71</v>
      </c>
      <c r="S87" s="8" t="s">
        <v>66</v>
      </c>
      <c r="T87" s="21" t="str">
        <f>MID(I83,5,1)</f>
        <v>0</v>
      </c>
      <c r="U87" s="26" t="str">
        <f t="shared" si="103"/>
        <v>0</v>
      </c>
      <c r="V87" s="7" t="s">
        <v>71</v>
      </c>
      <c r="W87" s="8" t="s">
        <v>66</v>
      </c>
      <c r="X87" s="21" t="str">
        <f>MID(J83,5,1)</f>
        <v>0</v>
      </c>
      <c r="Y87" s="26" t="str">
        <f t="shared" si="104"/>
        <v>0</v>
      </c>
      <c r="Z87" s="7" t="s">
        <v>71</v>
      </c>
      <c r="AA87" s="8" t="s">
        <v>66</v>
      </c>
      <c r="AB87" s="21" t="str">
        <f>MID(K83,5,1)</f>
        <v>0</v>
      </c>
      <c r="AC87" s="26" t="str">
        <f t="shared" si="105"/>
        <v>0</v>
      </c>
      <c r="AD87" s="7" t="s">
        <v>71</v>
      </c>
      <c r="AE87" s="8" t="s">
        <v>66</v>
      </c>
      <c r="AF87" s="21" t="str">
        <f>MID(L83,5,1)</f>
        <v>0</v>
      </c>
      <c r="AG87" s="26" t="str">
        <f t="shared" si="106"/>
        <v>0</v>
      </c>
      <c r="AH87" s="7" t="s">
        <v>71</v>
      </c>
      <c r="AI87" s="8" t="s">
        <v>66</v>
      </c>
      <c r="AJ87" s="400"/>
      <c r="AK87" s="401"/>
      <c r="AM87" s="508"/>
    </row>
    <row r="88" spans="1:39" x14ac:dyDescent="0.3">
      <c r="A88" s="35"/>
      <c r="C88" s="7" t="s">
        <v>64</v>
      </c>
      <c r="D88" s="99" t="str">
        <f>HEX2BIN(D87,8)</f>
        <v>00000111</v>
      </c>
      <c r="E88" s="99" t="str">
        <f t="shared" ref="E88:G88" si="108">HEX2BIN(E87,8)</f>
        <v>00100000</v>
      </c>
      <c r="F88" s="99" t="str">
        <f t="shared" si="108"/>
        <v>00000001</v>
      </c>
      <c r="G88" s="99" t="str">
        <f t="shared" si="108"/>
        <v>00001000</v>
      </c>
      <c r="H88" s="29" t="str">
        <f>Q83&amp;Q84&amp;Q85&amp;Q86&amp;Q87&amp;Q88&amp;Q89&amp;Q90</f>
        <v>00000000</v>
      </c>
      <c r="I88" s="99" t="str">
        <f>U83&amp;U84&amp;U85&amp;U86&amp;U87&amp;U88&amp;U89&amp;U90</f>
        <v>00000000</v>
      </c>
      <c r="J88" s="29" t="str">
        <f>Y83&amp;Y84&amp;Y85&amp;Y86&amp;Y87&amp;Y88&amp;Y89&amp;Y90</f>
        <v>00000000</v>
      </c>
      <c r="K88" s="29" t="str">
        <f>AC83&amp;AC84&amp;AC85&amp;AC86&amp;AC87&amp;AC88&amp;AC89&amp;AC90</f>
        <v>00000000</v>
      </c>
      <c r="L88" s="99" t="str">
        <f>AG83&amp;AG84&amp;AG85&amp;AG86&amp;AG87&amp;AG88&amp;AG89&amp;AG90</f>
        <v>00000000</v>
      </c>
      <c r="M88" s="99" t="str">
        <f>DEC2HEX(M89)</f>
        <v>30</v>
      </c>
      <c r="N88" s="8"/>
      <c r="P88" s="21" t="str">
        <f>MID(H83,6,1)</f>
        <v>0</v>
      </c>
      <c r="Q88" s="26" t="str">
        <f t="shared" si="101"/>
        <v>0</v>
      </c>
      <c r="R88" s="7" t="s">
        <v>72</v>
      </c>
      <c r="S88" s="8" t="s">
        <v>66</v>
      </c>
      <c r="T88" s="21" t="str">
        <f>MID(I83,6,1)</f>
        <v>0</v>
      </c>
      <c r="U88" s="26" t="str">
        <f t="shared" si="103"/>
        <v>0</v>
      </c>
      <c r="V88" s="7" t="s">
        <v>72</v>
      </c>
      <c r="W88" s="8" t="s">
        <v>66</v>
      </c>
      <c r="X88" s="21" t="str">
        <f>MID(J83,6,1)</f>
        <v>0</v>
      </c>
      <c r="Y88" s="26" t="str">
        <f t="shared" si="104"/>
        <v>0</v>
      </c>
      <c r="Z88" s="7" t="s">
        <v>72</v>
      </c>
      <c r="AA88" s="8" t="s">
        <v>66</v>
      </c>
      <c r="AB88" s="21" t="str">
        <f>MID(K83,6,1)</f>
        <v>0</v>
      </c>
      <c r="AC88" s="26" t="str">
        <f t="shared" si="105"/>
        <v>0</v>
      </c>
      <c r="AD88" s="7" t="s">
        <v>72</v>
      </c>
      <c r="AE88" s="8" t="s">
        <v>66</v>
      </c>
      <c r="AF88" s="21" t="str">
        <f>MID(L83,6,1)</f>
        <v>0</v>
      </c>
      <c r="AG88" s="26" t="str">
        <f t="shared" si="106"/>
        <v>0</v>
      </c>
      <c r="AH88" s="7" t="s">
        <v>72</v>
      </c>
      <c r="AI88" s="8" t="s">
        <v>66</v>
      </c>
      <c r="AJ88" s="400"/>
      <c r="AK88" s="401"/>
      <c r="AM88" s="508"/>
    </row>
    <row r="89" spans="1:39" x14ac:dyDescent="0.3">
      <c r="A89" s="35"/>
      <c r="C89" s="7" t="s">
        <v>67</v>
      </c>
      <c r="D89" s="99">
        <f>HEX2DEC(D87)</f>
        <v>7</v>
      </c>
      <c r="E89" s="99">
        <f t="shared" ref="E89:L89" si="109">HEX2DEC(E87)</f>
        <v>32</v>
      </c>
      <c r="F89" s="99">
        <f t="shared" si="109"/>
        <v>1</v>
      </c>
      <c r="G89" s="99">
        <f t="shared" si="109"/>
        <v>8</v>
      </c>
      <c r="H89" s="99">
        <f t="shared" si="109"/>
        <v>0</v>
      </c>
      <c r="I89" s="99">
        <f t="shared" si="109"/>
        <v>0</v>
      </c>
      <c r="J89" s="99">
        <f t="shared" si="109"/>
        <v>0</v>
      </c>
      <c r="K89" s="99">
        <f t="shared" si="109"/>
        <v>0</v>
      </c>
      <c r="L89" s="99">
        <f t="shared" si="109"/>
        <v>0</v>
      </c>
      <c r="M89" s="99">
        <f>SUM(D89:L89)</f>
        <v>48</v>
      </c>
      <c r="N89" s="8"/>
      <c r="P89" s="21" t="str">
        <f>MID(H83,7,1)</f>
        <v>0</v>
      </c>
      <c r="Q89" s="26" t="str">
        <f t="shared" si="101"/>
        <v>0</v>
      </c>
      <c r="R89" s="7" t="s">
        <v>73</v>
      </c>
      <c r="S89" s="8" t="s">
        <v>66</v>
      </c>
      <c r="T89" s="21" t="str">
        <f>MID(I83,7,1)</f>
        <v>0</v>
      </c>
      <c r="U89" s="26" t="str">
        <f t="shared" si="103"/>
        <v>0</v>
      </c>
      <c r="V89" s="7" t="s">
        <v>73</v>
      </c>
      <c r="W89" s="8" t="s">
        <v>66</v>
      </c>
      <c r="X89" s="21" t="str">
        <f>MID(J83,7,1)</f>
        <v>0</v>
      </c>
      <c r="Y89" s="26" t="str">
        <f t="shared" si="104"/>
        <v>0</v>
      </c>
      <c r="Z89" s="7" t="s">
        <v>73</v>
      </c>
      <c r="AA89" s="8" t="s">
        <v>66</v>
      </c>
      <c r="AB89" s="21" t="str">
        <f>MID(K83,7,1)</f>
        <v>0</v>
      </c>
      <c r="AC89" s="26" t="str">
        <f t="shared" si="105"/>
        <v>0</v>
      </c>
      <c r="AD89" s="7" t="s">
        <v>73</v>
      </c>
      <c r="AE89" s="8" t="s">
        <v>66</v>
      </c>
      <c r="AF89" s="21" t="str">
        <f>MID(L83,7,1)</f>
        <v>0</v>
      </c>
      <c r="AG89" s="26" t="str">
        <f t="shared" si="106"/>
        <v>0</v>
      </c>
      <c r="AH89" s="7" t="s">
        <v>73</v>
      </c>
      <c r="AI89" s="8" t="s">
        <v>66</v>
      </c>
      <c r="AJ89" s="400"/>
      <c r="AK89" s="401"/>
      <c r="AM89" s="508"/>
    </row>
    <row r="90" spans="1:39" ht="15" thickBot="1" x14ac:dyDescent="0.35">
      <c r="A90" s="35"/>
      <c r="C90" s="9" t="s">
        <v>1678</v>
      </c>
      <c r="D90" s="334" t="str">
        <f>D85</f>
        <v>07</v>
      </c>
      <c r="E90" s="334" t="str">
        <f t="shared" ref="E90:G90" si="110">E85</f>
        <v>20</v>
      </c>
      <c r="F90" s="334" t="str">
        <f t="shared" si="110"/>
        <v>G1</v>
      </c>
      <c r="G90" s="334" t="str">
        <f t="shared" si="110"/>
        <v>G8</v>
      </c>
      <c r="H90" s="10"/>
      <c r="I90" s="10"/>
      <c r="J90" s="10"/>
      <c r="K90" s="10"/>
      <c r="L90" s="10"/>
      <c r="M90" s="10"/>
      <c r="N90" s="11"/>
      <c r="P90" s="22" t="str">
        <f>MID(H83,8,1)</f>
        <v>0</v>
      </c>
      <c r="Q90" s="55" t="str">
        <f t="shared" si="101"/>
        <v>0</v>
      </c>
      <c r="R90" s="9" t="s">
        <v>74</v>
      </c>
      <c r="S90" s="11" t="s">
        <v>66</v>
      </c>
      <c r="T90" s="22" t="str">
        <f>MID(I83,8,1)</f>
        <v>0</v>
      </c>
      <c r="U90" s="55" t="str">
        <f t="shared" si="103"/>
        <v>0</v>
      </c>
      <c r="V90" s="9" t="s">
        <v>74</v>
      </c>
      <c r="W90" s="11" t="s">
        <v>66</v>
      </c>
      <c r="X90" s="22" t="str">
        <f>MID(J83,8,1)</f>
        <v>0</v>
      </c>
      <c r="Y90" s="55" t="str">
        <f t="shared" si="104"/>
        <v>0</v>
      </c>
      <c r="Z90" s="9" t="s">
        <v>74</v>
      </c>
      <c r="AA90" s="11" t="s">
        <v>66</v>
      </c>
      <c r="AB90" s="22" t="str">
        <f>MID(K83,8,1)</f>
        <v>0</v>
      </c>
      <c r="AC90" s="55" t="str">
        <f t="shared" si="105"/>
        <v>0</v>
      </c>
      <c r="AD90" s="9" t="s">
        <v>74</v>
      </c>
      <c r="AE90" s="11" t="s">
        <v>66</v>
      </c>
      <c r="AF90" s="22" t="str">
        <f>MID(L83,8,1)</f>
        <v>0</v>
      </c>
      <c r="AG90" s="55" t="str">
        <f t="shared" si="106"/>
        <v>0</v>
      </c>
      <c r="AH90" s="9" t="s">
        <v>74</v>
      </c>
      <c r="AI90" s="11" t="s">
        <v>66</v>
      </c>
      <c r="AJ90" s="402"/>
      <c r="AK90" s="404"/>
      <c r="AM90" s="508"/>
    </row>
    <row r="91" spans="1:39" ht="15" thickBot="1" x14ac:dyDescent="0.35">
      <c r="A91" s="35"/>
      <c r="C91" s="4"/>
      <c r="D91" s="5"/>
      <c r="E91" s="5"/>
      <c r="F91" s="5"/>
      <c r="G91" s="5"/>
      <c r="H91" s="5"/>
      <c r="I91" s="5"/>
      <c r="J91" s="5"/>
      <c r="K91" s="5"/>
      <c r="L91" s="5" t="s">
        <v>41</v>
      </c>
      <c r="N91" s="6"/>
      <c r="P91" s="392" t="s">
        <v>1508</v>
      </c>
      <c r="Q91" s="392"/>
      <c r="R91" s="392"/>
      <c r="S91" s="392"/>
      <c r="T91" s="392"/>
      <c r="U91" s="392"/>
      <c r="V91" s="392"/>
      <c r="W91" s="392"/>
      <c r="X91" s="392"/>
      <c r="Y91" s="392"/>
      <c r="Z91" s="392"/>
      <c r="AA91" s="392"/>
      <c r="AB91" s="392"/>
      <c r="AC91" s="392"/>
      <c r="AD91" s="392"/>
      <c r="AE91" s="392"/>
      <c r="AF91" s="392"/>
      <c r="AG91" s="392"/>
      <c r="AH91" s="392"/>
      <c r="AI91" s="392"/>
      <c r="AJ91" s="405"/>
      <c r="AK91" s="405"/>
      <c r="AM91" s="508"/>
    </row>
    <row r="92" spans="1:39" ht="15" thickBot="1" x14ac:dyDescent="0.35">
      <c r="A92" s="35"/>
      <c r="C92" s="7"/>
      <c r="D92" s="393" t="s">
        <v>1509</v>
      </c>
      <c r="E92" s="393"/>
      <c r="F92" s="393"/>
      <c r="G92" s="393"/>
      <c r="H92" s="99" t="s">
        <v>44</v>
      </c>
      <c r="I92" s="99" t="s">
        <v>45</v>
      </c>
      <c r="J92" s="99" t="s">
        <v>46</v>
      </c>
      <c r="K92" s="99" t="s">
        <v>47</v>
      </c>
      <c r="L92" s="99" t="s">
        <v>48</v>
      </c>
      <c r="N92" s="8"/>
      <c r="P92" s="394" t="s">
        <v>50</v>
      </c>
      <c r="Q92" s="395"/>
      <c r="R92" s="395"/>
      <c r="S92" s="396"/>
      <c r="T92" s="394" t="s">
        <v>51</v>
      </c>
      <c r="U92" s="395"/>
      <c r="V92" s="395"/>
      <c r="W92" s="396"/>
      <c r="X92" s="394" t="s">
        <v>52</v>
      </c>
      <c r="Y92" s="395"/>
      <c r="Z92" s="395"/>
      <c r="AA92" s="396"/>
      <c r="AB92" s="394" t="s">
        <v>53</v>
      </c>
      <c r="AC92" s="395"/>
      <c r="AD92" s="395"/>
      <c r="AE92" s="396"/>
      <c r="AF92" s="499" t="s">
        <v>1507</v>
      </c>
      <c r="AG92" s="407"/>
      <c r="AH92" s="407"/>
      <c r="AI92" s="408"/>
      <c r="AJ92" s="7"/>
      <c r="AM92" s="508"/>
    </row>
    <row r="93" spans="1:39" ht="15" thickBot="1" x14ac:dyDescent="0.35">
      <c r="A93" s="35"/>
      <c r="C93" s="7" t="s">
        <v>56</v>
      </c>
      <c r="D93" s="12" t="s">
        <v>57</v>
      </c>
      <c r="E93" s="13" t="s">
        <v>130</v>
      </c>
      <c r="F93" s="13" t="s">
        <v>59</v>
      </c>
      <c r="G93" s="14" t="s">
        <v>234</v>
      </c>
      <c r="H93" s="316" t="str" cm="1">
        <f t="array" ref="H93">_xlfn.IFNA(MID(INDEX($A$3:$A$70,IF(ISNA(MATCH("720G1G9*",$A$3:$A$70,0))=TRUE,MATCH("7200109*",$A$3:$A$70,0),MATCH("720G1G9*",$A$3:$A$70,0))),$AU$8,2),"")</f>
        <v/>
      </c>
      <c r="I93" s="317" t="str" cm="1">
        <f t="array" ref="I93">_xlfn.IFNA(MID(INDEX($A$3:$A$70,IF(ISNA(MATCH("720G1G9*",$A$3:$A$70,0))=TRUE,MATCH("7200109*",$A$3:$A$70,0),MATCH("720G1G9*",$A$3:$A$70,0))),$AV$8,2),"")</f>
        <v/>
      </c>
      <c r="J93" s="317" t="str" cm="1">
        <f t="array" ref="J93">_xlfn.IFNA(MID(INDEX($A$3:$A$70,IF(ISNA(MATCH("720G1G9*",$A$3:$A$70,0))=TRUE,MATCH("7200109*",$A$3:$A$70,0),MATCH("720G1G9*",$A$3:$A$70,0))),$AW$8,2),"")</f>
        <v/>
      </c>
      <c r="K93" s="317" t="str" cm="1">
        <f t="array" ref="K93">_xlfn.IFNA(MID(INDEX($A$3:$A$70,IF(ISNA(MATCH("720G1G9*",$A$3:$A$70,0))=TRUE,MATCH("7200109*",$A$3:$A$70,0),MATCH("720G1G9*",$A$3:$A$70,0))),$AX$8,2),"")</f>
        <v/>
      </c>
      <c r="L93" s="319" t="str" cm="1">
        <f t="array" ref="L93">_xlfn.IFNA(MID(INDEX($A$3:$A$70,IF(ISNA(MATCH("720G1G9*",$A$3:$A$70,0))=TRUE,MATCH("7200109*",$A$3:$A$70,0),MATCH("720G1G9*",$A$3:$A$70,0))),$AY$8,2),"")</f>
        <v/>
      </c>
      <c r="N93" s="8" t="s">
        <v>60</v>
      </c>
      <c r="P93" s="19" t="s">
        <v>60</v>
      </c>
      <c r="Q93" s="20" t="s">
        <v>61</v>
      </c>
      <c r="R93" t="s">
        <v>62</v>
      </c>
      <c r="S93" s="8"/>
      <c r="T93" s="19" t="s">
        <v>60</v>
      </c>
      <c r="U93" s="20" t="s">
        <v>61</v>
      </c>
      <c r="V93" t="s">
        <v>62</v>
      </c>
      <c r="W93" s="8"/>
      <c r="X93" s="19" t="s">
        <v>60</v>
      </c>
      <c r="Y93" s="20" t="s">
        <v>61</v>
      </c>
      <c r="Z93" t="s">
        <v>62</v>
      </c>
      <c r="AA93" s="8"/>
      <c r="AB93" s="19" t="s">
        <v>60</v>
      </c>
      <c r="AC93" s="20" t="s">
        <v>61</v>
      </c>
      <c r="AD93" t="s">
        <v>62</v>
      </c>
      <c r="AE93" s="8"/>
      <c r="AF93" s="400" t="s">
        <v>63</v>
      </c>
      <c r="AG93" s="381"/>
      <c r="AH93" s="381"/>
      <c r="AI93" s="401"/>
      <c r="AM93" s="508"/>
    </row>
    <row r="94" spans="1:39" x14ac:dyDescent="0.3">
      <c r="A94" s="35"/>
      <c r="C94" s="7" t="s">
        <v>64</v>
      </c>
      <c r="D94" s="99" t="str">
        <f>HEX2BIN(D93,8)</f>
        <v>00000111</v>
      </c>
      <c r="E94" s="99" t="str">
        <f t="shared" ref="E94:K94" si="111">HEX2BIN(E93,8)</f>
        <v>00100000</v>
      </c>
      <c r="F94" s="99" t="str">
        <f t="shared" si="111"/>
        <v>00000001</v>
      </c>
      <c r="G94" s="99" t="str">
        <f t="shared" si="111"/>
        <v>00001001</v>
      </c>
      <c r="H94" s="99" t="str">
        <f t="shared" si="111"/>
        <v>00000000</v>
      </c>
      <c r="I94" s="99" t="str">
        <f t="shared" si="111"/>
        <v>00000000</v>
      </c>
      <c r="J94" s="99" t="str">
        <f t="shared" si="111"/>
        <v>00000000</v>
      </c>
      <c r="K94" s="99" t="str">
        <f t="shared" si="111"/>
        <v>00000000</v>
      </c>
      <c r="N94" s="8"/>
      <c r="P94" s="21" t="str">
        <f>MID(H94,1,1)</f>
        <v>0</v>
      </c>
      <c r="Q94" s="26" t="str">
        <f t="shared" ref="Q94:Q101" si="112">P94</f>
        <v>0</v>
      </c>
      <c r="R94" s="7" t="s">
        <v>65</v>
      </c>
      <c r="S94" s="8" t="s">
        <v>66</v>
      </c>
      <c r="T94" s="21" t="str">
        <f>MID(I94,1,1)</f>
        <v>0</v>
      </c>
      <c r="U94" s="26" t="str">
        <f>T94</f>
        <v>0</v>
      </c>
      <c r="V94" s="7" t="s">
        <v>65</v>
      </c>
      <c r="W94" s="8" t="s">
        <v>66</v>
      </c>
      <c r="X94" s="21" t="str">
        <f>MID(J94,1,1)</f>
        <v>0</v>
      </c>
      <c r="Y94" s="26" t="str">
        <f>X94</f>
        <v>0</v>
      </c>
      <c r="Z94" s="7" t="s">
        <v>65</v>
      </c>
      <c r="AA94" s="8" t="s">
        <v>66</v>
      </c>
      <c r="AB94" s="21" t="str">
        <f>MID(K94,1,1)</f>
        <v>0</v>
      </c>
      <c r="AC94" s="26" t="str">
        <f>AB94</f>
        <v>0</v>
      </c>
      <c r="AD94" s="7" t="s">
        <v>65</v>
      </c>
      <c r="AE94" s="8" t="s">
        <v>66</v>
      </c>
      <c r="AF94" s="400"/>
      <c r="AG94" s="381"/>
      <c r="AH94" s="381"/>
      <c r="AI94" s="401"/>
      <c r="AM94" s="508"/>
    </row>
    <row r="95" spans="1:39" x14ac:dyDescent="0.3">
      <c r="A95" s="35"/>
      <c r="C95" s="7" t="s">
        <v>67</v>
      </c>
      <c r="D95" s="99">
        <f>HEX2DEC(D93)</f>
        <v>7</v>
      </c>
      <c r="E95" s="99">
        <f t="shared" ref="E95:K95" si="113">HEX2DEC(E93)</f>
        <v>32</v>
      </c>
      <c r="F95" s="99">
        <f t="shared" si="113"/>
        <v>1</v>
      </c>
      <c r="G95" s="99">
        <f t="shared" si="113"/>
        <v>9</v>
      </c>
      <c r="H95" s="99">
        <f t="shared" si="113"/>
        <v>0</v>
      </c>
      <c r="I95" s="99">
        <f t="shared" si="113"/>
        <v>0</v>
      </c>
      <c r="J95" s="99">
        <f t="shared" si="113"/>
        <v>0</v>
      </c>
      <c r="K95" s="99">
        <f t="shared" si="113"/>
        <v>0</v>
      </c>
      <c r="L95" s="99">
        <f>SUM(D95:K95)</f>
        <v>49</v>
      </c>
      <c r="N95" s="8"/>
      <c r="P95" s="21" t="str">
        <f>MID(H94,2,1)</f>
        <v>0</v>
      </c>
      <c r="Q95" s="26" t="str">
        <f t="shared" si="112"/>
        <v>0</v>
      </c>
      <c r="R95" s="7" t="s">
        <v>68</v>
      </c>
      <c r="S95" s="8" t="s">
        <v>66</v>
      </c>
      <c r="T95" s="21" t="str">
        <f>MID(I94,2,1)</f>
        <v>0</v>
      </c>
      <c r="U95" s="26" t="str">
        <f t="shared" ref="U95:U101" si="114">T95</f>
        <v>0</v>
      </c>
      <c r="V95" s="7" t="s">
        <v>68</v>
      </c>
      <c r="W95" s="8" t="s">
        <v>66</v>
      </c>
      <c r="X95" s="21" t="str">
        <f>MID(J94,2,1)</f>
        <v>0</v>
      </c>
      <c r="Y95" s="26" t="str">
        <f t="shared" ref="Y95:Y101" si="115">X95</f>
        <v>0</v>
      </c>
      <c r="Z95" s="7" t="s">
        <v>68</v>
      </c>
      <c r="AA95" s="8" t="s">
        <v>66</v>
      </c>
      <c r="AB95" s="21" t="str">
        <f>MID(K94,2,1)</f>
        <v>0</v>
      </c>
      <c r="AC95" s="26" t="str">
        <f t="shared" ref="AC95:AC101" si="116">AB95</f>
        <v>0</v>
      </c>
      <c r="AD95" s="7" t="s">
        <v>68</v>
      </c>
      <c r="AE95" s="8" t="s">
        <v>66</v>
      </c>
      <c r="AF95" s="400"/>
      <c r="AG95" s="381"/>
      <c r="AH95" s="381"/>
      <c r="AI95" s="401"/>
      <c r="AM95" s="508"/>
    </row>
    <row r="96" spans="1:39" x14ac:dyDescent="0.3">
      <c r="A96" s="35"/>
      <c r="C96" s="7" t="s">
        <v>1678</v>
      </c>
      <c r="D96" s="333" t="str">
        <f>D93</f>
        <v>07</v>
      </c>
      <c r="E96" s="333" t="str">
        <f>E93</f>
        <v>20</v>
      </c>
      <c r="F96" s="99" t="str">
        <f>_xlfn.IFNA(MID(INDEX($A$3:$A$70,IF(ISNA(MATCH("720G1G9*",$A$3:$A$70,0))=TRUE,MATCH("7200109*",$A$3:$A$70,0),MATCH("720G1G9*",$A$3:$A$70,0))),$AS$8,2),"G1")</f>
        <v>G1</v>
      </c>
      <c r="G96" s="99" t="str">
        <f>_xlfn.IFNA(MID(INDEX($A$3:$A$70,IF(ISNA(MATCH("720G1G9*",$A$3:$A$70,0))=TRUE,MATCH("7200109*",$A$3:$A$70,0),MATCH("720G1G9*",$A$3:$A$70,0))),$AT$8,2),"G9")</f>
        <v>G9</v>
      </c>
      <c r="N96" s="8"/>
      <c r="P96" s="21" t="str">
        <f>MID(H94,3,1)</f>
        <v>0</v>
      </c>
      <c r="Q96" s="26" t="str">
        <f t="shared" si="112"/>
        <v>0</v>
      </c>
      <c r="R96" s="7" t="s">
        <v>69</v>
      </c>
      <c r="S96" s="8" t="s">
        <v>66</v>
      </c>
      <c r="T96" s="21" t="str">
        <f>MID(I94,3,1)</f>
        <v>0</v>
      </c>
      <c r="U96" s="26" t="str">
        <f t="shared" si="114"/>
        <v>0</v>
      </c>
      <c r="V96" s="7" t="s">
        <v>69</v>
      </c>
      <c r="W96" s="8" t="s">
        <v>66</v>
      </c>
      <c r="X96" s="21" t="str">
        <f>MID(J94,3,1)</f>
        <v>0</v>
      </c>
      <c r="Y96" s="26" t="str">
        <f t="shared" si="115"/>
        <v>0</v>
      </c>
      <c r="Z96" s="7" t="s">
        <v>69</v>
      </c>
      <c r="AA96" s="8" t="s">
        <v>66</v>
      </c>
      <c r="AB96" s="21" t="str">
        <f>MID(K94,3,1)</f>
        <v>0</v>
      </c>
      <c r="AC96" s="26" t="str">
        <f t="shared" si="116"/>
        <v>0</v>
      </c>
      <c r="AD96" s="7" t="s">
        <v>69</v>
      </c>
      <c r="AE96" s="8" t="s">
        <v>66</v>
      </c>
      <c r="AF96" s="400"/>
      <c r="AG96" s="381"/>
      <c r="AH96" s="381"/>
      <c r="AI96" s="401"/>
      <c r="AM96" s="508"/>
    </row>
    <row r="97" spans="1:39" ht="15" thickBot="1" x14ac:dyDescent="0.35">
      <c r="A97" s="35"/>
      <c r="C97" s="7"/>
      <c r="N97" s="8"/>
      <c r="P97" s="21" t="str">
        <f>MID(H94,4,1)</f>
        <v>0</v>
      </c>
      <c r="Q97" s="26" t="str">
        <f t="shared" si="112"/>
        <v>0</v>
      </c>
      <c r="R97" s="7" t="s">
        <v>70</v>
      </c>
      <c r="S97" s="8" t="s">
        <v>66</v>
      </c>
      <c r="T97" s="21" t="str">
        <f>MID(I94,4,1)</f>
        <v>0</v>
      </c>
      <c r="U97" s="26" t="str">
        <f t="shared" si="114"/>
        <v>0</v>
      </c>
      <c r="V97" s="7" t="s">
        <v>70</v>
      </c>
      <c r="W97" s="8" t="s">
        <v>66</v>
      </c>
      <c r="X97" s="21" t="str">
        <f>MID(J94,4,1)</f>
        <v>0</v>
      </c>
      <c r="Y97" s="26" t="str">
        <f t="shared" si="115"/>
        <v>0</v>
      </c>
      <c r="Z97" s="7" t="s">
        <v>70</v>
      </c>
      <c r="AA97" s="8" t="s">
        <v>66</v>
      </c>
      <c r="AB97" s="21" t="str">
        <f>MID(K94,4,1)</f>
        <v>0</v>
      </c>
      <c r="AC97" s="26" t="str">
        <f t="shared" si="116"/>
        <v>0</v>
      </c>
      <c r="AD97" s="7" t="s">
        <v>70</v>
      </c>
      <c r="AE97" s="8" t="s">
        <v>66</v>
      </c>
      <c r="AF97" s="400"/>
      <c r="AG97" s="381"/>
      <c r="AH97" s="381"/>
      <c r="AI97" s="401"/>
      <c r="AM97" s="508"/>
    </row>
    <row r="98" spans="1:39" ht="15" thickBot="1" x14ac:dyDescent="0.35">
      <c r="A98" s="35"/>
      <c r="C98" s="7" t="s">
        <v>56</v>
      </c>
      <c r="D98" s="15" t="str">
        <f t="shared" ref="D98:G98" si="117">D93</f>
        <v>07</v>
      </c>
      <c r="E98" s="16" t="str">
        <f t="shared" si="117"/>
        <v>20</v>
      </c>
      <c r="F98" s="16" t="str">
        <f t="shared" si="117"/>
        <v>01</v>
      </c>
      <c r="G98" s="17" t="str">
        <f t="shared" si="117"/>
        <v>09</v>
      </c>
      <c r="H98" s="23" t="str">
        <f>IF(K71="","",BIN2HEX(H99,2))</f>
        <v/>
      </c>
      <c r="I98" s="25" t="str">
        <f>IF(K71="","",BIN2HEX(I99,2))</f>
        <v/>
      </c>
      <c r="J98" s="24" t="str">
        <f>IF(K71="","",BIN2HEX(J99,2))</f>
        <v/>
      </c>
      <c r="K98" s="2" t="str">
        <f>IF(K71="","",BIN2HEX(K99,2))</f>
        <v/>
      </c>
      <c r="L98" s="313" t="str">
        <f>IF(K71="","",IF(LEN(L99)&gt;2,MID(L99,2,2),L99))</f>
        <v/>
      </c>
      <c r="N98" s="8" t="s">
        <v>61</v>
      </c>
      <c r="P98" s="21" t="str">
        <f>MID(H94,5,1)</f>
        <v>0</v>
      </c>
      <c r="Q98" s="26" t="str">
        <f t="shared" si="112"/>
        <v>0</v>
      </c>
      <c r="R98" s="7" t="s">
        <v>71</v>
      </c>
      <c r="S98" s="8" t="s">
        <v>66</v>
      </c>
      <c r="T98" s="21" t="str">
        <f>MID(I94,5,1)</f>
        <v>0</v>
      </c>
      <c r="U98" s="26" t="str">
        <f t="shared" si="114"/>
        <v>0</v>
      </c>
      <c r="V98" s="7" t="s">
        <v>71</v>
      </c>
      <c r="W98" s="8" t="s">
        <v>66</v>
      </c>
      <c r="X98" s="21" t="str">
        <f>MID(J94,5,1)</f>
        <v>0</v>
      </c>
      <c r="Y98" s="26" t="str">
        <f t="shared" si="115"/>
        <v>0</v>
      </c>
      <c r="Z98" s="7" t="s">
        <v>71</v>
      </c>
      <c r="AA98" s="8" t="s">
        <v>66</v>
      </c>
      <c r="AB98" s="21" t="str">
        <f>MID(K94,5,1)</f>
        <v>0</v>
      </c>
      <c r="AC98" s="26" t="str">
        <f t="shared" si="116"/>
        <v>0</v>
      </c>
      <c r="AD98" s="7" t="s">
        <v>71</v>
      </c>
      <c r="AE98" s="8" t="s">
        <v>66</v>
      </c>
      <c r="AF98" s="400"/>
      <c r="AG98" s="381"/>
      <c r="AH98" s="381"/>
      <c r="AI98" s="401"/>
      <c r="AM98" s="508"/>
    </row>
    <row r="99" spans="1:39" x14ac:dyDescent="0.3">
      <c r="A99" s="35"/>
      <c r="C99" s="7" t="s">
        <v>64</v>
      </c>
      <c r="D99" s="99" t="str">
        <f>HEX2BIN(D98,8)</f>
        <v>00000111</v>
      </c>
      <c r="E99" s="99" t="str">
        <f t="shared" ref="E99:G99" si="118">HEX2BIN(E98,8)</f>
        <v>00100000</v>
      </c>
      <c r="F99" s="99" t="str">
        <f t="shared" si="118"/>
        <v>00000001</v>
      </c>
      <c r="G99" s="99" t="str">
        <f t="shared" si="118"/>
        <v>00001001</v>
      </c>
      <c r="H99" s="29" t="str">
        <f>Q94&amp;Q95&amp;Q96&amp;Q97&amp;Q98&amp;Q99&amp;Q100&amp;Q101</f>
        <v>00000000</v>
      </c>
      <c r="I99" s="99" t="str">
        <f>U94&amp;U95&amp;U96&amp;U97&amp;U98&amp;U99&amp;U100&amp;U101</f>
        <v>00000000</v>
      </c>
      <c r="J99" s="29" t="str">
        <f>Y94&amp;Y95&amp;Y96&amp;Y97&amp;Y98&amp;Y99&amp;Y100&amp;Y101</f>
        <v>00000000</v>
      </c>
      <c r="K99" s="29" t="str">
        <f>AC94&amp;AC95&amp;AC96&amp;AC97&amp;AC98&amp;AC99&amp;AC100&amp;AC101</f>
        <v>00000000</v>
      </c>
      <c r="L99" s="99" t="str">
        <f>DEC2HEX(L100)</f>
        <v>31</v>
      </c>
      <c r="N99" s="8"/>
      <c r="P99" s="21" t="str">
        <f>MID(H94,6,1)</f>
        <v>0</v>
      </c>
      <c r="Q99" s="26" t="str">
        <f t="shared" si="112"/>
        <v>0</v>
      </c>
      <c r="R99" s="7" t="s">
        <v>72</v>
      </c>
      <c r="S99" s="8" t="s">
        <v>66</v>
      </c>
      <c r="T99" s="21" t="str">
        <f>MID(I94,6,1)</f>
        <v>0</v>
      </c>
      <c r="U99" s="26" t="str">
        <f t="shared" si="114"/>
        <v>0</v>
      </c>
      <c r="V99" s="7" t="s">
        <v>72</v>
      </c>
      <c r="W99" s="8" t="s">
        <v>66</v>
      </c>
      <c r="X99" s="21" t="str">
        <f>MID(J94,6,1)</f>
        <v>0</v>
      </c>
      <c r="Y99" s="26" t="str">
        <f t="shared" si="115"/>
        <v>0</v>
      </c>
      <c r="Z99" s="7" t="s">
        <v>72</v>
      </c>
      <c r="AA99" s="8" t="s">
        <v>66</v>
      </c>
      <c r="AB99" s="21" t="str">
        <f>MID(K94,6,1)</f>
        <v>0</v>
      </c>
      <c r="AC99" s="26" t="str">
        <f t="shared" si="116"/>
        <v>0</v>
      </c>
      <c r="AD99" s="7" t="s">
        <v>72</v>
      </c>
      <c r="AE99" s="8" t="s">
        <v>66</v>
      </c>
      <c r="AF99" s="400"/>
      <c r="AG99" s="381"/>
      <c r="AH99" s="381"/>
      <c r="AI99" s="401"/>
      <c r="AM99" s="508"/>
    </row>
    <row r="100" spans="1:39" x14ac:dyDescent="0.3">
      <c r="A100" s="35"/>
      <c r="C100" s="7" t="s">
        <v>67</v>
      </c>
      <c r="D100" s="99">
        <f>HEX2DEC(D98)</f>
        <v>7</v>
      </c>
      <c r="E100" s="99">
        <f t="shared" ref="E100:K100" si="119">HEX2DEC(E98)</f>
        <v>32</v>
      </c>
      <c r="F100" s="99">
        <f t="shared" si="119"/>
        <v>1</v>
      </c>
      <c r="G100" s="99">
        <f t="shared" si="119"/>
        <v>9</v>
      </c>
      <c r="H100" s="99">
        <f t="shared" si="119"/>
        <v>0</v>
      </c>
      <c r="I100" s="99">
        <f t="shared" si="119"/>
        <v>0</v>
      </c>
      <c r="J100" s="99">
        <f t="shared" si="119"/>
        <v>0</v>
      </c>
      <c r="K100" s="99">
        <f t="shared" si="119"/>
        <v>0</v>
      </c>
      <c r="L100" s="99">
        <f>SUM(D100:K100)</f>
        <v>49</v>
      </c>
      <c r="N100" s="8"/>
      <c r="P100" s="21" t="str">
        <f>MID(H94,7,1)</f>
        <v>0</v>
      </c>
      <c r="Q100" s="26" t="str">
        <f t="shared" si="112"/>
        <v>0</v>
      </c>
      <c r="R100" s="7" t="s">
        <v>73</v>
      </c>
      <c r="S100" s="8" t="s">
        <v>66</v>
      </c>
      <c r="T100" s="21" t="str">
        <f>MID(I94,7,1)</f>
        <v>0</v>
      </c>
      <c r="U100" s="26" t="str">
        <f t="shared" si="114"/>
        <v>0</v>
      </c>
      <c r="V100" s="7" t="s">
        <v>73</v>
      </c>
      <c r="W100" s="8" t="s">
        <v>66</v>
      </c>
      <c r="X100" s="21" t="str">
        <f>MID(J94,7,1)</f>
        <v>0</v>
      </c>
      <c r="Y100" s="26" t="str">
        <f t="shared" si="115"/>
        <v>0</v>
      </c>
      <c r="Z100" s="7" t="s">
        <v>73</v>
      </c>
      <c r="AA100" s="8" t="s">
        <v>66</v>
      </c>
      <c r="AB100" s="21" t="str">
        <f>MID(K94,7,1)</f>
        <v>0</v>
      </c>
      <c r="AC100" s="26" t="str">
        <f t="shared" si="116"/>
        <v>0</v>
      </c>
      <c r="AD100" s="7" t="s">
        <v>73</v>
      </c>
      <c r="AE100" s="8" t="s">
        <v>66</v>
      </c>
      <c r="AF100" s="400"/>
      <c r="AG100" s="381"/>
      <c r="AH100" s="381"/>
      <c r="AI100" s="401"/>
      <c r="AM100" s="508"/>
    </row>
    <row r="101" spans="1:39" ht="15" thickBot="1" x14ac:dyDescent="0.35">
      <c r="C101" s="9" t="s">
        <v>1678</v>
      </c>
      <c r="D101" s="334" t="str">
        <f>D96</f>
        <v>07</v>
      </c>
      <c r="E101" s="334" t="str">
        <f t="shared" ref="E101:G101" si="120">E96</f>
        <v>20</v>
      </c>
      <c r="F101" s="334" t="str">
        <f t="shared" si="120"/>
        <v>G1</v>
      </c>
      <c r="G101" s="334" t="str">
        <f t="shared" si="120"/>
        <v>G9</v>
      </c>
      <c r="H101" s="10"/>
      <c r="I101" s="10"/>
      <c r="J101" s="10"/>
      <c r="K101" s="10"/>
      <c r="L101" s="10"/>
      <c r="M101" s="10"/>
      <c r="N101" s="11"/>
      <c r="P101" s="22" t="str">
        <f>MID(H94,8,1)</f>
        <v>0</v>
      </c>
      <c r="Q101" s="55" t="str">
        <f t="shared" si="112"/>
        <v>0</v>
      </c>
      <c r="R101" s="9" t="s">
        <v>74</v>
      </c>
      <c r="S101" s="11" t="s">
        <v>66</v>
      </c>
      <c r="T101" s="22" t="str">
        <f>MID(I94,8,1)</f>
        <v>0</v>
      </c>
      <c r="U101" s="55" t="str">
        <f t="shared" si="114"/>
        <v>0</v>
      </c>
      <c r="V101" s="9" t="s">
        <v>74</v>
      </c>
      <c r="W101" s="11" t="s">
        <v>66</v>
      </c>
      <c r="X101" s="22" t="str">
        <f>MID(J94,8,1)</f>
        <v>0</v>
      </c>
      <c r="Y101" s="55" t="str">
        <f t="shared" si="115"/>
        <v>0</v>
      </c>
      <c r="Z101" s="9" t="s">
        <v>74</v>
      </c>
      <c r="AA101" s="11" t="s">
        <v>66</v>
      </c>
      <c r="AB101" s="22" t="str">
        <f>MID(K94,8,1)</f>
        <v>0</v>
      </c>
      <c r="AC101" s="55" t="str">
        <f t="shared" si="116"/>
        <v>0</v>
      </c>
      <c r="AD101" s="9" t="s">
        <v>74</v>
      </c>
      <c r="AE101" s="11" t="s">
        <v>66</v>
      </c>
      <c r="AF101" s="402"/>
      <c r="AG101" s="403"/>
      <c r="AH101" s="403"/>
      <c r="AI101" s="404"/>
      <c r="AM101" s="509"/>
    </row>
    <row r="102" spans="1:39" ht="15" thickBot="1" x14ac:dyDescent="0.35">
      <c r="C102" s="4"/>
      <c r="D102" s="5"/>
      <c r="E102" s="5"/>
      <c r="F102" s="5"/>
      <c r="G102" s="5"/>
      <c r="H102" s="5"/>
      <c r="I102" s="5"/>
      <c r="J102" s="5"/>
      <c r="K102" s="5"/>
      <c r="L102" s="5"/>
      <c r="M102" s="5" t="s">
        <v>41</v>
      </c>
      <c r="N102" s="6"/>
      <c r="P102" s="392" t="s">
        <v>140</v>
      </c>
      <c r="Q102" s="392"/>
      <c r="R102" s="392"/>
      <c r="S102" s="392"/>
      <c r="T102" s="392"/>
      <c r="U102" s="392"/>
      <c r="V102" s="392"/>
      <c r="W102" s="392"/>
      <c r="X102" s="392"/>
      <c r="Y102" s="392"/>
      <c r="Z102" s="392"/>
      <c r="AA102" s="392"/>
      <c r="AB102" s="392"/>
      <c r="AC102" s="392"/>
      <c r="AD102" s="392"/>
      <c r="AE102" s="392"/>
      <c r="AF102" s="392"/>
      <c r="AG102" s="392"/>
      <c r="AH102" s="392"/>
      <c r="AI102" s="392"/>
      <c r="AJ102" s="392"/>
      <c r="AK102" s="392"/>
    </row>
    <row r="103" spans="1:39" ht="15" thickBot="1" x14ac:dyDescent="0.35">
      <c r="C103" s="7"/>
      <c r="D103" s="393" t="s">
        <v>141</v>
      </c>
      <c r="E103" s="393"/>
      <c r="F103" s="393"/>
      <c r="G103" s="393"/>
      <c r="H103" s="99" t="s">
        <v>44</v>
      </c>
      <c r="I103" s="99" t="s">
        <v>45</v>
      </c>
      <c r="J103" s="99" t="s">
        <v>46</v>
      </c>
      <c r="K103" s="99" t="s">
        <v>47</v>
      </c>
      <c r="L103" s="99" t="s">
        <v>48</v>
      </c>
      <c r="M103" s="99" t="s">
        <v>49</v>
      </c>
      <c r="N103" s="8"/>
      <c r="P103" s="394" t="s">
        <v>50</v>
      </c>
      <c r="Q103" s="395"/>
      <c r="R103" s="395"/>
      <c r="S103" s="396"/>
      <c r="T103" s="394" t="s">
        <v>51</v>
      </c>
      <c r="U103" s="395"/>
      <c r="V103" s="395"/>
      <c r="W103" s="396"/>
      <c r="X103" s="394" t="s">
        <v>52</v>
      </c>
      <c r="Y103" s="395"/>
      <c r="Z103" s="395"/>
      <c r="AA103" s="396"/>
      <c r="AB103" s="394" t="s">
        <v>53</v>
      </c>
      <c r="AC103" s="395"/>
      <c r="AD103" s="395"/>
      <c r="AE103" s="396"/>
      <c r="AF103" s="394" t="s">
        <v>97</v>
      </c>
      <c r="AG103" s="395"/>
      <c r="AH103" s="395"/>
      <c r="AI103" s="396"/>
      <c r="AJ103" s="394" t="s">
        <v>55</v>
      </c>
      <c r="AK103" s="396"/>
    </row>
    <row r="104" spans="1:39" ht="15" thickBot="1" x14ac:dyDescent="0.35">
      <c r="C104" s="7" t="s">
        <v>56</v>
      </c>
      <c r="D104" s="12" t="s">
        <v>57</v>
      </c>
      <c r="E104" s="13" t="s">
        <v>130</v>
      </c>
      <c r="F104" s="13" t="s">
        <v>77</v>
      </c>
      <c r="G104" s="14" t="s">
        <v>59</v>
      </c>
      <c r="H104" s="316" t="str" cm="1">
        <f t="array" ref="H104">MID(INDEX($A$3:$A$70,IF(ISNA(MATCH("720G2G1*",$A$3:$A$70,0))=TRUE,MATCH("7200201*",$A$3:$A$70,0),MATCH("720G2G1*",$A$3:$A$70,0))),$AU$8,2)</f>
        <v>00</v>
      </c>
      <c r="I104" s="317" t="str" cm="1">
        <f t="array" ref="I104">MID(INDEX($A$3:$A$70,IF(ISNA(MATCH("720G2G1*",$A$3:$A$70,0))=TRUE,MATCH("7200201*",$A$3:$A$70,0),MATCH("720G2G1*",$A$3:$A$70,0))),$AV$8,2)</f>
        <v>00</v>
      </c>
      <c r="J104" s="317" t="str" cm="1">
        <f t="array" ref="J104">MID(INDEX($A$3:$A$70,IF(ISNA(MATCH("720G2G1*",$A$3:$A$70,0))=TRUE,MATCH("7200201*",$A$3:$A$70,0),MATCH("720G2G1*",$A$3:$A$70,0))),$AW$8,2)</f>
        <v>00</v>
      </c>
      <c r="K104" s="317" t="str" cm="1">
        <f t="array" ref="K104">MID(INDEX($A$3:$A$70,IF(ISNA(MATCH("720G2G1*",$A$3:$A$70,0))=TRUE,MATCH("7200201*",$A$3:$A$70,0),MATCH("720G2G1*",$A$3:$A$70,0))),$AX$8,2)</f>
        <v>00</v>
      </c>
      <c r="L104" s="318" t="str" cm="1">
        <f t="array" ref="L104">MID(INDEX($A$3:$A$70,IF(ISNA(MATCH("720G2G1*",$A$3:$A$70,0))=TRUE,MATCH("7200201*",$A$3:$A$70,0),MATCH("720G2G1*",$A$3:$A$70,0))),$AY$8,2)</f>
        <v>00</v>
      </c>
      <c r="M104" s="319" t="str" cm="1">
        <f t="array" ref="M104">MID(INDEX($A$3:$A$70,IF(ISNA(MATCH("720G2G1*",$A$3:$A$70,0))=TRUE,MATCH("7200201*",$A$3:$A$70,0),MATCH("720G2G1*",$A$3:$A$70,0))),$AZ$8,2)</f>
        <v>2A</v>
      </c>
      <c r="N104" s="8" t="s">
        <v>60</v>
      </c>
      <c r="P104" s="19" t="s">
        <v>60</v>
      </c>
      <c r="Q104" s="20" t="s">
        <v>61</v>
      </c>
      <c r="R104" t="s">
        <v>62</v>
      </c>
      <c r="S104" s="8"/>
      <c r="T104" s="19" t="s">
        <v>60</v>
      </c>
      <c r="U104" s="20" t="s">
        <v>61</v>
      </c>
      <c r="V104" t="s">
        <v>62</v>
      </c>
      <c r="W104" s="8"/>
      <c r="X104" s="19" t="s">
        <v>60</v>
      </c>
      <c r="Y104" s="20" t="s">
        <v>61</v>
      </c>
      <c r="Z104" t="s">
        <v>62</v>
      </c>
      <c r="AA104" s="8"/>
      <c r="AB104" s="19" t="s">
        <v>60</v>
      </c>
      <c r="AC104" s="20" t="s">
        <v>61</v>
      </c>
      <c r="AD104" t="s">
        <v>62</v>
      </c>
      <c r="AE104" s="8"/>
      <c r="AF104" s="19" t="s">
        <v>60</v>
      </c>
      <c r="AG104" s="20" t="s">
        <v>61</v>
      </c>
      <c r="AH104" t="s">
        <v>62</v>
      </c>
      <c r="AJ104" s="394" t="s">
        <v>63</v>
      </c>
      <c r="AK104" s="396"/>
    </row>
    <row r="105" spans="1:39" ht="15" customHeight="1" x14ac:dyDescent="0.3">
      <c r="C105" s="7" t="s">
        <v>64</v>
      </c>
      <c r="D105" s="99" t="str">
        <f t="shared" ref="D105:L105" si="121">HEX2BIN(D104,8)</f>
        <v>00000111</v>
      </c>
      <c r="E105" s="99" t="str">
        <f t="shared" si="121"/>
        <v>00100000</v>
      </c>
      <c r="F105" s="99" t="str">
        <f t="shared" si="121"/>
        <v>00000010</v>
      </c>
      <c r="G105" s="99" t="str">
        <f t="shared" si="121"/>
        <v>00000001</v>
      </c>
      <c r="H105" s="99" t="str">
        <f t="shared" si="121"/>
        <v>00000000</v>
      </c>
      <c r="I105" s="99" t="str">
        <f t="shared" si="121"/>
        <v>00000000</v>
      </c>
      <c r="J105" s="99" t="str">
        <f t="shared" si="121"/>
        <v>00000000</v>
      </c>
      <c r="K105" s="99" t="str">
        <f t="shared" si="121"/>
        <v>00000000</v>
      </c>
      <c r="L105" s="99" t="str">
        <f t="shared" si="121"/>
        <v>00000000</v>
      </c>
      <c r="N105" s="8"/>
      <c r="P105" s="21" t="str">
        <f>MID(H105,1,1)</f>
        <v>0</v>
      </c>
      <c r="Q105" s="26" t="str">
        <f t="shared" ref="Q105:Q112" si="122">P105</f>
        <v>0</v>
      </c>
      <c r="R105" s="7" t="s">
        <v>65</v>
      </c>
      <c r="S105" s="8" t="s">
        <v>66</v>
      </c>
      <c r="T105" s="21" t="str">
        <f>MID(I105,1,1)</f>
        <v>0</v>
      </c>
      <c r="U105" s="26" t="str">
        <f t="shared" ref="U105:U112" si="123">T105</f>
        <v>0</v>
      </c>
      <c r="V105" s="7" t="s">
        <v>65</v>
      </c>
      <c r="W105" s="517" t="s">
        <v>1615</v>
      </c>
      <c r="X105" s="21" t="str">
        <f>MID(J105,1,1)</f>
        <v>0</v>
      </c>
      <c r="Y105" s="26" t="str">
        <f t="shared" ref="Y105:Y112" si="124">X105</f>
        <v>0</v>
      </c>
      <c r="Z105" s="7" t="s">
        <v>65</v>
      </c>
      <c r="AA105" s="459" t="s">
        <v>1618</v>
      </c>
      <c r="AB105" s="21" t="str">
        <f>MID(K105,1,1)</f>
        <v>0</v>
      </c>
      <c r="AC105" s="26" t="str">
        <f t="shared" ref="AC105:AC112" si="125">AB105</f>
        <v>0</v>
      </c>
      <c r="AD105" s="7" t="s">
        <v>65</v>
      </c>
      <c r="AE105" s="8" t="s">
        <v>66</v>
      </c>
      <c r="AF105" s="21" t="str">
        <f>MID(L105,1,1)</f>
        <v>0</v>
      </c>
      <c r="AG105" s="26" t="str">
        <f t="shared" ref="AG105:AG112" si="126">AF105</f>
        <v>0</v>
      </c>
      <c r="AH105" s="7" t="s">
        <v>65</v>
      </c>
      <c r="AI105" s="8" t="s">
        <v>66</v>
      </c>
      <c r="AJ105" s="400"/>
      <c r="AK105" s="401"/>
    </row>
    <row r="106" spans="1:39" x14ac:dyDescent="0.3">
      <c r="C106" s="7" t="s">
        <v>67</v>
      </c>
      <c r="D106" s="99">
        <f t="shared" ref="D106:L106" si="127">HEX2DEC(D104)</f>
        <v>7</v>
      </c>
      <c r="E106" s="99">
        <f t="shared" si="127"/>
        <v>32</v>
      </c>
      <c r="F106" s="99">
        <f t="shared" si="127"/>
        <v>2</v>
      </c>
      <c r="G106" s="99">
        <f t="shared" si="127"/>
        <v>1</v>
      </c>
      <c r="H106" s="99">
        <f t="shared" si="127"/>
        <v>0</v>
      </c>
      <c r="I106" s="99">
        <f t="shared" si="127"/>
        <v>0</v>
      </c>
      <c r="J106" s="99">
        <f t="shared" si="127"/>
        <v>0</v>
      </c>
      <c r="K106" s="99">
        <f t="shared" si="127"/>
        <v>0</v>
      </c>
      <c r="L106" s="99">
        <f t="shared" si="127"/>
        <v>0</v>
      </c>
      <c r="M106" s="99">
        <f>SUM(D106:L106)</f>
        <v>42</v>
      </c>
      <c r="N106" s="8"/>
      <c r="P106" s="21" t="str">
        <f>MID(H105,2,1)</f>
        <v>0</v>
      </c>
      <c r="Q106" s="26" t="str">
        <f t="shared" si="122"/>
        <v>0</v>
      </c>
      <c r="R106" s="7" t="s">
        <v>68</v>
      </c>
      <c r="S106" s="8" t="s">
        <v>66</v>
      </c>
      <c r="T106" s="21" t="str">
        <f>MID(I105,2,1)</f>
        <v>0</v>
      </c>
      <c r="U106" s="26" t="str">
        <f t="shared" si="123"/>
        <v>0</v>
      </c>
      <c r="V106" s="7" t="s">
        <v>68</v>
      </c>
      <c r="W106" s="422"/>
      <c r="X106" s="21" t="str">
        <f>MID(J105,2,1)</f>
        <v>0</v>
      </c>
      <c r="Y106" s="26" t="str">
        <f t="shared" si="124"/>
        <v>0</v>
      </c>
      <c r="Z106" s="7" t="s">
        <v>68</v>
      </c>
      <c r="AA106" s="479"/>
      <c r="AB106" s="21" t="str">
        <f>MID(K105,2,1)</f>
        <v>0</v>
      </c>
      <c r="AC106" s="26" t="str">
        <f t="shared" si="125"/>
        <v>0</v>
      </c>
      <c r="AD106" s="7" t="s">
        <v>68</v>
      </c>
      <c r="AE106" s="8" t="s">
        <v>66</v>
      </c>
      <c r="AF106" s="21" t="str">
        <f>MID(L105,2,1)</f>
        <v>0</v>
      </c>
      <c r="AG106" s="26" t="str">
        <f t="shared" si="126"/>
        <v>0</v>
      </c>
      <c r="AH106" s="7" t="s">
        <v>68</v>
      </c>
      <c r="AI106" s="8" t="s">
        <v>66</v>
      </c>
      <c r="AJ106" s="400"/>
      <c r="AK106" s="401"/>
    </row>
    <row r="107" spans="1:39" ht="15" customHeight="1" x14ac:dyDescent="0.3">
      <c r="C107" s="7" t="s">
        <v>1678</v>
      </c>
      <c r="D107" s="333" t="str">
        <f>D104</f>
        <v>07</v>
      </c>
      <c r="E107" s="333" t="str">
        <f>E104</f>
        <v>20</v>
      </c>
      <c r="F107" s="99" t="str">
        <f>MID(INDEX($A$3:$A$70,IF(ISNA(MATCH("720G2G1*",$A$3:$A$70,0))=TRUE,MATCH("7200201*",$A$3:$A$70,0),MATCH("720G2G1*",$A$3:$A$70,0))),$AS$8,2)</f>
        <v>G2</v>
      </c>
      <c r="G107" s="99" t="str">
        <f>MID(INDEX($A$3:$A$70,IF(ISNA(MATCH("720G2G1*",$A$3:$A$70,0))=TRUE,MATCH("7200201*",$A$3:$A$70,0),MATCH("720G2G1*",$A$3:$A$70,0))),$AT$8,2)</f>
        <v>G1</v>
      </c>
      <c r="N107" s="8"/>
      <c r="P107" s="21" t="str">
        <f>MID(H105,3,1)</f>
        <v>0</v>
      </c>
      <c r="Q107" s="26" t="str">
        <f t="shared" si="122"/>
        <v>0</v>
      </c>
      <c r="R107" s="7" t="s">
        <v>69</v>
      </c>
      <c r="S107" s="518" t="s">
        <v>1611</v>
      </c>
      <c r="T107" s="21" t="str">
        <f>MID(I105,3,1)</f>
        <v>0</v>
      </c>
      <c r="U107" s="26" t="str">
        <f t="shared" si="123"/>
        <v>0</v>
      </c>
      <c r="V107" s="7" t="s">
        <v>69</v>
      </c>
      <c r="W107" s="517" t="s">
        <v>1614</v>
      </c>
      <c r="X107" s="21" t="str">
        <f>MID(J105,3,1)</f>
        <v>0</v>
      </c>
      <c r="Y107" s="26" t="str">
        <f t="shared" si="124"/>
        <v>0</v>
      </c>
      <c r="Z107" s="7" t="s">
        <v>69</v>
      </c>
      <c r="AA107" s="518" t="s">
        <v>1619</v>
      </c>
      <c r="AB107" s="21" t="str">
        <f>MID(K105,3,1)</f>
        <v>0</v>
      </c>
      <c r="AC107" s="26" t="str">
        <f t="shared" si="125"/>
        <v>0</v>
      </c>
      <c r="AD107" s="7" t="s">
        <v>69</v>
      </c>
      <c r="AE107" s="8" t="s">
        <v>66</v>
      </c>
      <c r="AF107" s="21" t="str">
        <f>MID(L105,3,1)</f>
        <v>0</v>
      </c>
      <c r="AG107" s="26" t="str">
        <f t="shared" si="126"/>
        <v>0</v>
      </c>
      <c r="AH107" s="7" t="s">
        <v>69</v>
      </c>
      <c r="AI107" s="8" t="s">
        <v>66</v>
      </c>
      <c r="AJ107" s="400"/>
      <c r="AK107" s="401"/>
    </row>
    <row r="108" spans="1:39" ht="15" thickBot="1" x14ac:dyDescent="0.35">
      <c r="C108" s="7"/>
      <c r="N108" s="8"/>
      <c r="P108" s="21" t="str">
        <f>MID(H105,4,1)</f>
        <v>0</v>
      </c>
      <c r="Q108" s="26" t="str">
        <f t="shared" si="122"/>
        <v>0</v>
      </c>
      <c r="R108" s="7" t="s">
        <v>70</v>
      </c>
      <c r="S108" s="423"/>
      <c r="T108" s="21" t="str">
        <f>MID(I105,4,1)</f>
        <v>0</v>
      </c>
      <c r="U108" s="26" t="str">
        <f t="shared" si="123"/>
        <v>0</v>
      </c>
      <c r="V108" s="7" t="s">
        <v>70</v>
      </c>
      <c r="W108" s="422"/>
      <c r="X108" s="21" t="str">
        <f>MID(J105,4,1)</f>
        <v>0</v>
      </c>
      <c r="Y108" s="26" t="str">
        <f t="shared" si="124"/>
        <v>0</v>
      </c>
      <c r="Z108" s="7" t="s">
        <v>70</v>
      </c>
      <c r="AA108" s="423"/>
      <c r="AB108" s="21" t="str">
        <f>MID(K105,4,1)</f>
        <v>0</v>
      </c>
      <c r="AC108" s="26" t="str">
        <f t="shared" si="125"/>
        <v>0</v>
      </c>
      <c r="AD108" s="7" t="s">
        <v>70</v>
      </c>
      <c r="AE108" s="8" t="s">
        <v>66</v>
      </c>
      <c r="AF108" s="21" t="str">
        <f>MID(L105,4,1)</f>
        <v>0</v>
      </c>
      <c r="AG108" s="26" t="str">
        <f t="shared" si="126"/>
        <v>0</v>
      </c>
      <c r="AH108" s="7" t="s">
        <v>70</v>
      </c>
      <c r="AI108" s="8" t="s">
        <v>66</v>
      </c>
      <c r="AJ108" s="400"/>
      <c r="AK108" s="401"/>
    </row>
    <row r="109" spans="1:39" ht="15.75" customHeight="1" thickBot="1" x14ac:dyDescent="0.35">
      <c r="C109" s="7" t="s">
        <v>56</v>
      </c>
      <c r="D109" s="15" t="str">
        <f>D104</f>
        <v>07</v>
      </c>
      <c r="E109" s="16" t="str">
        <f>E104</f>
        <v>20</v>
      </c>
      <c r="F109" s="16" t="str">
        <f>F104</f>
        <v>02</v>
      </c>
      <c r="G109" s="17" t="str">
        <f>G104</f>
        <v>01</v>
      </c>
      <c r="H109" s="23" t="str">
        <f>BIN2HEX(H110,2)</f>
        <v>00</v>
      </c>
      <c r="I109" s="25" t="str">
        <f>BIN2HEX(I110,2)</f>
        <v>00</v>
      </c>
      <c r="J109" s="24" t="str">
        <f>BIN2HEX(J110,2)</f>
        <v>00</v>
      </c>
      <c r="K109" s="2" t="str">
        <f>BIN2HEX(K110,2)</f>
        <v>00</v>
      </c>
      <c r="L109" s="18" t="str">
        <f>BIN2HEX(L110,2)</f>
        <v>00</v>
      </c>
      <c r="M109" s="3" t="str">
        <f>IF(LEN(M110)&gt;2,MID(M110,2,2),M110)</f>
        <v>2A</v>
      </c>
      <c r="N109" s="8" t="s">
        <v>61</v>
      </c>
      <c r="P109" s="21" t="str">
        <f>MID(H105,5,1)</f>
        <v>0</v>
      </c>
      <c r="Q109" s="26" t="str">
        <f t="shared" si="122"/>
        <v>0</v>
      </c>
      <c r="R109" s="7" t="s">
        <v>71</v>
      </c>
      <c r="S109" s="471" t="s">
        <v>1612</v>
      </c>
      <c r="T109" s="21" t="str">
        <f>MID(I105,5,1)</f>
        <v>0</v>
      </c>
      <c r="U109" s="26" t="str">
        <f t="shared" si="123"/>
        <v>0</v>
      </c>
      <c r="V109" s="7" t="s">
        <v>71</v>
      </c>
      <c r="W109" s="517" t="s">
        <v>1616</v>
      </c>
      <c r="X109" s="21" t="str">
        <f>MID(J105,5,1)</f>
        <v>0</v>
      </c>
      <c r="Y109" s="26" t="str">
        <f t="shared" si="124"/>
        <v>0</v>
      </c>
      <c r="Z109" s="7" t="s">
        <v>71</v>
      </c>
      <c r="AA109" s="8" t="s">
        <v>66</v>
      </c>
      <c r="AB109" s="21" t="str">
        <f>MID(K105,5,1)</f>
        <v>0</v>
      </c>
      <c r="AC109" s="26" t="str">
        <f t="shared" si="125"/>
        <v>0</v>
      </c>
      <c r="AD109" s="7" t="s">
        <v>71</v>
      </c>
      <c r="AE109" s="8" t="s">
        <v>66</v>
      </c>
      <c r="AF109" s="21" t="str">
        <f>MID(L105,5,1)</f>
        <v>0</v>
      </c>
      <c r="AG109" s="26" t="str">
        <f t="shared" si="126"/>
        <v>0</v>
      </c>
      <c r="AH109" s="7" t="s">
        <v>71</v>
      </c>
      <c r="AI109" s="8" t="s">
        <v>66</v>
      </c>
      <c r="AJ109" s="400"/>
      <c r="AK109" s="401"/>
    </row>
    <row r="110" spans="1:39" x14ac:dyDescent="0.3">
      <c r="C110" s="7" t="s">
        <v>64</v>
      </c>
      <c r="D110" s="99" t="str">
        <f>HEX2BIN(D109,8)</f>
        <v>00000111</v>
      </c>
      <c r="E110" s="99" t="str">
        <f>HEX2BIN(E109,8)</f>
        <v>00100000</v>
      </c>
      <c r="F110" s="99" t="str">
        <f>HEX2BIN(F109,8)</f>
        <v>00000010</v>
      </c>
      <c r="G110" s="99" t="str">
        <f>HEX2BIN(G109,8)</f>
        <v>00000001</v>
      </c>
      <c r="H110" s="29" t="str">
        <f>Q105&amp;Q106&amp;Q107&amp;Q108&amp;Q109&amp;Q110&amp;Q111&amp;Q112</f>
        <v>00000000</v>
      </c>
      <c r="I110" s="99" t="str">
        <f>U105&amp;U106&amp;U107&amp;U108&amp;U109&amp;U110&amp;U111&amp;U112</f>
        <v>00000000</v>
      </c>
      <c r="J110" s="29" t="str">
        <f>Y105&amp;Y106&amp;Y107&amp;Y108&amp;Y109&amp;Y110&amp;Y111&amp;Y112</f>
        <v>00000000</v>
      </c>
      <c r="K110" s="29" t="str">
        <f>AC105&amp;AC106&amp;AC107&amp;AC108&amp;AC109&amp;AC110&amp;AC111&amp;AC112</f>
        <v>00000000</v>
      </c>
      <c r="L110" s="99" t="str">
        <f>AG105&amp;AG106&amp;AG107&amp;AG108&amp;AG109&amp;AG110&amp;AG111&amp;AG112</f>
        <v>00000000</v>
      </c>
      <c r="M110" s="99" t="str">
        <f>DEC2HEX(M111)</f>
        <v>2A</v>
      </c>
      <c r="N110" s="8"/>
      <c r="P110" s="21" t="str">
        <f>MID(H105,6,1)</f>
        <v>0</v>
      </c>
      <c r="Q110" s="26" t="str">
        <f t="shared" si="122"/>
        <v>0</v>
      </c>
      <c r="R110" s="7" t="s">
        <v>72</v>
      </c>
      <c r="S110" s="473"/>
      <c r="T110" s="21" t="str">
        <f>MID(I105,6,1)</f>
        <v>0</v>
      </c>
      <c r="U110" s="26" t="str">
        <f t="shared" si="123"/>
        <v>0</v>
      </c>
      <c r="V110" s="7" t="s">
        <v>72</v>
      </c>
      <c r="W110" s="422"/>
      <c r="X110" s="21" t="str">
        <f>MID(J105,6,1)</f>
        <v>0</v>
      </c>
      <c r="Y110" s="26" t="str">
        <f t="shared" si="124"/>
        <v>0</v>
      </c>
      <c r="Z110" s="7" t="s">
        <v>72</v>
      </c>
      <c r="AA110" s="8" t="s">
        <v>66</v>
      </c>
      <c r="AB110" s="21" t="str">
        <f>MID(K105,6,1)</f>
        <v>0</v>
      </c>
      <c r="AC110" s="26" t="str">
        <f t="shared" si="125"/>
        <v>0</v>
      </c>
      <c r="AD110" s="7" t="s">
        <v>72</v>
      </c>
      <c r="AE110" s="8" t="s">
        <v>66</v>
      </c>
      <c r="AF110" s="21" t="str">
        <f>MID(L105,6,1)</f>
        <v>0</v>
      </c>
      <c r="AG110" s="26" t="str">
        <f t="shared" si="126"/>
        <v>0</v>
      </c>
      <c r="AH110" s="7" t="s">
        <v>72</v>
      </c>
      <c r="AI110" s="8" t="s">
        <v>66</v>
      </c>
      <c r="AJ110" s="400"/>
      <c r="AK110" s="401"/>
    </row>
    <row r="111" spans="1:39" ht="15" customHeight="1" x14ac:dyDescent="0.3">
      <c r="C111" s="7" t="s">
        <v>67</v>
      </c>
      <c r="D111" s="99">
        <f t="shared" ref="D111:L111" si="128">HEX2DEC(D109)</f>
        <v>7</v>
      </c>
      <c r="E111" s="99">
        <f t="shared" si="128"/>
        <v>32</v>
      </c>
      <c r="F111" s="99">
        <f t="shared" si="128"/>
        <v>2</v>
      </c>
      <c r="G111" s="99">
        <f t="shared" si="128"/>
        <v>1</v>
      </c>
      <c r="H111" s="99">
        <f t="shared" si="128"/>
        <v>0</v>
      </c>
      <c r="I111" s="99">
        <f t="shared" si="128"/>
        <v>0</v>
      </c>
      <c r="J111" s="99">
        <f t="shared" si="128"/>
        <v>0</v>
      </c>
      <c r="K111" s="99">
        <f t="shared" si="128"/>
        <v>0</v>
      </c>
      <c r="L111" s="99">
        <f t="shared" si="128"/>
        <v>0</v>
      </c>
      <c r="M111" s="99">
        <f>SUM(D111:L111)</f>
        <v>42</v>
      </c>
      <c r="N111" s="8"/>
      <c r="P111" s="21" t="str">
        <f>MID(H105,7,1)</f>
        <v>0</v>
      </c>
      <c r="Q111" s="26" t="str">
        <f t="shared" si="122"/>
        <v>0</v>
      </c>
      <c r="R111" s="7" t="s">
        <v>73</v>
      </c>
      <c r="S111" s="518" t="s">
        <v>1613</v>
      </c>
      <c r="T111" s="21" t="str">
        <f>MID(I105,7,1)</f>
        <v>0</v>
      </c>
      <c r="U111" s="26" t="str">
        <f t="shared" si="123"/>
        <v>0</v>
      </c>
      <c r="V111" s="7" t="s">
        <v>73</v>
      </c>
      <c r="W111" s="517" t="s">
        <v>1617</v>
      </c>
      <c r="X111" s="21" t="str">
        <f>MID(J105,7,1)</f>
        <v>0</v>
      </c>
      <c r="Y111" s="26" t="str">
        <f t="shared" si="124"/>
        <v>0</v>
      </c>
      <c r="Z111" s="7" t="s">
        <v>73</v>
      </c>
      <c r="AA111" s="8" t="s">
        <v>66</v>
      </c>
      <c r="AB111" s="21" t="str">
        <f>MID(K105,7,1)</f>
        <v>0</v>
      </c>
      <c r="AC111" s="26" t="str">
        <f t="shared" si="125"/>
        <v>0</v>
      </c>
      <c r="AD111" s="7" t="s">
        <v>73</v>
      </c>
      <c r="AE111" s="8" t="s">
        <v>66</v>
      </c>
      <c r="AF111" s="21" t="str">
        <f>MID(L105,7,1)</f>
        <v>0</v>
      </c>
      <c r="AG111" s="26" t="str">
        <f t="shared" si="126"/>
        <v>0</v>
      </c>
      <c r="AH111" s="7" t="s">
        <v>73</v>
      </c>
      <c r="AI111" s="8" t="s">
        <v>66</v>
      </c>
      <c r="AJ111" s="400"/>
      <c r="AK111" s="401"/>
    </row>
    <row r="112" spans="1:39" ht="15" thickBot="1" x14ac:dyDescent="0.35">
      <c r="C112" s="9" t="s">
        <v>1678</v>
      </c>
      <c r="D112" s="334" t="str">
        <f>D107</f>
        <v>07</v>
      </c>
      <c r="E112" s="334" t="str">
        <f t="shared" ref="E112:G112" si="129">E107</f>
        <v>20</v>
      </c>
      <c r="F112" s="334" t="str">
        <f t="shared" si="129"/>
        <v>G2</v>
      </c>
      <c r="G112" s="334" t="str">
        <f t="shared" si="129"/>
        <v>G1</v>
      </c>
      <c r="H112" s="10"/>
      <c r="I112" s="10"/>
      <c r="J112" s="10"/>
      <c r="K112" s="10"/>
      <c r="L112" s="10"/>
      <c r="M112" s="10"/>
      <c r="N112" s="11"/>
      <c r="P112" s="22" t="str">
        <f>MID(H105,8,1)</f>
        <v>0</v>
      </c>
      <c r="Q112" s="55" t="str">
        <f t="shared" si="122"/>
        <v>0</v>
      </c>
      <c r="R112" s="9" t="s">
        <v>74</v>
      </c>
      <c r="S112" s="519"/>
      <c r="T112" s="22" t="str">
        <f>MID(I105,8,1)</f>
        <v>0</v>
      </c>
      <c r="U112" s="55" t="str">
        <f t="shared" si="123"/>
        <v>0</v>
      </c>
      <c r="V112" s="9" t="s">
        <v>74</v>
      </c>
      <c r="W112" s="520"/>
      <c r="X112" s="22" t="str">
        <f>MID(J105,8,1)</f>
        <v>0</v>
      </c>
      <c r="Y112" s="55" t="str">
        <f t="shared" si="124"/>
        <v>0</v>
      </c>
      <c r="Z112" s="9" t="s">
        <v>74</v>
      </c>
      <c r="AA112" s="11" t="s">
        <v>66</v>
      </c>
      <c r="AB112" s="22" t="str">
        <f>MID(K105,8,1)</f>
        <v>0</v>
      </c>
      <c r="AC112" s="55" t="str">
        <f t="shared" si="125"/>
        <v>0</v>
      </c>
      <c r="AD112" s="9" t="s">
        <v>74</v>
      </c>
      <c r="AE112" s="11" t="s">
        <v>66</v>
      </c>
      <c r="AF112" s="22" t="str">
        <f>MID(L105,8,1)</f>
        <v>0</v>
      </c>
      <c r="AG112" s="55" t="str">
        <f t="shared" si="126"/>
        <v>0</v>
      </c>
      <c r="AH112" s="9" t="s">
        <v>74</v>
      </c>
      <c r="AI112" s="11" t="s">
        <v>66</v>
      </c>
      <c r="AJ112" s="402"/>
      <c r="AK112" s="404"/>
    </row>
    <row r="113" spans="3:37" ht="15" thickBot="1" x14ac:dyDescent="0.35">
      <c r="C113" s="4"/>
      <c r="D113" s="5"/>
      <c r="E113" s="5"/>
      <c r="F113" s="5"/>
      <c r="G113" s="5"/>
      <c r="H113" s="395" t="s">
        <v>142</v>
      </c>
      <c r="I113" s="395"/>
      <c r="J113" s="5"/>
      <c r="K113" s="5"/>
      <c r="L113" s="5"/>
      <c r="M113" s="5" t="s">
        <v>41</v>
      </c>
      <c r="N113" s="6"/>
      <c r="P113" s="392" t="s">
        <v>411</v>
      </c>
      <c r="Q113" s="392"/>
      <c r="R113" s="392"/>
      <c r="S113" s="392"/>
      <c r="T113" s="392"/>
      <c r="U113" s="392"/>
      <c r="V113" s="392"/>
      <c r="W113" s="392"/>
      <c r="X113" s="392"/>
      <c r="Y113" s="392"/>
      <c r="Z113" s="392"/>
      <c r="AA113" s="392"/>
      <c r="AB113" s="392"/>
      <c r="AC113" s="392"/>
      <c r="AD113" s="392"/>
      <c r="AE113" s="392"/>
      <c r="AF113" s="392"/>
      <c r="AG113" s="392"/>
      <c r="AH113" s="392"/>
      <c r="AI113" s="392"/>
      <c r="AJ113" s="392"/>
      <c r="AK113" s="392"/>
    </row>
    <row r="114" spans="3:37" ht="15" thickBot="1" x14ac:dyDescent="0.35">
      <c r="C114" s="7"/>
      <c r="D114" s="393" t="s">
        <v>1569</v>
      </c>
      <c r="E114" s="393"/>
      <c r="F114" s="393"/>
      <c r="G114" s="393"/>
      <c r="H114" s="99" t="s">
        <v>44</v>
      </c>
      <c r="I114" s="99" t="s">
        <v>45</v>
      </c>
      <c r="J114" s="99" t="s">
        <v>46</v>
      </c>
      <c r="K114" s="99" t="s">
        <v>47</v>
      </c>
      <c r="L114" s="99" t="s">
        <v>48</v>
      </c>
      <c r="M114" s="99" t="s">
        <v>49</v>
      </c>
      <c r="N114" s="8"/>
      <c r="P114" s="394" t="s">
        <v>144</v>
      </c>
      <c r="Q114" s="395"/>
      <c r="R114" s="395"/>
      <c r="S114" s="395"/>
      <c r="T114" s="395"/>
      <c r="U114" s="395"/>
      <c r="V114" s="395"/>
      <c r="W114" s="396"/>
      <c r="X114" s="394" t="s">
        <v>52</v>
      </c>
      <c r="Y114" s="395"/>
      <c r="Z114" s="395"/>
      <c r="AA114" s="396"/>
      <c r="AB114" s="394" t="s">
        <v>53</v>
      </c>
      <c r="AC114" s="395"/>
      <c r="AD114" s="395"/>
      <c r="AE114" s="396"/>
      <c r="AF114" s="394" t="s">
        <v>97</v>
      </c>
      <c r="AG114" s="395"/>
      <c r="AH114" s="395"/>
      <c r="AI114" s="396"/>
      <c r="AJ114" s="394" t="s">
        <v>55</v>
      </c>
      <c r="AK114" s="396"/>
    </row>
    <row r="115" spans="3:37" ht="15" thickBot="1" x14ac:dyDescent="0.35">
      <c r="C115" s="7" t="s">
        <v>56</v>
      </c>
      <c r="D115" s="12" t="s">
        <v>57</v>
      </c>
      <c r="E115" s="13" t="s">
        <v>130</v>
      </c>
      <c r="F115" s="13" t="s">
        <v>111</v>
      </c>
      <c r="G115" s="14" t="s">
        <v>59</v>
      </c>
      <c r="H115" s="41" t="str" cm="1">
        <f t="array" ref="H115">MID(INDEX($A$3:$A$70,IF(ISNA(MATCH("720G4G1*",$A$3:$A$70,0))=TRUE,MATCH("7200401*",$A$3:$A$70,0),MATCH("720G4G1*",$A$3:$A$70,0))),$AU$8,2)</f>
        <v>00</v>
      </c>
      <c r="I115" s="42" t="str" cm="1">
        <f t="array" ref="I115">MID(INDEX($A$3:$A$70,IF(ISNA(MATCH("720G4G1*",$A$3:$A$70,0))=TRUE,MATCH("7200401*",$A$3:$A$70,0),MATCH("720G4G1*",$A$3:$A$70,0))),$AV$8,2)</f>
        <v>00</v>
      </c>
      <c r="J115" s="24" t="str" cm="1">
        <f t="array" ref="J115">MID(INDEX($A$3:$A$70,IF(ISNA(MATCH("720G4G1*",$A$3:$A$70,0))=TRUE,MATCH("7200401*",$A$3:$A$70,0),MATCH("720G4G1*",$A$3:$A$70,0))),$AW$8,2)</f>
        <v>00</v>
      </c>
      <c r="K115" s="42" t="str" cm="1">
        <f t="array" ref="K115">MID(INDEX($A$3:$A$70,IF(ISNA(MATCH("720G4G1*",$A$3:$A$70,0))=TRUE,MATCH("7200401*",$A$3:$A$70,0),MATCH("720G4G1*",$A$3:$A$70,0))),$AX$8,2)</f>
        <v>00</v>
      </c>
      <c r="L115" s="43" t="str" cm="1">
        <f t="array" ref="L115">MID(INDEX($A$3:$A$70,IF(ISNA(MATCH("720G4G1*",$A$3:$A$70,0))=TRUE,MATCH("7200401*",$A$3:$A$70,0),MATCH("720G4G1*",$A$3:$A$70,0))),$AY$8,2)</f>
        <v>00</v>
      </c>
      <c r="M115" s="44" t="str" cm="1">
        <f t="array" ref="M115">MID(INDEX($A$3:$A$70,IF(ISNA(MATCH("720G4G1*",$A$3:$A$70,0))=TRUE,MATCH("7200401*",$A$3:$A$70,0),MATCH("720G4G1*",$A$3:$A$70,0))),$AZ$8,2)</f>
        <v>2C</v>
      </c>
      <c r="N115" s="8" t="s">
        <v>60</v>
      </c>
      <c r="P115" s="4" t="s">
        <v>63</v>
      </c>
      <c r="Q115" s="5"/>
      <c r="R115" s="5"/>
      <c r="S115" s="5"/>
      <c r="T115" s="5"/>
      <c r="U115" s="5"/>
      <c r="V115" s="5"/>
      <c r="W115" s="6"/>
      <c r="X115" s="32" t="s">
        <v>60</v>
      </c>
      <c r="Y115" s="20" t="s">
        <v>61</v>
      </c>
      <c r="Z115" t="s">
        <v>62</v>
      </c>
      <c r="AA115" s="8"/>
      <c r="AB115" s="19" t="s">
        <v>60</v>
      </c>
      <c r="AC115" s="20" t="s">
        <v>61</v>
      </c>
      <c r="AD115" t="s">
        <v>62</v>
      </c>
      <c r="AE115" s="8"/>
      <c r="AF115" s="19" t="s">
        <v>60</v>
      </c>
      <c r="AG115" s="20" t="s">
        <v>61</v>
      </c>
      <c r="AH115" t="s">
        <v>62</v>
      </c>
      <c r="AJ115" s="394" t="s">
        <v>63</v>
      </c>
      <c r="AK115" s="396"/>
    </row>
    <row r="116" spans="3:37" x14ac:dyDescent="0.3">
      <c r="C116" s="7" t="s">
        <v>64</v>
      </c>
      <c r="D116" s="99" t="str">
        <f>HEX2BIN(D115,8)</f>
        <v>00000111</v>
      </c>
      <c r="E116" s="99" t="str">
        <f t="shared" ref="E116:L116" si="130">HEX2BIN(E115,8)</f>
        <v>00100000</v>
      </c>
      <c r="F116" s="99" t="str">
        <f t="shared" si="130"/>
        <v>00000100</v>
      </c>
      <c r="G116" s="99" t="str">
        <f t="shared" si="130"/>
        <v>00000001</v>
      </c>
      <c r="H116" s="99" t="str">
        <f t="shared" si="130"/>
        <v>00000000</v>
      </c>
      <c r="I116" s="99" t="str">
        <f t="shared" si="130"/>
        <v>00000000</v>
      </c>
      <c r="J116" s="99" t="str">
        <f t="shared" si="130"/>
        <v>00000000</v>
      </c>
      <c r="K116" s="99" t="str">
        <f t="shared" si="130"/>
        <v>00000000</v>
      </c>
      <c r="L116" s="99" t="str">
        <f t="shared" si="130"/>
        <v>00000000</v>
      </c>
      <c r="N116" s="8"/>
      <c r="P116" s="7" t="s">
        <v>63</v>
      </c>
      <c r="Q116" s="27"/>
      <c r="W116" s="8"/>
      <c r="X116" s="33" t="str">
        <f>MID(J116,1,1)</f>
        <v>0</v>
      </c>
      <c r="Y116" s="26" t="str">
        <f>X116</f>
        <v>0</v>
      </c>
      <c r="Z116" s="7" t="s">
        <v>65</v>
      </c>
      <c r="AA116" s="8" t="s">
        <v>66</v>
      </c>
      <c r="AB116" s="21" t="str">
        <f>MID(K116,1,1)</f>
        <v>0</v>
      </c>
      <c r="AC116" s="26" t="str">
        <f>AB116</f>
        <v>0</v>
      </c>
      <c r="AD116" s="7" t="s">
        <v>65</v>
      </c>
      <c r="AE116" s="8" t="s">
        <v>66</v>
      </c>
      <c r="AF116" s="21" t="str">
        <f>MID(L116,1,1)</f>
        <v>0</v>
      </c>
      <c r="AG116" s="26" t="str">
        <f>AF116</f>
        <v>0</v>
      </c>
      <c r="AH116" s="7" t="s">
        <v>65</v>
      </c>
      <c r="AI116" s="8" t="s">
        <v>66</v>
      </c>
      <c r="AJ116" s="400"/>
      <c r="AK116" s="401"/>
    </row>
    <row r="117" spans="3:37" x14ac:dyDescent="0.3">
      <c r="C117" s="7" t="s">
        <v>67</v>
      </c>
      <c r="D117" s="99">
        <f>HEX2DEC(D115)</f>
        <v>7</v>
      </c>
      <c r="E117" s="99">
        <f t="shared" ref="E117:L117" si="131">HEX2DEC(E115)</f>
        <v>32</v>
      </c>
      <c r="F117" s="99">
        <f t="shared" si="131"/>
        <v>4</v>
      </c>
      <c r="G117" s="99">
        <f t="shared" si="131"/>
        <v>1</v>
      </c>
      <c r="H117" s="99">
        <f t="shared" si="131"/>
        <v>0</v>
      </c>
      <c r="I117" s="99">
        <f t="shared" si="131"/>
        <v>0</v>
      </c>
      <c r="J117" s="99">
        <f t="shared" si="131"/>
        <v>0</v>
      </c>
      <c r="K117" s="99">
        <f t="shared" si="131"/>
        <v>0</v>
      </c>
      <c r="L117" s="99">
        <f t="shared" si="131"/>
        <v>0</v>
      </c>
      <c r="M117" s="99">
        <f>SUM(D117:L117)</f>
        <v>44</v>
      </c>
      <c r="N117" s="8"/>
      <c r="P117" s="7" t="s">
        <v>63</v>
      </c>
      <c r="Q117" s="27"/>
      <c r="S117" t="s">
        <v>147</v>
      </c>
      <c r="W117" s="8"/>
      <c r="X117" s="33" t="str">
        <f>MID(J116,2,1)</f>
        <v>0</v>
      </c>
      <c r="Y117" s="26" t="str">
        <f t="shared" ref="Y117:Y123" si="132">X117</f>
        <v>0</v>
      </c>
      <c r="Z117" s="7" t="s">
        <v>68</v>
      </c>
      <c r="AA117" s="8" t="s">
        <v>66</v>
      </c>
      <c r="AB117" s="21" t="str">
        <f>MID(K116,2,1)</f>
        <v>0</v>
      </c>
      <c r="AC117" s="26" t="str">
        <f t="shared" ref="AC117:AC123" si="133">AB117</f>
        <v>0</v>
      </c>
      <c r="AD117" s="7" t="s">
        <v>68</v>
      </c>
      <c r="AE117" s="8" t="s">
        <v>66</v>
      </c>
      <c r="AF117" s="21" t="str">
        <f>MID(L116,2,1)</f>
        <v>0</v>
      </c>
      <c r="AG117" s="26" t="str">
        <f t="shared" ref="AG117:AG123" si="134">AF117</f>
        <v>0</v>
      </c>
      <c r="AH117" s="7" t="s">
        <v>68</v>
      </c>
      <c r="AI117" s="8" t="s">
        <v>66</v>
      </c>
      <c r="AJ117" s="400"/>
      <c r="AK117" s="401"/>
    </row>
    <row r="118" spans="3:37" x14ac:dyDescent="0.3">
      <c r="C118" s="7" t="s">
        <v>1678</v>
      </c>
      <c r="D118" s="333" t="str">
        <f>D115</f>
        <v>07</v>
      </c>
      <c r="E118" s="333" t="str">
        <f>E115</f>
        <v>20</v>
      </c>
      <c r="F118" s="99" t="str">
        <f>MID(INDEX($A$3:$A$70,IF(ISNA(MATCH("720G4G1*",$A$3:$A$70,0))=TRUE,MATCH("7200401*",$A$3:$A$70,0),MATCH("720G4G1*",$A$3:$A$70,0))),$AS$8,2)</f>
        <v>G4</v>
      </c>
      <c r="G118" s="99" t="str">
        <f>MID(INDEX($A$3:$A$70,IF(ISNA(MATCH("720G4G1*",$A$3:$A$70,0))=TRUE,MATCH("7200401*",$A$3:$A$70,0),MATCH("720G4G1*",$A$3:$A$70,0))),$AT$8,2)</f>
        <v>G1</v>
      </c>
      <c r="N118" s="8"/>
      <c r="P118" s="7" t="s">
        <v>63</v>
      </c>
      <c r="Q118" s="27"/>
      <c r="S118" t="str">
        <f>DEC2HEX(KT6)</f>
        <v>0</v>
      </c>
      <c r="W118" s="8"/>
      <c r="X118" s="33" t="str">
        <f>MID(J116,3,1)</f>
        <v>0</v>
      </c>
      <c r="Y118" s="26" t="str">
        <f t="shared" si="132"/>
        <v>0</v>
      </c>
      <c r="Z118" s="7" t="s">
        <v>69</v>
      </c>
      <c r="AA118" s="8" t="s">
        <v>66</v>
      </c>
      <c r="AB118" s="21" t="str">
        <f>MID(K116,3,1)</f>
        <v>0</v>
      </c>
      <c r="AC118" s="26" t="str">
        <f t="shared" si="133"/>
        <v>0</v>
      </c>
      <c r="AD118" s="7" t="s">
        <v>69</v>
      </c>
      <c r="AE118" s="8" t="s">
        <v>66</v>
      </c>
      <c r="AF118" s="21" t="str">
        <f>MID(L116,3,1)</f>
        <v>0</v>
      </c>
      <c r="AG118" s="26" t="str">
        <f t="shared" si="134"/>
        <v>0</v>
      </c>
      <c r="AH118" s="7" t="s">
        <v>69</v>
      </c>
      <c r="AI118" s="8" t="s">
        <v>66</v>
      </c>
      <c r="AJ118" s="400"/>
      <c r="AK118" s="401"/>
    </row>
    <row r="119" spans="3:37" ht="15" thickBot="1" x14ac:dyDescent="0.35">
      <c r="C119" s="7"/>
      <c r="N119" s="8"/>
      <c r="P119" s="7" t="s">
        <v>63</v>
      </c>
      <c r="Q119" s="27"/>
      <c r="W119" s="8"/>
      <c r="X119" s="33" t="str">
        <f>MID(J116,4,1)</f>
        <v>0</v>
      </c>
      <c r="Y119" s="26" t="str">
        <f t="shared" si="132"/>
        <v>0</v>
      </c>
      <c r="Z119" s="7" t="s">
        <v>70</v>
      </c>
      <c r="AA119" s="8" t="s">
        <v>66</v>
      </c>
      <c r="AB119" s="21" t="str">
        <f>MID(K116,4,1)</f>
        <v>0</v>
      </c>
      <c r="AC119" s="26" t="str">
        <f t="shared" si="133"/>
        <v>0</v>
      </c>
      <c r="AD119" s="7" t="s">
        <v>70</v>
      </c>
      <c r="AE119" s="8" t="s">
        <v>66</v>
      </c>
      <c r="AF119" s="21" t="str">
        <f>MID(L116,4,1)</f>
        <v>0</v>
      </c>
      <c r="AG119" s="26" t="str">
        <f t="shared" si="134"/>
        <v>0</v>
      </c>
      <c r="AH119" s="7" t="s">
        <v>70</v>
      </c>
      <c r="AI119" s="8" t="s">
        <v>66</v>
      </c>
      <c r="AJ119" s="400"/>
      <c r="AK119" s="401"/>
    </row>
    <row r="120" spans="3:37" ht="15" thickBot="1" x14ac:dyDescent="0.35">
      <c r="C120" s="7" t="s">
        <v>56</v>
      </c>
      <c r="D120" s="12" t="str">
        <f>D115</f>
        <v>07</v>
      </c>
      <c r="E120" s="16" t="str">
        <f>E115</f>
        <v>20</v>
      </c>
      <c r="F120" s="37" t="str">
        <f>F115</f>
        <v>04</v>
      </c>
      <c r="G120" s="40" t="str">
        <f>G115</f>
        <v>01</v>
      </c>
      <c r="H120" s="39" t="str">
        <f>IF(MID(S118,1,2)="0","00",MID(S118,1,2))</f>
        <v>00</v>
      </c>
      <c r="I120" s="38" t="str">
        <f>IF(MID(S118,3,2)="","00",MID(S118,3,2))</f>
        <v>00</v>
      </c>
      <c r="J120" s="24" t="str">
        <f t="shared" ref="J120:L120" si="135">BIN2HEX(J121,2)</f>
        <v>00</v>
      </c>
      <c r="K120" s="2" t="str">
        <f t="shared" si="135"/>
        <v>00</v>
      </c>
      <c r="L120" s="18" t="str">
        <f t="shared" si="135"/>
        <v>00</v>
      </c>
      <c r="M120" s="3" t="str">
        <f>IF(LEN(M121)&gt;2,MID(M121,2,2),M121)</f>
        <v>2C</v>
      </c>
      <c r="N120" s="8" t="s">
        <v>61</v>
      </c>
      <c r="P120" s="7" t="s">
        <v>63</v>
      </c>
      <c r="Q120" s="27"/>
      <c r="W120" s="8"/>
      <c r="X120" s="33" t="str">
        <f>MID(J116,5,1)</f>
        <v>0</v>
      </c>
      <c r="Y120" s="26" t="str">
        <f t="shared" si="132"/>
        <v>0</v>
      </c>
      <c r="Z120" s="7" t="s">
        <v>71</v>
      </c>
      <c r="AA120" s="8" t="s">
        <v>66</v>
      </c>
      <c r="AB120" s="21" t="str">
        <f>MID(K116,5,1)</f>
        <v>0</v>
      </c>
      <c r="AC120" s="26" t="str">
        <f t="shared" si="133"/>
        <v>0</v>
      </c>
      <c r="AD120" s="7" t="s">
        <v>71</v>
      </c>
      <c r="AE120" s="8" t="s">
        <v>66</v>
      </c>
      <c r="AF120" s="21" t="str">
        <f>MID(L116,5,1)</f>
        <v>0</v>
      </c>
      <c r="AG120" s="26" t="str">
        <f t="shared" si="134"/>
        <v>0</v>
      </c>
      <c r="AH120" s="7" t="s">
        <v>71</v>
      </c>
      <c r="AI120" s="8" t="s">
        <v>66</v>
      </c>
      <c r="AJ120" s="400"/>
      <c r="AK120" s="401"/>
    </row>
    <row r="121" spans="3:37" x14ac:dyDescent="0.3">
      <c r="C121" s="7" t="s">
        <v>64</v>
      </c>
      <c r="D121" s="99" t="str">
        <f>HEX2BIN(D120,8)</f>
        <v>00000111</v>
      </c>
      <c r="E121" s="99" t="str">
        <f t="shared" ref="E121:G121" si="136">HEX2BIN(E120,8)</f>
        <v>00100000</v>
      </c>
      <c r="F121" s="99" t="str">
        <f t="shared" si="136"/>
        <v>00000100</v>
      </c>
      <c r="G121" s="99" t="str">
        <f t="shared" si="136"/>
        <v>00000001</v>
      </c>
      <c r="H121" s="29" t="str">
        <f>HEX2BIN(H120,8)</f>
        <v>00000000</v>
      </c>
      <c r="I121" s="29" t="str">
        <f>HEX2BIN(I120,8)</f>
        <v>00000000</v>
      </c>
      <c r="J121" s="29" t="str">
        <f>Y116&amp;Y117&amp;Y118&amp;Y119&amp;Y120&amp;Y121&amp;Y122&amp;Y123</f>
        <v>00000000</v>
      </c>
      <c r="K121" s="29" t="str">
        <f>AC116&amp;AC117&amp;AC118&amp;AC119&amp;AC120&amp;AC121&amp;AC122&amp;AC123</f>
        <v>00000000</v>
      </c>
      <c r="L121" s="99" t="str">
        <f>AG116&amp;AG117&amp;AG118&amp;AG119&amp;AG120&amp;AG121&amp;AG122&amp;AG123</f>
        <v>00000000</v>
      </c>
      <c r="M121" s="99" t="str">
        <f>DEC2HEX(M122)</f>
        <v>2C</v>
      </c>
      <c r="N121" s="8"/>
      <c r="P121" s="7" t="s">
        <v>63</v>
      </c>
      <c r="Q121" s="27"/>
      <c r="W121" s="8"/>
      <c r="X121" s="33" t="str">
        <f>MID(J116,6,1)</f>
        <v>0</v>
      </c>
      <c r="Y121" s="26" t="str">
        <f t="shared" si="132"/>
        <v>0</v>
      </c>
      <c r="Z121" s="7" t="s">
        <v>72</v>
      </c>
      <c r="AA121" s="8" t="s">
        <v>66</v>
      </c>
      <c r="AB121" s="21" t="str">
        <f>MID(K116,6,1)</f>
        <v>0</v>
      </c>
      <c r="AC121" s="26" t="str">
        <f t="shared" si="133"/>
        <v>0</v>
      </c>
      <c r="AD121" s="7" t="s">
        <v>72</v>
      </c>
      <c r="AE121" s="8" t="s">
        <v>66</v>
      </c>
      <c r="AF121" s="21" t="str">
        <f>MID(L116,6,1)</f>
        <v>0</v>
      </c>
      <c r="AG121" s="26" t="str">
        <f t="shared" si="134"/>
        <v>0</v>
      </c>
      <c r="AH121" s="7" t="s">
        <v>72</v>
      </c>
      <c r="AI121" s="8" t="s">
        <v>66</v>
      </c>
      <c r="AJ121" s="400"/>
      <c r="AK121" s="401"/>
    </row>
    <row r="122" spans="3:37" x14ac:dyDescent="0.3">
      <c r="C122" s="7" t="s">
        <v>67</v>
      </c>
      <c r="D122" s="99">
        <f>HEX2DEC(D120)</f>
        <v>7</v>
      </c>
      <c r="E122" s="99">
        <f t="shared" ref="E122:L122" si="137">HEX2DEC(E120)</f>
        <v>32</v>
      </c>
      <c r="F122" s="99">
        <f t="shared" si="137"/>
        <v>4</v>
      </c>
      <c r="G122" s="99">
        <f t="shared" si="137"/>
        <v>1</v>
      </c>
      <c r="H122" s="99">
        <f t="shared" si="137"/>
        <v>0</v>
      </c>
      <c r="I122" s="99">
        <f t="shared" si="137"/>
        <v>0</v>
      </c>
      <c r="J122" s="99">
        <f t="shared" si="137"/>
        <v>0</v>
      </c>
      <c r="K122" s="99">
        <f t="shared" si="137"/>
        <v>0</v>
      </c>
      <c r="L122" s="99">
        <f t="shared" si="137"/>
        <v>0</v>
      </c>
      <c r="M122" s="99">
        <f>SUM(D122:L122)</f>
        <v>44</v>
      </c>
      <c r="N122" s="8"/>
      <c r="P122" s="7" t="s">
        <v>63</v>
      </c>
      <c r="Q122" s="27"/>
      <c r="W122" s="8"/>
      <c r="X122" s="33" t="str">
        <f>MID(J116,7,1)</f>
        <v>0</v>
      </c>
      <c r="Y122" s="26" t="str">
        <f t="shared" si="132"/>
        <v>0</v>
      </c>
      <c r="Z122" s="7" t="s">
        <v>73</v>
      </c>
      <c r="AA122" s="8" t="s">
        <v>66</v>
      </c>
      <c r="AB122" s="21" t="str">
        <f>MID(K116,7,1)</f>
        <v>0</v>
      </c>
      <c r="AC122" s="26" t="str">
        <f t="shared" si="133"/>
        <v>0</v>
      </c>
      <c r="AD122" s="7" t="s">
        <v>73</v>
      </c>
      <c r="AE122" s="8" t="s">
        <v>66</v>
      </c>
      <c r="AF122" s="21" t="str">
        <f>MID(L116,7,1)</f>
        <v>0</v>
      </c>
      <c r="AG122" s="26" t="str">
        <f t="shared" si="134"/>
        <v>0</v>
      </c>
      <c r="AH122" s="7" t="s">
        <v>73</v>
      </c>
      <c r="AI122" s="8" t="s">
        <v>66</v>
      </c>
      <c r="AJ122" s="400"/>
      <c r="AK122" s="401"/>
    </row>
    <row r="123" spans="3:37" ht="15" thickBot="1" x14ac:dyDescent="0.35">
      <c r="C123" s="9" t="s">
        <v>1678</v>
      </c>
      <c r="D123" s="334" t="str">
        <f>D118</f>
        <v>07</v>
      </c>
      <c r="E123" s="334" t="str">
        <f t="shared" ref="E123:G123" si="138">E118</f>
        <v>20</v>
      </c>
      <c r="F123" s="334" t="str">
        <f t="shared" si="138"/>
        <v>G4</v>
      </c>
      <c r="G123" s="334" t="str">
        <f t="shared" si="138"/>
        <v>G1</v>
      </c>
      <c r="H123" s="10"/>
      <c r="I123" s="10"/>
      <c r="J123" s="10"/>
      <c r="K123" s="10"/>
      <c r="L123" s="10"/>
      <c r="M123" s="10"/>
      <c r="N123" s="11"/>
      <c r="P123" s="9" t="s">
        <v>63</v>
      </c>
      <c r="Q123" s="28"/>
      <c r="R123" s="10"/>
      <c r="S123" s="10"/>
      <c r="T123" s="10"/>
      <c r="U123" s="10"/>
      <c r="V123" s="10"/>
      <c r="W123" s="11"/>
      <c r="X123" s="34" t="str">
        <f>MID(J116,8,1)</f>
        <v>0</v>
      </c>
      <c r="Y123" s="55" t="str">
        <f t="shared" si="132"/>
        <v>0</v>
      </c>
      <c r="Z123" s="9" t="s">
        <v>74</v>
      </c>
      <c r="AA123" s="11" t="s">
        <v>66</v>
      </c>
      <c r="AB123" s="22" t="str">
        <f>MID(K116,8,1)</f>
        <v>0</v>
      </c>
      <c r="AC123" s="55" t="str">
        <f t="shared" si="133"/>
        <v>0</v>
      </c>
      <c r="AD123" s="9" t="s">
        <v>74</v>
      </c>
      <c r="AE123" s="11" t="s">
        <v>66</v>
      </c>
      <c r="AF123" s="22" t="str">
        <f>MID(L116,8,1)</f>
        <v>0</v>
      </c>
      <c r="AG123" s="55" t="str">
        <f t="shared" si="134"/>
        <v>0</v>
      </c>
      <c r="AH123" s="9" t="s">
        <v>74</v>
      </c>
      <c r="AI123" s="11" t="s">
        <v>66</v>
      </c>
      <c r="AJ123" s="402"/>
      <c r="AK123" s="404"/>
    </row>
    <row r="124" spans="3:37" ht="15" thickBot="1" x14ac:dyDescent="0.35">
      <c r="C124" s="4"/>
      <c r="D124" s="5"/>
      <c r="E124" s="5"/>
      <c r="F124" s="5"/>
      <c r="G124" s="5"/>
      <c r="H124" s="5"/>
      <c r="I124" s="5"/>
      <c r="J124" s="5"/>
      <c r="K124" s="5"/>
      <c r="L124" s="5"/>
      <c r="M124" s="5" t="s">
        <v>41</v>
      </c>
      <c r="N124" s="6"/>
      <c r="P124" s="392" t="s">
        <v>412</v>
      </c>
      <c r="Q124" s="392"/>
      <c r="R124" s="392"/>
      <c r="S124" s="392"/>
      <c r="T124" s="392"/>
      <c r="U124" s="392"/>
      <c r="V124" s="392"/>
      <c r="W124" s="392"/>
      <c r="X124" s="392"/>
      <c r="Y124" s="392"/>
      <c r="Z124" s="392"/>
      <c r="AA124" s="392"/>
      <c r="AB124" s="392"/>
      <c r="AC124" s="392"/>
      <c r="AD124" s="392"/>
      <c r="AE124" s="392"/>
      <c r="AF124" s="392"/>
      <c r="AG124" s="392"/>
      <c r="AH124" s="392"/>
      <c r="AI124" s="392"/>
      <c r="AJ124" s="392"/>
      <c r="AK124" s="392"/>
    </row>
    <row r="125" spans="3:37" ht="15" thickBot="1" x14ac:dyDescent="0.35">
      <c r="C125" s="7"/>
      <c r="D125" s="393" t="s">
        <v>1568</v>
      </c>
      <c r="E125" s="393"/>
      <c r="F125" s="393"/>
      <c r="G125" s="393"/>
      <c r="H125" s="99" t="s">
        <v>44</v>
      </c>
      <c r="I125" s="99" t="s">
        <v>45</v>
      </c>
      <c r="J125" s="99" t="s">
        <v>46</v>
      </c>
      <c r="K125" s="99" t="s">
        <v>47</v>
      </c>
      <c r="L125" s="99" t="s">
        <v>48</v>
      </c>
      <c r="M125" s="99" t="s">
        <v>49</v>
      </c>
      <c r="N125" s="8"/>
      <c r="P125" s="394" t="s">
        <v>50</v>
      </c>
      <c r="Q125" s="395"/>
      <c r="R125" s="395"/>
      <c r="S125" s="396"/>
      <c r="T125" s="394" t="s">
        <v>51</v>
      </c>
      <c r="U125" s="395"/>
      <c r="V125" s="395"/>
      <c r="W125" s="396"/>
      <c r="X125" s="394" t="s">
        <v>52</v>
      </c>
      <c r="Y125" s="395"/>
      <c r="Z125" s="395"/>
      <c r="AA125" s="396"/>
      <c r="AB125" s="448" t="s">
        <v>157</v>
      </c>
      <c r="AC125" s="407"/>
      <c r="AD125" s="407"/>
      <c r="AE125" s="408"/>
      <c r="AF125" s="448" t="s">
        <v>158</v>
      </c>
      <c r="AG125" s="407"/>
      <c r="AH125" s="407"/>
      <c r="AI125" s="408"/>
      <c r="AJ125" s="394" t="s">
        <v>55</v>
      </c>
      <c r="AK125" s="396"/>
    </row>
    <row r="126" spans="3:37" ht="15" thickBot="1" x14ac:dyDescent="0.35">
      <c r="C126" s="7" t="s">
        <v>56</v>
      </c>
      <c r="D126" s="12" t="s">
        <v>57</v>
      </c>
      <c r="E126" s="13" t="s">
        <v>130</v>
      </c>
      <c r="F126" s="13" t="s">
        <v>111</v>
      </c>
      <c r="G126" s="14" t="s">
        <v>77</v>
      </c>
      <c r="H126" s="41" t="str" cm="1">
        <f t="array" ref="H126">MID(INDEX($A$3:$A$70,IF(ISNA(MATCH("720G4G2*",$A$3:$A$70,0))=TRUE,MATCH("7200402*",$A$3:$A$70,0),MATCH("720G4G2*",$A$3:$A$70,0))),$AU$8,2)</f>
        <v>00</v>
      </c>
      <c r="I126" s="42" t="str" cm="1">
        <f t="array" ref="I126">MID(INDEX($A$3:$A$70,IF(ISNA(MATCH("720G4G2*",$A$3:$A$70,0))=TRUE,MATCH("7200402*",$A$3:$A$70,0),MATCH("720G4G2*",$A$3:$A$70,0))),$AV$8,2)</f>
        <v>00</v>
      </c>
      <c r="J126" s="24" t="str" cm="1">
        <f t="array" ref="J126">MID(INDEX($A$3:$A$70,IF(ISNA(MATCH("720G4G2*",$A$3:$A$70,0))=TRUE,MATCH("7200402*",$A$3:$A$70,0),MATCH("720G4G2*",$A$3:$A$70,0))),$AW$8,2)</f>
        <v>00</v>
      </c>
      <c r="K126" s="42" t="str" cm="1">
        <f t="array" ref="K126">MID(INDEX($A$3:$A$70,IF(ISNA(MATCH("720G4G2*",$A$3:$A$70,0))=TRUE,MATCH("7200402*",$A$3:$A$70,0),MATCH("720G4G2*",$A$3:$A$70,0))),$AX$8,2)</f>
        <v>00</v>
      </c>
      <c r="L126" s="43" t="str" cm="1">
        <f t="array" ref="L126">MID(INDEX($A$3:$A$70,IF(ISNA(MATCH("720G4G2*",$A$3:$A$70,0))=TRUE,MATCH("7200402*",$A$3:$A$70,0),MATCH("720G4G2*",$A$3:$A$70,0))),$AY$8,2)</f>
        <v>00</v>
      </c>
      <c r="M126" s="44" t="str" cm="1">
        <f t="array" ref="M126">MID(INDEX($A$3:$A$70,IF(ISNA(MATCH("720G4G2*",$A$3:$A$70,0))=TRUE,MATCH("7200402*",$A$3:$A$70,0),MATCH("720G4G2*",$A$3:$A$70,0))),$AZ$8,2)</f>
        <v>2D</v>
      </c>
      <c r="N126" s="8" t="s">
        <v>60</v>
      </c>
      <c r="P126" s="19" t="s">
        <v>60</v>
      </c>
      <c r="Q126" s="20" t="s">
        <v>61</v>
      </c>
      <c r="R126" t="s">
        <v>62</v>
      </c>
      <c r="S126" s="8"/>
      <c r="T126" s="19" t="s">
        <v>60</v>
      </c>
      <c r="U126" s="20" t="s">
        <v>61</v>
      </c>
      <c r="V126" t="s">
        <v>62</v>
      </c>
      <c r="W126" s="8"/>
      <c r="X126" s="19" t="s">
        <v>60</v>
      </c>
      <c r="Y126" s="20" t="s">
        <v>61</v>
      </c>
      <c r="Z126" t="s">
        <v>62</v>
      </c>
      <c r="AA126" s="8"/>
      <c r="AB126" s="394"/>
      <c r="AC126" s="395"/>
      <c r="AD126" s="395"/>
      <c r="AE126" s="396"/>
      <c r="AF126" s="394"/>
      <c r="AG126" s="395"/>
      <c r="AH126" s="395"/>
      <c r="AI126" s="396"/>
      <c r="AJ126" s="394" t="s">
        <v>63</v>
      </c>
      <c r="AK126" s="396"/>
    </row>
    <row r="127" spans="3:37" x14ac:dyDescent="0.3">
      <c r="C127" s="7" t="s">
        <v>64</v>
      </c>
      <c r="D127" s="99" t="str">
        <f t="shared" ref="D127:E127" si="139">HEX2BIN(D126,8)</f>
        <v>00000111</v>
      </c>
      <c r="E127" s="99" t="str">
        <f t="shared" si="139"/>
        <v>00100000</v>
      </c>
      <c r="F127" s="99" t="str">
        <f>HEX2BIN(F126,8)</f>
        <v>00000100</v>
      </c>
      <c r="G127" s="99" t="str">
        <f t="shared" ref="G127:L127" si="140">HEX2BIN(G126,8)</f>
        <v>00000010</v>
      </c>
      <c r="H127" s="99" t="str">
        <f t="shared" si="140"/>
        <v>00000000</v>
      </c>
      <c r="I127" s="99" t="str">
        <f t="shared" si="140"/>
        <v>00000000</v>
      </c>
      <c r="J127" s="99" t="str">
        <f t="shared" si="140"/>
        <v>00000000</v>
      </c>
      <c r="K127" s="99" t="str">
        <f t="shared" si="140"/>
        <v>00000000</v>
      </c>
      <c r="L127" s="99" t="str">
        <f t="shared" si="140"/>
        <v>00000000</v>
      </c>
      <c r="M127" s="99"/>
      <c r="N127" s="8"/>
      <c r="P127" s="21" t="str">
        <f>MID(H127,1,1)</f>
        <v>0</v>
      </c>
      <c r="Q127" s="26" t="str">
        <f>P127</f>
        <v>0</v>
      </c>
      <c r="R127" s="7" t="s">
        <v>65</v>
      </c>
      <c r="S127" s="8" t="s">
        <v>66</v>
      </c>
      <c r="T127" s="21" t="str">
        <f>MID(I127,1,1)</f>
        <v>0</v>
      </c>
      <c r="U127" s="26" t="str">
        <f>T127</f>
        <v>0</v>
      </c>
      <c r="V127" s="7" t="s">
        <v>65</v>
      </c>
      <c r="W127" s="8" t="s">
        <v>66</v>
      </c>
      <c r="X127" s="21" t="str">
        <f>MID(J127,1,1)</f>
        <v>0</v>
      </c>
      <c r="Y127" s="26" t="str">
        <f>X127</f>
        <v>0</v>
      </c>
      <c r="Z127" s="7" t="s">
        <v>65</v>
      </c>
      <c r="AA127" s="8" t="s">
        <v>66</v>
      </c>
      <c r="AB127" s="400"/>
      <c r="AC127" s="381"/>
      <c r="AD127" s="381"/>
      <c r="AE127" s="401"/>
      <c r="AF127" s="400"/>
      <c r="AG127" s="381"/>
      <c r="AH127" s="381"/>
      <c r="AI127" s="401"/>
      <c r="AJ127" s="400"/>
      <c r="AK127" s="401"/>
    </row>
    <row r="128" spans="3:37" x14ac:dyDescent="0.3">
      <c r="C128" s="7" t="s">
        <v>67</v>
      </c>
      <c r="D128" s="99">
        <f>HEX2DEC(D126)</f>
        <v>7</v>
      </c>
      <c r="E128" s="99">
        <f t="shared" ref="E128:L128" si="141">HEX2DEC(E126)</f>
        <v>32</v>
      </c>
      <c r="F128" s="99">
        <f t="shared" si="141"/>
        <v>4</v>
      </c>
      <c r="G128" s="99">
        <f t="shared" si="141"/>
        <v>2</v>
      </c>
      <c r="H128" s="99">
        <f t="shared" si="141"/>
        <v>0</v>
      </c>
      <c r="I128" s="99">
        <f t="shared" si="141"/>
        <v>0</v>
      </c>
      <c r="J128" s="99">
        <f t="shared" si="141"/>
        <v>0</v>
      </c>
      <c r="K128" s="99">
        <f t="shared" si="141"/>
        <v>0</v>
      </c>
      <c r="L128" s="99">
        <f t="shared" si="141"/>
        <v>0</v>
      </c>
      <c r="M128" s="99">
        <f>SUM(D128:L128)</f>
        <v>45</v>
      </c>
      <c r="N128" s="8"/>
      <c r="P128" s="21" t="str">
        <f>MID(H127,2,1)</f>
        <v>0</v>
      </c>
      <c r="Q128" s="26" t="str">
        <f t="shared" ref="Q128:Q134" si="142">P128</f>
        <v>0</v>
      </c>
      <c r="R128" s="7" t="s">
        <v>68</v>
      </c>
      <c r="S128" s="8" t="s">
        <v>66</v>
      </c>
      <c r="T128" s="21" t="str">
        <f>MID(I127,2,1)</f>
        <v>0</v>
      </c>
      <c r="U128" s="26" t="str">
        <f t="shared" ref="U128:U134" si="143">T128</f>
        <v>0</v>
      </c>
      <c r="V128" s="7" t="s">
        <v>68</v>
      </c>
      <c r="W128" s="8" t="s">
        <v>66</v>
      </c>
      <c r="X128" s="21" t="str">
        <f>MID(J127,2,1)</f>
        <v>0</v>
      </c>
      <c r="Y128" s="26" t="str">
        <f t="shared" ref="Y128:Y134" si="144">X128</f>
        <v>0</v>
      </c>
      <c r="Z128" s="7" t="s">
        <v>68</v>
      </c>
      <c r="AA128" s="8" t="s">
        <v>66</v>
      </c>
      <c r="AB128" s="400"/>
      <c r="AC128" s="381"/>
      <c r="AD128" s="381"/>
      <c r="AE128" s="401"/>
      <c r="AF128" s="400"/>
      <c r="AG128" s="381"/>
      <c r="AH128" s="381"/>
      <c r="AI128" s="401"/>
      <c r="AJ128" s="400"/>
      <c r="AK128" s="401"/>
    </row>
    <row r="129" spans="3:37" x14ac:dyDescent="0.3">
      <c r="C129" s="7" t="s">
        <v>1678</v>
      </c>
      <c r="D129" s="333" t="str">
        <f>D126</f>
        <v>07</v>
      </c>
      <c r="E129" s="333" t="str">
        <f>E126</f>
        <v>20</v>
      </c>
      <c r="F129" s="99" t="str">
        <f>MID(INDEX($A$3:$A$70,IF(ISNA(MATCH("720G4G2*",$A$3:$A$70,0))=TRUE,MATCH("7200402*",$A$3:$A$70,0),MATCH("720G4G2*",$A$3:$A$70,0))),$AS$8,2)</f>
        <v>G4</v>
      </c>
      <c r="G129" s="99" t="str">
        <f>MID(INDEX($A$3:$A$70,IF(ISNA(MATCH("720G4G2*",$A$3:$A$70,0))=TRUE,MATCH("7200402*",$A$3:$A$70,0),MATCH("720G4G2*",$A$3:$A$70,0))),$AT$8,2)</f>
        <v>G2</v>
      </c>
      <c r="N129" s="8"/>
      <c r="P129" s="21" t="str">
        <f>MID(H127,3,1)</f>
        <v>0</v>
      </c>
      <c r="Q129" s="26" t="str">
        <f t="shared" si="142"/>
        <v>0</v>
      </c>
      <c r="R129" s="7" t="s">
        <v>69</v>
      </c>
      <c r="S129" s="8" t="s">
        <v>66</v>
      </c>
      <c r="T129" s="21" t="str">
        <f>MID(I127,3,1)</f>
        <v>0</v>
      </c>
      <c r="U129" s="26" t="str">
        <f t="shared" si="143"/>
        <v>0</v>
      </c>
      <c r="V129" s="7" t="s">
        <v>69</v>
      </c>
      <c r="W129" s="8" t="s">
        <v>66</v>
      </c>
      <c r="X129" s="21" t="str">
        <f>MID(J127,3,1)</f>
        <v>0</v>
      </c>
      <c r="Y129" s="26" t="str">
        <f t="shared" si="144"/>
        <v>0</v>
      </c>
      <c r="Z129" s="7" t="s">
        <v>69</v>
      </c>
      <c r="AA129" s="8" t="s">
        <v>66</v>
      </c>
      <c r="AB129" s="400"/>
      <c r="AC129" s="381"/>
      <c r="AD129" s="381"/>
      <c r="AE129" s="401"/>
      <c r="AF129" s="400"/>
      <c r="AG129" s="381"/>
      <c r="AH129" s="381"/>
      <c r="AI129" s="401"/>
      <c r="AJ129" s="400"/>
      <c r="AK129" s="401"/>
    </row>
    <row r="130" spans="3:37" ht="15" thickBot="1" x14ac:dyDescent="0.35">
      <c r="C130" s="7"/>
      <c r="N130" s="8"/>
      <c r="P130" s="21" t="str">
        <f>MID(H127,4,1)</f>
        <v>0</v>
      </c>
      <c r="Q130" s="26" t="str">
        <f t="shared" si="142"/>
        <v>0</v>
      </c>
      <c r="R130" s="7" t="s">
        <v>70</v>
      </c>
      <c r="S130" s="8" t="s">
        <v>66</v>
      </c>
      <c r="T130" s="21" t="str">
        <f>MID(I127,4,1)</f>
        <v>0</v>
      </c>
      <c r="U130" s="26" t="str">
        <f t="shared" si="143"/>
        <v>0</v>
      </c>
      <c r="V130" s="7" t="s">
        <v>70</v>
      </c>
      <c r="W130" s="8" t="s">
        <v>66</v>
      </c>
      <c r="X130" s="21" t="str">
        <f>MID(J127,4,1)</f>
        <v>0</v>
      </c>
      <c r="Y130" s="26" t="str">
        <f t="shared" si="144"/>
        <v>0</v>
      </c>
      <c r="Z130" s="7" t="s">
        <v>70</v>
      </c>
      <c r="AA130" s="8" t="s">
        <v>66</v>
      </c>
      <c r="AB130" s="400"/>
      <c r="AC130" s="381"/>
      <c r="AD130" s="381"/>
      <c r="AE130" s="401"/>
      <c r="AF130" s="400"/>
      <c r="AG130" s="381"/>
      <c r="AH130" s="381"/>
      <c r="AI130" s="401"/>
      <c r="AJ130" s="400"/>
      <c r="AK130" s="401"/>
    </row>
    <row r="131" spans="3:37" ht="15" thickBot="1" x14ac:dyDescent="0.35">
      <c r="C131" s="7" t="s">
        <v>56</v>
      </c>
      <c r="D131" s="15" t="str">
        <f>D126</f>
        <v>07</v>
      </c>
      <c r="E131" s="16" t="str">
        <f>E126</f>
        <v>20</v>
      </c>
      <c r="F131" s="16" t="str">
        <f>F126</f>
        <v>04</v>
      </c>
      <c r="G131" s="17" t="str">
        <f>G126</f>
        <v>02</v>
      </c>
      <c r="H131" s="23" t="str">
        <f>BIN2HEX(H132,2)</f>
        <v>00</v>
      </c>
      <c r="I131" s="25" t="str">
        <f t="shared" ref="I131:J131" si="145">BIN2HEX(I132,2)</f>
        <v>00</v>
      </c>
      <c r="J131" s="24" t="str">
        <f t="shared" si="145"/>
        <v>00</v>
      </c>
      <c r="K131" s="47" t="str">
        <f>K126</f>
        <v>00</v>
      </c>
      <c r="L131" s="49" t="str">
        <f>L126</f>
        <v>00</v>
      </c>
      <c r="M131" s="3" t="str">
        <f>IF(LEN(M132)&gt;2,MID(M132,2,2),M132)</f>
        <v>2D</v>
      </c>
      <c r="N131" s="8" t="s">
        <v>61</v>
      </c>
      <c r="P131" s="21" t="str">
        <f>MID(H127,5,1)</f>
        <v>0</v>
      </c>
      <c r="Q131" s="26" t="str">
        <f t="shared" si="142"/>
        <v>0</v>
      </c>
      <c r="R131" s="7" t="s">
        <v>71</v>
      </c>
      <c r="S131" s="8" t="s">
        <v>66</v>
      </c>
      <c r="T131" s="21" t="str">
        <f>MID(I127,5,1)</f>
        <v>0</v>
      </c>
      <c r="U131" s="26" t="str">
        <f t="shared" si="143"/>
        <v>0</v>
      </c>
      <c r="V131" s="7" t="s">
        <v>71</v>
      </c>
      <c r="W131" s="8" t="s">
        <v>66</v>
      </c>
      <c r="X131" s="21" t="str">
        <f>MID(J127,5,1)</f>
        <v>0</v>
      </c>
      <c r="Y131" s="26" t="str">
        <f t="shared" si="144"/>
        <v>0</v>
      </c>
      <c r="Z131" s="7" t="s">
        <v>71</v>
      </c>
      <c r="AA131" s="8" t="s">
        <v>66</v>
      </c>
      <c r="AB131" s="400"/>
      <c r="AC131" s="381"/>
      <c r="AD131" s="381"/>
      <c r="AE131" s="401"/>
      <c r="AF131" s="400"/>
      <c r="AG131" s="381"/>
      <c r="AH131" s="381"/>
      <c r="AI131" s="401"/>
      <c r="AJ131" s="400"/>
      <c r="AK131" s="401"/>
    </row>
    <row r="132" spans="3:37" x14ac:dyDescent="0.3">
      <c r="C132" s="7" t="s">
        <v>64</v>
      </c>
      <c r="D132" s="99" t="str">
        <f>HEX2BIN(D131,8)</f>
        <v>00000111</v>
      </c>
      <c r="E132" s="99" t="str">
        <f t="shared" ref="E132:G132" si="146">HEX2BIN(E131,8)</f>
        <v>00100000</v>
      </c>
      <c r="F132" s="99" t="str">
        <f t="shared" si="146"/>
        <v>00000100</v>
      </c>
      <c r="G132" s="99" t="str">
        <f t="shared" si="146"/>
        <v>00000010</v>
      </c>
      <c r="H132" s="29" t="str">
        <f>Q127&amp;Q128&amp;Q129&amp;Q130&amp;Q131&amp;Q132&amp;Q133&amp;Q134</f>
        <v>00000000</v>
      </c>
      <c r="I132" s="99" t="str">
        <f>U127&amp;U128&amp;U129&amp;U130&amp;U131&amp;U132&amp;U133&amp;U134</f>
        <v>00000000</v>
      </c>
      <c r="J132" s="29" t="str">
        <f>Y127&amp;Y128&amp;Y129&amp;Y130&amp;Y131&amp;Y132&amp;Y133&amp;Y134</f>
        <v>00000000</v>
      </c>
      <c r="K132" s="29"/>
      <c r="L132" s="99"/>
      <c r="M132" s="99" t="str">
        <f>DEC2HEX(M133)</f>
        <v>2D</v>
      </c>
      <c r="N132" s="8"/>
      <c r="P132" s="21" t="str">
        <f>MID(H127,6,1)</f>
        <v>0</v>
      </c>
      <c r="Q132" s="26" t="str">
        <f t="shared" si="142"/>
        <v>0</v>
      </c>
      <c r="R132" s="7" t="s">
        <v>72</v>
      </c>
      <c r="S132" s="8" t="s">
        <v>66</v>
      </c>
      <c r="T132" s="21" t="str">
        <f>MID(I127,6,1)</f>
        <v>0</v>
      </c>
      <c r="U132" s="26" t="str">
        <f t="shared" si="143"/>
        <v>0</v>
      </c>
      <c r="V132" s="7" t="s">
        <v>72</v>
      </c>
      <c r="W132" s="8" t="s">
        <v>66</v>
      </c>
      <c r="X132" s="21" t="str">
        <f>MID(J127,6,1)</f>
        <v>0</v>
      </c>
      <c r="Y132" s="26" t="str">
        <f t="shared" si="144"/>
        <v>0</v>
      </c>
      <c r="Z132" s="7" t="s">
        <v>72</v>
      </c>
      <c r="AA132" s="8" t="s">
        <v>66</v>
      </c>
      <c r="AB132" s="400"/>
      <c r="AC132" s="381"/>
      <c r="AD132" s="381"/>
      <c r="AE132" s="401"/>
      <c r="AF132" s="400"/>
      <c r="AG132" s="381"/>
      <c r="AH132" s="381"/>
      <c r="AI132" s="401"/>
      <c r="AJ132" s="400"/>
      <c r="AK132" s="401"/>
    </row>
    <row r="133" spans="3:37" x14ac:dyDescent="0.3">
      <c r="C133" s="7" t="s">
        <v>67</v>
      </c>
      <c r="D133" s="99">
        <f>HEX2DEC(D131)</f>
        <v>7</v>
      </c>
      <c r="E133" s="99">
        <f t="shared" ref="E133:H133" si="147">HEX2DEC(E131)</f>
        <v>32</v>
      </c>
      <c r="F133" s="99">
        <f t="shared" si="147"/>
        <v>4</v>
      </c>
      <c r="G133" s="99">
        <f t="shared" si="147"/>
        <v>2</v>
      </c>
      <c r="H133" s="99">
        <f t="shared" si="147"/>
        <v>0</v>
      </c>
      <c r="I133" s="99">
        <f>HEX2DEC(I131)</f>
        <v>0</v>
      </c>
      <c r="J133" s="99">
        <f t="shared" ref="J133:L133" si="148">HEX2DEC(J131)</f>
        <v>0</v>
      </c>
      <c r="K133" s="99">
        <f t="shared" si="148"/>
        <v>0</v>
      </c>
      <c r="L133" s="99">
        <f t="shared" si="148"/>
        <v>0</v>
      </c>
      <c r="M133" s="99">
        <f>SUM(D133:L133)</f>
        <v>45</v>
      </c>
      <c r="N133" s="8"/>
      <c r="P133" s="21" t="str">
        <f>MID(H127,7,1)</f>
        <v>0</v>
      </c>
      <c r="Q133" s="26" t="str">
        <f t="shared" si="142"/>
        <v>0</v>
      </c>
      <c r="R133" s="7" t="s">
        <v>73</v>
      </c>
      <c r="S133" s="8" t="s">
        <v>66</v>
      </c>
      <c r="T133" s="21" t="str">
        <f>MID(I127,7,1)</f>
        <v>0</v>
      </c>
      <c r="U133" s="26" t="str">
        <f t="shared" si="143"/>
        <v>0</v>
      </c>
      <c r="V133" s="7" t="s">
        <v>73</v>
      </c>
      <c r="W133" s="8" t="s">
        <v>66</v>
      </c>
      <c r="X133" s="21" t="str">
        <f>MID(J127,7,1)</f>
        <v>0</v>
      </c>
      <c r="Y133" s="26" t="str">
        <f t="shared" si="144"/>
        <v>0</v>
      </c>
      <c r="Z133" s="7" t="s">
        <v>73</v>
      </c>
      <c r="AA133" s="8" t="s">
        <v>66</v>
      </c>
      <c r="AB133" s="400"/>
      <c r="AC133" s="381"/>
      <c r="AD133" s="381"/>
      <c r="AE133" s="401"/>
      <c r="AF133" s="400"/>
      <c r="AG133" s="381"/>
      <c r="AH133" s="381"/>
      <c r="AI133" s="401"/>
      <c r="AJ133" s="400"/>
      <c r="AK133" s="401"/>
    </row>
    <row r="134" spans="3:37" ht="15" thickBot="1" x14ac:dyDescent="0.35">
      <c r="C134" s="9" t="s">
        <v>1678</v>
      </c>
      <c r="D134" s="334" t="str">
        <f>D129</f>
        <v>07</v>
      </c>
      <c r="E134" s="334" t="str">
        <f t="shared" ref="E134:G134" si="149">E129</f>
        <v>20</v>
      </c>
      <c r="F134" s="334" t="str">
        <f t="shared" si="149"/>
        <v>G4</v>
      </c>
      <c r="G134" s="334" t="str">
        <f t="shared" si="149"/>
        <v>G2</v>
      </c>
      <c r="H134" s="10"/>
      <c r="I134" s="10"/>
      <c r="J134" s="10"/>
      <c r="K134" s="10"/>
      <c r="L134" s="10"/>
      <c r="M134" s="10"/>
      <c r="N134" s="11"/>
      <c r="P134" s="22" t="str">
        <f>MID(H127,8,1)</f>
        <v>0</v>
      </c>
      <c r="Q134" s="55" t="str">
        <f t="shared" si="142"/>
        <v>0</v>
      </c>
      <c r="R134" s="9" t="s">
        <v>74</v>
      </c>
      <c r="S134" s="11" t="s">
        <v>66</v>
      </c>
      <c r="T134" s="22" t="str">
        <f>MID(I127,8,1)</f>
        <v>0</v>
      </c>
      <c r="U134" s="55" t="str">
        <f t="shared" si="143"/>
        <v>0</v>
      </c>
      <c r="V134" s="9" t="s">
        <v>74</v>
      </c>
      <c r="W134" s="11" t="s">
        <v>66</v>
      </c>
      <c r="X134" s="22" t="str">
        <f>MID(J127,8,1)</f>
        <v>0</v>
      </c>
      <c r="Y134" s="55" t="str">
        <f t="shared" si="144"/>
        <v>0</v>
      </c>
      <c r="Z134" s="9" t="s">
        <v>74</v>
      </c>
      <c r="AA134" s="11" t="s">
        <v>66</v>
      </c>
      <c r="AB134" s="402"/>
      <c r="AC134" s="403"/>
      <c r="AD134" s="403"/>
      <c r="AE134" s="404"/>
      <c r="AF134" s="402"/>
      <c r="AG134" s="403"/>
      <c r="AH134" s="403"/>
      <c r="AI134" s="404"/>
      <c r="AJ134" s="402"/>
      <c r="AK134" s="404"/>
    </row>
    <row r="135" spans="3:37" ht="15" thickBot="1" x14ac:dyDescent="0.35">
      <c r="C135" s="4"/>
      <c r="D135" s="5"/>
      <c r="E135" s="5"/>
      <c r="F135" s="5"/>
      <c r="G135" s="5"/>
      <c r="H135" s="100" t="str">
        <f>AS36</f>
        <v/>
      </c>
      <c r="I135" s="100" t="str">
        <f>AS37</f>
        <v/>
      </c>
      <c r="J135" s="100" t="str">
        <f>AS38</f>
        <v/>
      </c>
      <c r="K135" s="100" t="str">
        <f>AS39</f>
        <v/>
      </c>
      <c r="L135" s="100" t="str">
        <f>AS40</f>
        <v/>
      </c>
      <c r="M135" s="5" t="s">
        <v>41</v>
      </c>
      <c r="N135" s="6"/>
      <c r="P135" s="392" t="s">
        <v>413</v>
      </c>
      <c r="Q135" s="392"/>
      <c r="R135" s="392"/>
      <c r="S135" s="392"/>
      <c r="T135" s="392"/>
      <c r="U135" s="392"/>
      <c r="V135" s="392"/>
      <c r="W135" s="392"/>
      <c r="X135" s="392"/>
      <c r="Y135" s="392"/>
      <c r="Z135" s="392"/>
      <c r="AA135" s="392"/>
      <c r="AB135" s="392"/>
      <c r="AC135" s="392"/>
      <c r="AD135" s="392"/>
      <c r="AE135" s="392"/>
      <c r="AF135" s="392"/>
      <c r="AG135" s="392"/>
      <c r="AH135" s="392"/>
      <c r="AI135" s="392"/>
      <c r="AJ135" s="392"/>
      <c r="AK135" s="392"/>
    </row>
    <row r="136" spans="3:37" ht="15" thickBot="1" x14ac:dyDescent="0.35">
      <c r="C136" s="7"/>
      <c r="D136" s="393" t="s">
        <v>1567</v>
      </c>
      <c r="E136" s="393"/>
      <c r="F136" s="393"/>
      <c r="G136" s="393"/>
      <c r="H136" s="99" t="s">
        <v>44</v>
      </c>
      <c r="I136" s="99" t="s">
        <v>45</v>
      </c>
      <c r="J136" s="99" t="s">
        <v>46</v>
      </c>
      <c r="K136" s="99" t="s">
        <v>47</v>
      </c>
      <c r="L136" s="99" t="s">
        <v>48</v>
      </c>
      <c r="M136" s="99" t="s">
        <v>49</v>
      </c>
      <c r="N136" s="8"/>
      <c r="P136" s="394" t="s">
        <v>181</v>
      </c>
      <c r="Q136" s="395"/>
      <c r="R136" s="395"/>
      <c r="S136" s="396"/>
      <c r="T136" s="394" t="s">
        <v>182</v>
      </c>
      <c r="U136" s="395"/>
      <c r="V136" s="395"/>
      <c r="W136" s="396"/>
      <c r="X136" s="394" t="s">
        <v>183</v>
      </c>
      <c r="Y136" s="395"/>
      <c r="Z136" s="395"/>
      <c r="AA136" s="396"/>
      <c r="AB136" s="394" t="s">
        <v>184</v>
      </c>
      <c r="AC136" s="395"/>
      <c r="AD136" s="395"/>
      <c r="AE136" s="396"/>
      <c r="AF136" s="394" t="s">
        <v>185</v>
      </c>
      <c r="AG136" s="395"/>
      <c r="AH136" s="395"/>
      <c r="AI136" s="396"/>
      <c r="AJ136" s="394" t="s">
        <v>55</v>
      </c>
      <c r="AK136" s="396"/>
    </row>
    <row r="137" spans="3:37" ht="15.75" customHeight="1" thickBot="1" x14ac:dyDescent="0.35">
      <c r="C137" s="7" t="s">
        <v>56</v>
      </c>
      <c r="D137" s="12" t="s">
        <v>57</v>
      </c>
      <c r="E137" s="13" t="s">
        <v>130</v>
      </c>
      <c r="F137" s="13" t="s">
        <v>111</v>
      </c>
      <c r="G137" s="14" t="s">
        <v>93</v>
      </c>
      <c r="H137" s="24" t="str" cm="1">
        <f t="array" ref="H137">MID(INDEX($A$3:$A$70,IF(ISNA(MATCH("720G4G3*",$A$3:$A$70,0))=TRUE,MATCH("7200403*",$A$3:$A$70,0),MATCH("720G4G3*",$A$3:$A$70,0))),$AU$8,2)</f>
        <v>00</v>
      </c>
      <c r="I137" s="42" t="str" cm="1">
        <f t="array" ref="I137">MID(INDEX($A$3:$A$70,IF(ISNA(MATCH("720G4G3*",$A$3:$A$70,0))=TRUE,MATCH("7200403*",$A$3:$A$70,0),MATCH("720G4G3*",$A$3:$A$70,0))),$AV$8,2)</f>
        <v>00</v>
      </c>
      <c r="J137" s="42" t="str" cm="1">
        <f t="array" ref="J137">MID(INDEX($A$3:$A$70,IF(ISNA(MATCH("720G4G3*",$A$3:$A$70,0))=TRUE,MATCH("7200403*",$A$3:$A$70,0),MATCH("720G4G3*",$A$3:$A$70,0))),$AW$8,2)</f>
        <v>00</v>
      </c>
      <c r="K137" s="43" t="str" cm="1">
        <f t="array" ref="K137">MID(INDEX($A$3:$A$70,IF(ISNA(MATCH("720G4G3*",$A$3:$A$70,0))=TRUE,MATCH("7200403*",$A$3:$A$70,0),MATCH("720G4G3*",$A$3:$A$70,0))),$AX$8,2)</f>
        <v>00</v>
      </c>
      <c r="L137" s="43" t="str" cm="1">
        <f t="array" ref="L137">MID(INDEX($A$3:$A$70,IF(ISNA(MATCH("720G4G3*",$A$3:$A$70,0))=TRUE,MATCH("7200403*",$A$3:$A$70,0),MATCH("720G4G3*",$A$3:$A$70,0))),$AY$8,2)</f>
        <v>00</v>
      </c>
      <c r="M137" s="44" t="str" cm="1">
        <f t="array" ref="M137">MID(INDEX($A$3:$A$70,IF(ISNA(MATCH("720G4G3*",$A$3:$A$70,0))=TRUE,MATCH("7200403*",$A$3:$A$70,0),MATCH("720G4G3*",$A$3:$A$70,0))),$AZ$8,2)</f>
        <v>2E</v>
      </c>
      <c r="N137" s="8" t="s">
        <v>60</v>
      </c>
      <c r="P137" s="521" t="str">
        <f>AS36</f>
        <v/>
      </c>
      <c r="Q137" s="522"/>
      <c r="R137" s="522"/>
      <c r="S137" s="523"/>
      <c r="T137" s="521" t="str">
        <f>AS37</f>
        <v/>
      </c>
      <c r="U137" s="522"/>
      <c r="V137" s="522"/>
      <c r="W137" s="523"/>
      <c r="X137" s="521" t="str">
        <f>AS38</f>
        <v/>
      </c>
      <c r="Y137" s="522"/>
      <c r="Z137" s="522"/>
      <c r="AA137" s="523"/>
      <c r="AB137" s="521" t="str">
        <f>AS39</f>
        <v/>
      </c>
      <c r="AC137" s="522"/>
      <c r="AD137" s="522"/>
      <c r="AE137" s="523"/>
      <c r="AF137" s="521" t="str">
        <f>AS40</f>
        <v/>
      </c>
      <c r="AG137" s="522"/>
      <c r="AH137" s="522"/>
      <c r="AI137" s="523"/>
      <c r="AJ137" s="394" t="s">
        <v>63</v>
      </c>
      <c r="AK137" s="396"/>
    </row>
    <row r="138" spans="3:37" ht="15" customHeight="1" x14ac:dyDescent="0.3">
      <c r="C138" s="7" t="s">
        <v>64</v>
      </c>
      <c r="D138" s="99" t="str">
        <f>HEX2BIN(D137,8)</f>
        <v>00000111</v>
      </c>
      <c r="E138" s="99" t="str">
        <f t="shared" ref="E138:L138" si="150">HEX2BIN(E137,8)</f>
        <v>00100000</v>
      </c>
      <c r="F138" s="99" t="str">
        <f t="shared" si="150"/>
        <v>00000100</v>
      </c>
      <c r="G138" s="99" t="str">
        <f t="shared" si="150"/>
        <v>00000011</v>
      </c>
      <c r="H138" s="99" t="str">
        <f t="shared" si="150"/>
        <v>00000000</v>
      </c>
      <c r="I138" s="99" t="str">
        <f t="shared" si="150"/>
        <v>00000000</v>
      </c>
      <c r="J138" s="99" t="str">
        <f t="shared" si="150"/>
        <v>00000000</v>
      </c>
      <c r="K138" s="99" t="str">
        <f t="shared" si="150"/>
        <v>00000000</v>
      </c>
      <c r="L138" s="99" t="str">
        <f t="shared" si="150"/>
        <v>00000000</v>
      </c>
      <c r="N138" s="8"/>
      <c r="P138" s="524"/>
      <c r="Q138" s="525"/>
      <c r="R138" s="525"/>
      <c r="S138" s="526"/>
      <c r="T138" s="524"/>
      <c r="U138" s="525"/>
      <c r="V138" s="525"/>
      <c r="W138" s="526"/>
      <c r="X138" s="524"/>
      <c r="Y138" s="525"/>
      <c r="Z138" s="525"/>
      <c r="AA138" s="526"/>
      <c r="AB138" s="524"/>
      <c r="AC138" s="525"/>
      <c r="AD138" s="525"/>
      <c r="AE138" s="526"/>
      <c r="AF138" s="524"/>
      <c r="AG138" s="525"/>
      <c r="AH138" s="525"/>
      <c r="AI138" s="526"/>
      <c r="AJ138" s="400"/>
      <c r="AK138" s="401"/>
    </row>
    <row r="139" spans="3:37" ht="15" customHeight="1" x14ac:dyDescent="0.3">
      <c r="C139" s="7" t="s">
        <v>67</v>
      </c>
      <c r="D139" s="99">
        <f>HEX2DEC(D137)</f>
        <v>7</v>
      </c>
      <c r="E139" s="99">
        <f t="shared" ref="E139:L139" si="151">HEX2DEC(E137)</f>
        <v>32</v>
      </c>
      <c r="F139" s="99">
        <f t="shared" si="151"/>
        <v>4</v>
      </c>
      <c r="G139" s="99">
        <f t="shared" si="151"/>
        <v>3</v>
      </c>
      <c r="H139" s="99">
        <f t="shared" si="151"/>
        <v>0</v>
      </c>
      <c r="I139" s="99">
        <f t="shared" si="151"/>
        <v>0</v>
      </c>
      <c r="J139" s="99">
        <f t="shared" si="151"/>
        <v>0</v>
      </c>
      <c r="K139" s="99">
        <f t="shared" si="151"/>
        <v>0</v>
      </c>
      <c r="L139" s="99">
        <f t="shared" si="151"/>
        <v>0</v>
      </c>
      <c r="M139" s="99">
        <f>SUM(D139:L139)</f>
        <v>46</v>
      </c>
      <c r="N139" s="8"/>
      <c r="P139" s="524"/>
      <c r="Q139" s="525"/>
      <c r="R139" s="525"/>
      <c r="S139" s="526"/>
      <c r="T139" s="524"/>
      <c r="U139" s="525"/>
      <c r="V139" s="525"/>
      <c r="W139" s="526"/>
      <c r="X139" s="524"/>
      <c r="Y139" s="525"/>
      <c r="Z139" s="525"/>
      <c r="AA139" s="526"/>
      <c r="AB139" s="524"/>
      <c r="AC139" s="525"/>
      <c r="AD139" s="525"/>
      <c r="AE139" s="526"/>
      <c r="AF139" s="524"/>
      <c r="AG139" s="525"/>
      <c r="AH139" s="525"/>
      <c r="AI139" s="526"/>
      <c r="AJ139" s="400"/>
      <c r="AK139" s="401"/>
    </row>
    <row r="140" spans="3:37" ht="15" customHeight="1" x14ac:dyDescent="0.3">
      <c r="C140" s="7" t="s">
        <v>1678</v>
      </c>
      <c r="D140" s="333" t="str">
        <f>D137</f>
        <v>07</v>
      </c>
      <c r="E140" s="333" t="str">
        <f>E137</f>
        <v>20</v>
      </c>
      <c r="F140" s="99" t="str">
        <f>MID(INDEX($A$3:$A$70,IF(ISNA(MATCH("720G4G3*",$A$3:$A$70,0))=TRUE,MATCH("7200403*",$A$3:$A$70,0),MATCH("720G4G3*",$A$3:$A$70,0))),$AS$8,2)</f>
        <v>G4</v>
      </c>
      <c r="G140" s="99" t="str">
        <f>MID(INDEX($A$3:$A$70,IF(ISNA(MATCH("720G4G3*",$A$3:$A$70,0))=TRUE,MATCH("7200403*",$A$3:$A$70,0),MATCH("720G4G3*",$A$3:$A$70,0))),$AT$8,2)</f>
        <v>G3</v>
      </c>
      <c r="N140" s="8"/>
      <c r="P140" s="524"/>
      <c r="Q140" s="525"/>
      <c r="R140" s="525"/>
      <c r="S140" s="526"/>
      <c r="T140" s="524"/>
      <c r="U140" s="525"/>
      <c r="V140" s="525"/>
      <c r="W140" s="526"/>
      <c r="X140" s="524"/>
      <c r="Y140" s="525"/>
      <c r="Z140" s="525"/>
      <c r="AA140" s="526"/>
      <c r="AB140" s="524"/>
      <c r="AC140" s="525"/>
      <c r="AD140" s="525"/>
      <c r="AE140" s="526"/>
      <c r="AF140" s="524"/>
      <c r="AG140" s="525"/>
      <c r="AH140" s="525"/>
      <c r="AI140" s="526"/>
      <c r="AJ140" s="400"/>
      <c r="AK140" s="401"/>
    </row>
    <row r="141" spans="3:37" ht="15.75" customHeight="1" thickBot="1" x14ac:dyDescent="0.35">
      <c r="C141" s="7"/>
      <c r="H141" s="100" t="str">
        <f>P137</f>
        <v/>
      </c>
      <c r="I141" s="100" t="str">
        <f>T137</f>
        <v/>
      </c>
      <c r="J141" s="100" t="str">
        <f>X137</f>
        <v/>
      </c>
      <c r="K141" s="100" t="str">
        <f>AB137</f>
        <v/>
      </c>
      <c r="L141" s="100" t="str">
        <f>AF137</f>
        <v/>
      </c>
      <c r="N141" s="8"/>
      <c r="P141" s="524"/>
      <c r="Q141" s="525"/>
      <c r="R141" s="525"/>
      <c r="S141" s="526"/>
      <c r="T141" s="524"/>
      <c r="U141" s="525"/>
      <c r="V141" s="525"/>
      <c r="W141" s="526"/>
      <c r="X141" s="524"/>
      <c r="Y141" s="525"/>
      <c r="Z141" s="525"/>
      <c r="AA141" s="526"/>
      <c r="AB141" s="524"/>
      <c r="AC141" s="525"/>
      <c r="AD141" s="525"/>
      <c r="AE141" s="526"/>
      <c r="AF141" s="524"/>
      <c r="AG141" s="525"/>
      <c r="AH141" s="525"/>
      <c r="AI141" s="526"/>
      <c r="AJ141" s="400"/>
      <c r="AK141" s="401"/>
    </row>
    <row r="142" spans="3:37" ht="15.75" customHeight="1" thickBot="1" x14ac:dyDescent="0.35">
      <c r="C142" s="7" t="s">
        <v>56</v>
      </c>
      <c r="D142" s="15" t="str">
        <f t="shared" ref="D142:G142" si="152">D137</f>
        <v>07</v>
      </c>
      <c r="E142" s="16" t="str">
        <f t="shared" si="152"/>
        <v>20</v>
      </c>
      <c r="F142" s="16" t="str">
        <f t="shared" si="152"/>
        <v>04</v>
      </c>
      <c r="G142" s="17" t="str">
        <f t="shared" si="152"/>
        <v>03</v>
      </c>
      <c r="H142" s="359" t="str">
        <f>IFERROR(VLOOKUP($P$137,$AU$36:$AV$71,2,FALSE),"00")</f>
        <v>00</v>
      </c>
      <c r="I142" s="52" t="str">
        <f>IFERROR(VLOOKUP(T137,$AU$36:$AV$71,2,FALSE),"00")</f>
        <v>00</v>
      </c>
      <c r="J142" s="52" t="str">
        <f>IFERROR(VLOOKUP(X137,$AU$36:$AV$71,2,FALSE),"00")</f>
        <v>00</v>
      </c>
      <c r="K142" s="52" t="str">
        <f>IFERROR(VLOOKUP(AB137,$AU$36:$AV$71,2,FALSE),"00")</f>
        <v>00</v>
      </c>
      <c r="L142" s="358" t="str">
        <f>IFERROR(VLOOKUP(AF137,$AU$36:$AV$71,2,FALSE),"00")</f>
        <v>00</v>
      </c>
      <c r="M142" s="3" t="str">
        <f>IF(LEN(M143)&gt;2,MID(M143,2,2),M143)</f>
        <v>2E</v>
      </c>
      <c r="N142" s="8" t="s">
        <v>61</v>
      </c>
      <c r="P142" s="524"/>
      <c r="Q142" s="525"/>
      <c r="R142" s="525"/>
      <c r="S142" s="526"/>
      <c r="T142" s="524"/>
      <c r="U142" s="525"/>
      <c r="V142" s="525"/>
      <c r="W142" s="526"/>
      <c r="X142" s="524"/>
      <c r="Y142" s="525"/>
      <c r="Z142" s="525"/>
      <c r="AA142" s="526"/>
      <c r="AB142" s="524"/>
      <c r="AC142" s="525"/>
      <c r="AD142" s="525"/>
      <c r="AE142" s="526"/>
      <c r="AF142" s="524"/>
      <c r="AG142" s="525"/>
      <c r="AH142" s="525"/>
      <c r="AI142" s="526"/>
      <c r="AJ142" s="400"/>
      <c r="AK142" s="401"/>
    </row>
    <row r="143" spans="3:37" ht="15" customHeight="1" x14ac:dyDescent="0.3">
      <c r="C143" s="7" t="s">
        <v>64</v>
      </c>
      <c r="D143" s="99" t="str">
        <f>HEX2BIN(D142,8)</f>
        <v>00000111</v>
      </c>
      <c r="E143" s="99" t="str">
        <f t="shared" ref="E143:G143" si="153">HEX2BIN(E142,8)</f>
        <v>00100000</v>
      </c>
      <c r="F143" s="99" t="str">
        <f t="shared" si="153"/>
        <v>00000100</v>
      </c>
      <c r="G143" s="99" t="str">
        <f t="shared" si="153"/>
        <v>00000011</v>
      </c>
      <c r="H143" s="29"/>
      <c r="I143" s="99"/>
      <c r="J143" s="29"/>
      <c r="K143" s="29"/>
      <c r="L143" s="99"/>
      <c r="M143" s="99" t="str">
        <f>DEC2HEX(M144)</f>
        <v>2E</v>
      </c>
      <c r="N143" s="8"/>
      <c r="P143" s="524"/>
      <c r="Q143" s="525"/>
      <c r="R143" s="525"/>
      <c r="S143" s="526"/>
      <c r="T143" s="524"/>
      <c r="U143" s="525"/>
      <c r="V143" s="525"/>
      <c r="W143" s="526"/>
      <c r="X143" s="524"/>
      <c r="Y143" s="525"/>
      <c r="Z143" s="525"/>
      <c r="AA143" s="526"/>
      <c r="AB143" s="524"/>
      <c r="AC143" s="525"/>
      <c r="AD143" s="525"/>
      <c r="AE143" s="526"/>
      <c r="AF143" s="524"/>
      <c r="AG143" s="525"/>
      <c r="AH143" s="525"/>
      <c r="AI143" s="526"/>
      <c r="AJ143" s="400"/>
      <c r="AK143" s="401"/>
    </row>
    <row r="144" spans="3:37" ht="15" customHeight="1" x14ac:dyDescent="0.3">
      <c r="C144" s="7" t="s">
        <v>67</v>
      </c>
      <c r="D144" s="99">
        <f>HEX2DEC(D142)</f>
        <v>7</v>
      </c>
      <c r="E144" s="99">
        <f t="shared" ref="E144:L144" si="154">HEX2DEC(E142)</f>
        <v>32</v>
      </c>
      <c r="F144" s="99">
        <f t="shared" si="154"/>
        <v>4</v>
      </c>
      <c r="G144" s="99">
        <f t="shared" si="154"/>
        <v>3</v>
      </c>
      <c r="H144" s="99">
        <f t="shared" si="154"/>
        <v>0</v>
      </c>
      <c r="I144" s="99">
        <f t="shared" si="154"/>
        <v>0</v>
      </c>
      <c r="J144" s="99">
        <f t="shared" si="154"/>
        <v>0</v>
      </c>
      <c r="K144" s="99">
        <f t="shared" si="154"/>
        <v>0</v>
      </c>
      <c r="L144" s="99">
        <f t="shared" si="154"/>
        <v>0</v>
      </c>
      <c r="M144" s="99">
        <f>SUM(D144:L144)</f>
        <v>46</v>
      </c>
      <c r="N144" s="8"/>
      <c r="P144" s="524"/>
      <c r="Q144" s="525"/>
      <c r="R144" s="525"/>
      <c r="S144" s="526"/>
      <c r="T144" s="524"/>
      <c r="U144" s="525"/>
      <c r="V144" s="525"/>
      <c r="W144" s="526"/>
      <c r="X144" s="524"/>
      <c r="Y144" s="525"/>
      <c r="Z144" s="525"/>
      <c r="AA144" s="526"/>
      <c r="AB144" s="524"/>
      <c r="AC144" s="525"/>
      <c r="AD144" s="525"/>
      <c r="AE144" s="526"/>
      <c r="AF144" s="524"/>
      <c r="AG144" s="525"/>
      <c r="AH144" s="525"/>
      <c r="AI144" s="526"/>
      <c r="AJ144" s="400"/>
      <c r="AK144" s="401"/>
    </row>
    <row r="145" spans="3:37" ht="15.75" customHeight="1" thickBot="1" x14ac:dyDescent="0.35">
      <c r="C145" s="9" t="s">
        <v>1678</v>
      </c>
      <c r="D145" s="334" t="str">
        <f>D140</f>
        <v>07</v>
      </c>
      <c r="E145" s="334" t="str">
        <f t="shared" ref="E145:G145" si="155">E140</f>
        <v>20</v>
      </c>
      <c r="F145" s="334" t="str">
        <f t="shared" si="155"/>
        <v>G4</v>
      </c>
      <c r="G145" s="334" t="str">
        <f t="shared" si="155"/>
        <v>G3</v>
      </c>
      <c r="H145" s="10"/>
      <c r="I145" s="10"/>
      <c r="J145" s="10"/>
      <c r="K145" s="10"/>
      <c r="L145" s="10"/>
      <c r="M145" s="10"/>
      <c r="N145" s="11"/>
      <c r="P145" s="527"/>
      <c r="Q145" s="528"/>
      <c r="R145" s="528"/>
      <c r="S145" s="529"/>
      <c r="T145" s="527"/>
      <c r="U145" s="528"/>
      <c r="V145" s="528"/>
      <c r="W145" s="529"/>
      <c r="X145" s="527"/>
      <c r="Y145" s="528"/>
      <c r="Z145" s="528"/>
      <c r="AA145" s="529"/>
      <c r="AB145" s="527"/>
      <c r="AC145" s="528"/>
      <c r="AD145" s="528"/>
      <c r="AE145" s="529"/>
      <c r="AF145" s="527"/>
      <c r="AG145" s="528"/>
      <c r="AH145" s="528"/>
      <c r="AI145" s="529"/>
      <c r="AJ145" s="402"/>
      <c r="AK145" s="404"/>
    </row>
    <row r="146" spans="3:37" ht="15" thickBot="1" x14ac:dyDescent="0.35">
      <c r="C146" s="4"/>
      <c r="D146" s="5"/>
      <c r="E146" s="5"/>
      <c r="F146" s="5"/>
      <c r="G146" s="5"/>
      <c r="H146" s="100" t="str">
        <f>AS41</f>
        <v/>
      </c>
      <c r="I146" s="100"/>
      <c r="J146" s="100"/>
      <c r="K146" s="100" t="str">
        <f>AS42</f>
        <v/>
      </c>
      <c r="L146" s="100" t="str">
        <f>AS43</f>
        <v/>
      </c>
      <c r="M146" s="5" t="s">
        <v>41</v>
      </c>
      <c r="N146" s="6"/>
      <c r="P146" s="392" t="s">
        <v>414</v>
      </c>
      <c r="Q146" s="392"/>
      <c r="R146" s="392"/>
      <c r="S146" s="392"/>
      <c r="T146" s="392"/>
      <c r="U146" s="392"/>
      <c r="V146" s="392"/>
      <c r="W146" s="392"/>
      <c r="X146" s="392"/>
      <c r="Y146" s="392"/>
      <c r="Z146" s="392"/>
      <c r="AA146" s="392"/>
      <c r="AB146" s="392"/>
      <c r="AC146" s="392"/>
      <c r="AD146" s="392"/>
      <c r="AE146" s="392"/>
      <c r="AF146" s="392"/>
      <c r="AG146" s="392"/>
      <c r="AH146" s="392"/>
      <c r="AI146" s="392"/>
      <c r="AJ146" s="392"/>
      <c r="AK146" s="392"/>
    </row>
    <row r="147" spans="3:37" ht="15" thickBot="1" x14ac:dyDescent="0.35">
      <c r="C147" s="7"/>
      <c r="D147" s="393" t="s">
        <v>1566</v>
      </c>
      <c r="E147" s="393"/>
      <c r="F147" s="393"/>
      <c r="G147" s="393"/>
      <c r="H147" s="99" t="s">
        <v>44</v>
      </c>
      <c r="I147" s="99" t="s">
        <v>45</v>
      </c>
      <c r="J147" s="99" t="s">
        <v>46</v>
      </c>
      <c r="K147" s="99" t="s">
        <v>47</v>
      </c>
      <c r="L147" s="99" t="s">
        <v>48</v>
      </c>
      <c r="M147" s="99" t="s">
        <v>49</v>
      </c>
      <c r="N147" s="8"/>
      <c r="P147" s="394" t="s">
        <v>208</v>
      </c>
      <c r="Q147" s="395"/>
      <c r="R147" s="395"/>
      <c r="S147" s="396"/>
      <c r="T147" s="448" t="s">
        <v>209</v>
      </c>
      <c r="U147" s="407"/>
      <c r="V147" s="407"/>
      <c r="W147" s="408"/>
      <c r="X147" s="448" t="s">
        <v>210</v>
      </c>
      <c r="Y147" s="407"/>
      <c r="Z147" s="407"/>
      <c r="AA147" s="408"/>
      <c r="AB147" s="394" t="s">
        <v>211</v>
      </c>
      <c r="AC147" s="395"/>
      <c r="AD147" s="395"/>
      <c r="AE147" s="396"/>
      <c r="AF147" s="394" t="s">
        <v>212</v>
      </c>
      <c r="AG147" s="395"/>
      <c r="AH147" s="395"/>
      <c r="AI147" s="396"/>
      <c r="AJ147" s="394" t="s">
        <v>55</v>
      </c>
      <c r="AK147" s="396"/>
    </row>
    <row r="148" spans="3:37" ht="15.75" customHeight="1" thickBot="1" x14ac:dyDescent="0.35">
      <c r="C148" s="7" t="s">
        <v>56</v>
      </c>
      <c r="D148" s="12" t="s">
        <v>57</v>
      </c>
      <c r="E148" s="13" t="s">
        <v>130</v>
      </c>
      <c r="F148" s="13" t="s">
        <v>111</v>
      </c>
      <c r="G148" s="14" t="s">
        <v>111</v>
      </c>
      <c r="H148" s="24" t="str" cm="1">
        <f t="array" ref="H148">MID(INDEX($A$3:$A$70,IF(ISNA(MATCH("720G4G4*",$A$3:$A$70,0))=TRUE,MATCH("7200404*",$A$3:$A$70,0),MATCH("720G4G4*",$A$3:$A$70,0))),$AU$8,2)</f>
        <v>00</v>
      </c>
      <c r="I148" s="42" t="str" cm="1">
        <f t="array" ref="I148">MID(INDEX($A$3:$A$70,IF(ISNA(MATCH("720G4G4*",$A$3:$A$70,0))=TRUE,MATCH("7200404*",$A$3:$A$70,0),MATCH("720G4G4*",$A$3:$A$70,0))),$AV$8,2)</f>
        <v>00</v>
      </c>
      <c r="J148" s="42" t="str" cm="1">
        <f t="array" ref="J148">MID(INDEX($A$3:$A$70,IF(ISNA(MATCH("720G4G4*",$A$3:$A$70,0))=TRUE,MATCH("7200404*",$A$3:$A$70,0),MATCH("720G4G4*",$A$3:$A$70,0))),$AW$8,2)</f>
        <v>00</v>
      </c>
      <c r="K148" s="43" t="str" cm="1">
        <f t="array" ref="K148">MID(INDEX($A$3:$A$70,IF(ISNA(MATCH("720G4G4*",$A$3:$A$70,0))=TRUE,MATCH("7200404*",$A$3:$A$70,0),MATCH("720G4G4*",$A$3:$A$70,0))),$AX$8,2)</f>
        <v>00</v>
      </c>
      <c r="L148" s="43" t="str" cm="1">
        <f t="array" ref="L148">MID(INDEX($A$3:$A$70,IF(ISNA(MATCH("720G4G4*",$A$3:$A$70,0))=TRUE,MATCH("7200404*",$A$3:$A$70,0),MATCH("720G4G4*",$A$3:$A$70,0))),$AY$8,2)</f>
        <v>00</v>
      </c>
      <c r="M148" s="44" t="str" cm="1">
        <f t="array" ref="M148">MID(INDEX($A$3:$A$70,IF(ISNA(MATCH("720G4G4*",$A$3:$A$70,0))=TRUE,MATCH("7200404*",$A$3:$A$70,0),MATCH("720G4G4*",$A$3:$A$70,0))),$AZ$8,2)</f>
        <v>2F</v>
      </c>
      <c r="N148" s="8" t="s">
        <v>60</v>
      </c>
      <c r="P148" s="521" t="str">
        <f>AS41</f>
        <v/>
      </c>
      <c r="Q148" s="522"/>
      <c r="R148" s="522"/>
      <c r="S148" s="523"/>
      <c r="T148" s="394"/>
      <c r="U148" s="395"/>
      <c r="V148" s="395"/>
      <c r="W148" s="396"/>
      <c r="X148" s="394"/>
      <c r="Y148" s="395"/>
      <c r="Z148" s="395"/>
      <c r="AA148" s="396"/>
      <c r="AB148" s="521" t="str">
        <f>AS42</f>
        <v/>
      </c>
      <c r="AC148" s="522"/>
      <c r="AD148" s="522"/>
      <c r="AE148" s="523"/>
      <c r="AF148" s="521" t="str">
        <f>AS43</f>
        <v/>
      </c>
      <c r="AG148" s="522"/>
      <c r="AH148" s="522"/>
      <c r="AI148" s="523"/>
      <c r="AJ148" s="394" t="s">
        <v>63</v>
      </c>
      <c r="AK148" s="396"/>
    </row>
    <row r="149" spans="3:37" ht="15" customHeight="1" x14ac:dyDescent="0.3">
      <c r="C149" s="7" t="s">
        <v>64</v>
      </c>
      <c r="D149" s="99" t="str">
        <f>HEX2BIN(D148,8)</f>
        <v>00000111</v>
      </c>
      <c r="E149" s="99" t="str">
        <f t="shared" ref="E149:L149" si="156">HEX2BIN(E148,8)</f>
        <v>00100000</v>
      </c>
      <c r="F149" s="99" t="str">
        <f t="shared" si="156"/>
        <v>00000100</v>
      </c>
      <c r="G149" s="99" t="str">
        <f t="shared" si="156"/>
        <v>00000100</v>
      </c>
      <c r="H149" s="99" t="str">
        <f t="shared" si="156"/>
        <v>00000000</v>
      </c>
      <c r="I149" s="99" t="str">
        <f t="shared" si="156"/>
        <v>00000000</v>
      </c>
      <c r="J149" s="99" t="str">
        <f t="shared" si="156"/>
        <v>00000000</v>
      </c>
      <c r="K149" s="99" t="str">
        <f t="shared" si="156"/>
        <v>00000000</v>
      </c>
      <c r="L149" s="99" t="str">
        <f t="shared" si="156"/>
        <v>00000000</v>
      </c>
      <c r="N149" s="8"/>
      <c r="P149" s="524"/>
      <c r="Q149" s="525"/>
      <c r="R149" s="525"/>
      <c r="S149" s="526"/>
      <c r="T149" s="400"/>
      <c r="U149" s="381"/>
      <c r="V149" s="381"/>
      <c r="W149" s="401"/>
      <c r="X149" s="400"/>
      <c r="Y149" s="381"/>
      <c r="Z149" s="381"/>
      <c r="AA149" s="401"/>
      <c r="AB149" s="524"/>
      <c r="AC149" s="525"/>
      <c r="AD149" s="525"/>
      <c r="AE149" s="526"/>
      <c r="AF149" s="524"/>
      <c r="AG149" s="525"/>
      <c r="AH149" s="525"/>
      <c r="AI149" s="526"/>
      <c r="AJ149" s="400"/>
      <c r="AK149" s="401"/>
    </row>
    <row r="150" spans="3:37" ht="15" customHeight="1" x14ac:dyDescent="0.3">
      <c r="C150" s="7" t="s">
        <v>67</v>
      </c>
      <c r="D150" s="99">
        <f>HEX2DEC(D148)</f>
        <v>7</v>
      </c>
      <c r="E150" s="99">
        <f t="shared" ref="E150:L150" si="157">HEX2DEC(E148)</f>
        <v>32</v>
      </c>
      <c r="F150" s="99">
        <f t="shared" si="157"/>
        <v>4</v>
      </c>
      <c r="G150" s="99">
        <f t="shared" si="157"/>
        <v>4</v>
      </c>
      <c r="H150" s="99">
        <f t="shared" si="157"/>
        <v>0</v>
      </c>
      <c r="I150" s="99">
        <f t="shared" si="157"/>
        <v>0</v>
      </c>
      <c r="J150" s="99">
        <f t="shared" si="157"/>
        <v>0</v>
      </c>
      <c r="K150" s="99">
        <f t="shared" si="157"/>
        <v>0</v>
      </c>
      <c r="L150" s="99">
        <f t="shared" si="157"/>
        <v>0</v>
      </c>
      <c r="M150" s="99">
        <f>SUM(D150:L150)</f>
        <v>47</v>
      </c>
      <c r="N150" s="8"/>
      <c r="P150" s="524"/>
      <c r="Q150" s="525"/>
      <c r="R150" s="525"/>
      <c r="S150" s="526"/>
      <c r="T150" s="400"/>
      <c r="U150" s="381"/>
      <c r="V150" s="381"/>
      <c r="W150" s="401"/>
      <c r="X150" s="400"/>
      <c r="Y150" s="381"/>
      <c r="Z150" s="381"/>
      <c r="AA150" s="401"/>
      <c r="AB150" s="524"/>
      <c r="AC150" s="525"/>
      <c r="AD150" s="525"/>
      <c r="AE150" s="526"/>
      <c r="AF150" s="524"/>
      <c r="AG150" s="525"/>
      <c r="AH150" s="525"/>
      <c r="AI150" s="526"/>
      <c r="AJ150" s="400"/>
      <c r="AK150" s="401"/>
    </row>
    <row r="151" spans="3:37" ht="15" customHeight="1" x14ac:dyDescent="0.3">
      <c r="C151" s="7" t="s">
        <v>1678</v>
      </c>
      <c r="D151" s="333" t="str">
        <f>D148</f>
        <v>07</v>
      </c>
      <c r="E151" s="333" t="str">
        <f>E148</f>
        <v>20</v>
      </c>
      <c r="F151" s="99" t="str">
        <f>MID(INDEX($A$3:$A$70,IF(ISNA(MATCH("720G4G4*",$A$3:$A$70,0))=TRUE,MATCH("7200404*",$A$3:$A$70,0),MATCH("720G4G4*",$A$3:$A$70,0))),$AS$8,2)</f>
        <v>G4</v>
      </c>
      <c r="G151" s="99" t="str">
        <f>MID(INDEX($A$3:$A$70,IF(ISNA(MATCH("720G4G4*",$A$3:$A$70,0))=TRUE,MATCH("7200404*",$A$3:$A$70,0),MATCH("720G4G4*",$A$3:$A$70,0))),$AT$8,2)</f>
        <v>G4</v>
      </c>
      <c r="N151" s="8"/>
      <c r="P151" s="524"/>
      <c r="Q151" s="525"/>
      <c r="R151" s="525"/>
      <c r="S151" s="526"/>
      <c r="T151" s="400"/>
      <c r="U151" s="381"/>
      <c r="V151" s="381"/>
      <c r="W151" s="401"/>
      <c r="X151" s="400"/>
      <c r="Y151" s="381"/>
      <c r="Z151" s="381"/>
      <c r="AA151" s="401"/>
      <c r="AB151" s="524"/>
      <c r="AC151" s="525"/>
      <c r="AD151" s="525"/>
      <c r="AE151" s="526"/>
      <c r="AF151" s="524"/>
      <c r="AG151" s="525"/>
      <c r="AH151" s="525"/>
      <c r="AI151" s="526"/>
      <c r="AJ151" s="400"/>
      <c r="AK151" s="401"/>
    </row>
    <row r="152" spans="3:37" ht="15.75" customHeight="1" thickBot="1" x14ac:dyDescent="0.35">
      <c r="C152" s="7"/>
      <c r="H152" s="100" t="str">
        <f>P148</f>
        <v/>
      </c>
      <c r="I152" s="100"/>
      <c r="J152" s="100"/>
      <c r="K152" s="100" t="str">
        <f>AB148</f>
        <v/>
      </c>
      <c r="L152" s="100" t="str">
        <f>AF148</f>
        <v/>
      </c>
      <c r="N152" s="8"/>
      <c r="P152" s="524"/>
      <c r="Q152" s="525"/>
      <c r="R152" s="525"/>
      <c r="S152" s="526"/>
      <c r="T152" s="400"/>
      <c r="U152" s="381"/>
      <c r="V152" s="381"/>
      <c r="W152" s="401"/>
      <c r="X152" s="400"/>
      <c r="Y152" s="381"/>
      <c r="Z152" s="381"/>
      <c r="AA152" s="401"/>
      <c r="AB152" s="524"/>
      <c r="AC152" s="525"/>
      <c r="AD152" s="525"/>
      <c r="AE152" s="526"/>
      <c r="AF152" s="524"/>
      <c r="AG152" s="525"/>
      <c r="AH152" s="525"/>
      <c r="AI152" s="526"/>
      <c r="AJ152" s="400"/>
      <c r="AK152" s="401"/>
    </row>
    <row r="153" spans="3:37" ht="15.75" customHeight="1" thickBot="1" x14ac:dyDescent="0.35">
      <c r="C153" s="7" t="s">
        <v>56</v>
      </c>
      <c r="D153" s="15" t="str">
        <f t="shared" ref="D153:G153" si="158">D148</f>
        <v>07</v>
      </c>
      <c r="E153" s="16" t="str">
        <f t="shared" si="158"/>
        <v>20</v>
      </c>
      <c r="F153" s="16" t="str">
        <f t="shared" si="158"/>
        <v>04</v>
      </c>
      <c r="G153" s="17" t="str">
        <f t="shared" si="158"/>
        <v>04</v>
      </c>
      <c r="H153" s="51" t="str">
        <f>IFERROR(VLOOKUP($P$148,$AU$36:$AV$71,2,FALSE),"00")</f>
        <v>00</v>
      </c>
      <c r="I153" s="47" t="str">
        <f>I148</f>
        <v>00</v>
      </c>
      <c r="J153" s="48" t="str">
        <f>J148</f>
        <v>00</v>
      </c>
      <c r="K153" s="52" t="str">
        <f>IFERROR(VLOOKUP($AB$148,$AU$36:$AV$71,2,FALSE),"00")</f>
        <v>00</v>
      </c>
      <c r="L153" s="358" t="str">
        <f>IFERROR(VLOOKUP($AF$148,$AU$36:$AV$71,2,FALSE),"00")</f>
        <v>00</v>
      </c>
      <c r="M153" s="3" t="str">
        <f>IF(LEN(M154)&gt;2,MID(M154,2,2),M154)</f>
        <v>2F</v>
      </c>
      <c r="N153" s="8" t="s">
        <v>61</v>
      </c>
      <c r="P153" s="524"/>
      <c r="Q153" s="525"/>
      <c r="R153" s="525"/>
      <c r="S153" s="526"/>
      <c r="T153" s="400"/>
      <c r="U153" s="381"/>
      <c r="V153" s="381"/>
      <c r="W153" s="401"/>
      <c r="X153" s="400"/>
      <c r="Y153" s="381"/>
      <c r="Z153" s="381"/>
      <c r="AA153" s="401"/>
      <c r="AB153" s="524"/>
      <c r="AC153" s="525"/>
      <c r="AD153" s="525"/>
      <c r="AE153" s="526"/>
      <c r="AF153" s="524"/>
      <c r="AG153" s="525"/>
      <c r="AH153" s="525"/>
      <c r="AI153" s="526"/>
      <c r="AJ153" s="400"/>
      <c r="AK153" s="401"/>
    </row>
    <row r="154" spans="3:37" ht="15" customHeight="1" x14ac:dyDescent="0.3">
      <c r="C154" s="7" t="s">
        <v>64</v>
      </c>
      <c r="D154" s="99" t="str">
        <f>HEX2BIN(D153,8)</f>
        <v>00000111</v>
      </c>
      <c r="E154" s="99" t="str">
        <f t="shared" ref="E154:G154" si="159">HEX2BIN(E153,8)</f>
        <v>00100000</v>
      </c>
      <c r="F154" s="99" t="str">
        <f t="shared" si="159"/>
        <v>00000100</v>
      </c>
      <c r="G154" s="99" t="str">
        <f t="shared" si="159"/>
        <v>00000100</v>
      </c>
      <c r="H154" s="29"/>
      <c r="I154" s="99"/>
      <c r="J154" s="29"/>
      <c r="K154" s="29"/>
      <c r="L154" s="99"/>
      <c r="M154" s="99" t="str">
        <f>DEC2HEX(M155)</f>
        <v>2F</v>
      </c>
      <c r="N154" s="8"/>
      <c r="P154" s="524"/>
      <c r="Q154" s="525"/>
      <c r="R154" s="525"/>
      <c r="S154" s="526"/>
      <c r="T154" s="400"/>
      <c r="U154" s="381"/>
      <c r="V154" s="381"/>
      <c r="W154" s="401"/>
      <c r="X154" s="400"/>
      <c r="Y154" s="381"/>
      <c r="Z154" s="381"/>
      <c r="AA154" s="401"/>
      <c r="AB154" s="524"/>
      <c r="AC154" s="525"/>
      <c r="AD154" s="525"/>
      <c r="AE154" s="526"/>
      <c r="AF154" s="524"/>
      <c r="AG154" s="525"/>
      <c r="AH154" s="525"/>
      <c r="AI154" s="526"/>
      <c r="AJ154" s="400"/>
      <c r="AK154" s="401"/>
    </row>
    <row r="155" spans="3:37" ht="15" customHeight="1" x14ac:dyDescent="0.3">
      <c r="C155" s="7" t="s">
        <v>67</v>
      </c>
      <c r="D155" s="99">
        <f>HEX2DEC(D153)</f>
        <v>7</v>
      </c>
      <c r="E155" s="99">
        <f t="shared" ref="E155:L155" si="160">HEX2DEC(E153)</f>
        <v>32</v>
      </c>
      <c r="F155" s="99">
        <f t="shared" si="160"/>
        <v>4</v>
      </c>
      <c r="G155" s="99">
        <f t="shared" si="160"/>
        <v>4</v>
      </c>
      <c r="H155" s="99">
        <f t="shared" si="160"/>
        <v>0</v>
      </c>
      <c r="I155" s="99">
        <f t="shared" si="160"/>
        <v>0</v>
      </c>
      <c r="J155" s="99">
        <f t="shared" si="160"/>
        <v>0</v>
      </c>
      <c r="K155" s="99">
        <f t="shared" si="160"/>
        <v>0</v>
      </c>
      <c r="L155" s="99">
        <f t="shared" si="160"/>
        <v>0</v>
      </c>
      <c r="M155" s="99">
        <f>SUM(D155:L155)</f>
        <v>47</v>
      </c>
      <c r="N155" s="8"/>
      <c r="P155" s="524"/>
      <c r="Q155" s="525"/>
      <c r="R155" s="525"/>
      <c r="S155" s="526"/>
      <c r="T155" s="400"/>
      <c r="U155" s="381"/>
      <c r="V155" s="381"/>
      <c r="W155" s="401"/>
      <c r="X155" s="400"/>
      <c r="Y155" s="381"/>
      <c r="Z155" s="381"/>
      <c r="AA155" s="401"/>
      <c r="AB155" s="524"/>
      <c r="AC155" s="525"/>
      <c r="AD155" s="525"/>
      <c r="AE155" s="526"/>
      <c r="AF155" s="524"/>
      <c r="AG155" s="525"/>
      <c r="AH155" s="525"/>
      <c r="AI155" s="526"/>
      <c r="AJ155" s="400"/>
      <c r="AK155" s="401"/>
    </row>
    <row r="156" spans="3:37" ht="15.75" customHeight="1" thickBot="1" x14ac:dyDescent="0.35">
      <c r="C156" s="9" t="s">
        <v>1678</v>
      </c>
      <c r="D156" s="334" t="str">
        <f>D151</f>
        <v>07</v>
      </c>
      <c r="E156" s="334" t="str">
        <f t="shared" ref="E156:G156" si="161">E151</f>
        <v>20</v>
      </c>
      <c r="F156" s="334" t="str">
        <f t="shared" si="161"/>
        <v>G4</v>
      </c>
      <c r="G156" s="334" t="str">
        <f t="shared" si="161"/>
        <v>G4</v>
      </c>
      <c r="H156" s="10"/>
      <c r="I156" s="10"/>
      <c r="J156" s="10"/>
      <c r="K156" s="10"/>
      <c r="L156" s="10"/>
      <c r="M156" s="10"/>
      <c r="N156" s="11"/>
      <c r="P156" s="527"/>
      <c r="Q156" s="528"/>
      <c r="R156" s="528"/>
      <c r="S156" s="529"/>
      <c r="T156" s="402"/>
      <c r="U156" s="403"/>
      <c r="V156" s="403"/>
      <c r="W156" s="404"/>
      <c r="X156" s="402"/>
      <c r="Y156" s="403"/>
      <c r="Z156" s="403"/>
      <c r="AA156" s="404"/>
      <c r="AB156" s="527"/>
      <c r="AC156" s="528"/>
      <c r="AD156" s="528"/>
      <c r="AE156" s="529"/>
      <c r="AF156" s="527"/>
      <c r="AG156" s="528"/>
      <c r="AH156" s="528"/>
      <c r="AI156" s="529"/>
      <c r="AJ156" s="402"/>
      <c r="AK156" s="404"/>
    </row>
    <row r="157" spans="3:37" ht="15" thickBot="1" x14ac:dyDescent="0.35">
      <c r="C157" s="4"/>
      <c r="D157" s="5"/>
      <c r="E157" s="5"/>
      <c r="F157" s="5"/>
      <c r="G157" s="5"/>
      <c r="H157" s="100" t="str">
        <f>AS44</f>
        <v/>
      </c>
      <c r="I157" s="100" t="str">
        <f>AS45</f>
        <v/>
      </c>
      <c r="J157" s="100" t="str">
        <f>AS46</f>
        <v/>
      </c>
      <c r="K157" s="100" t="str">
        <f>AS47</f>
        <v/>
      </c>
      <c r="L157" s="5"/>
      <c r="M157" s="5" t="s">
        <v>41</v>
      </c>
      <c r="N157" s="6"/>
      <c r="P157" s="392" t="s">
        <v>415</v>
      </c>
      <c r="Q157" s="392"/>
      <c r="R157" s="392"/>
      <c r="S157" s="392"/>
      <c r="T157" s="392"/>
      <c r="U157" s="392"/>
      <c r="V157" s="392"/>
      <c r="W157" s="392"/>
      <c r="X157" s="392"/>
      <c r="Y157" s="392"/>
      <c r="Z157" s="392"/>
      <c r="AA157" s="392"/>
      <c r="AB157" s="392"/>
      <c r="AC157" s="392"/>
      <c r="AD157" s="392"/>
      <c r="AE157" s="392"/>
      <c r="AF157" s="392"/>
      <c r="AG157" s="392"/>
      <c r="AH157" s="392"/>
      <c r="AI157" s="392"/>
      <c r="AJ157" s="392"/>
      <c r="AK157" s="392"/>
    </row>
    <row r="158" spans="3:37" ht="15" thickBot="1" x14ac:dyDescent="0.35">
      <c r="C158" s="7"/>
      <c r="D158" s="393" t="s">
        <v>1565</v>
      </c>
      <c r="E158" s="393"/>
      <c r="F158" s="393"/>
      <c r="G158" s="393"/>
      <c r="H158" s="99" t="s">
        <v>44</v>
      </c>
      <c r="I158" s="99" t="s">
        <v>45</v>
      </c>
      <c r="J158" s="99" t="s">
        <v>46</v>
      </c>
      <c r="K158" s="99" t="s">
        <v>47</v>
      </c>
      <c r="L158" s="99" t="s">
        <v>48</v>
      </c>
      <c r="M158" s="99" t="s">
        <v>49</v>
      </c>
      <c r="N158" s="8"/>
      <c r="P158" s="394" t="s">
        <v>217</v>
      </c>
      <c r="Q158" s="395"/>
      <c r="R158" s="395"/>
      <c r="S158" s="396"/>
      <c r="T158" s="394" t="s">
        <v>218</v>
      </c>
      <c r="U158" s="395"/>
      <c r="V158" s="395"/>
      <c r="W158" s="396"/>
      <c r="X158" s="394" t="s">
        <v>219</v>
      </c>
      <c r="Y158" s="395"/>
      <c r="Z158" s="395"/>
      <c r="AA158" s="396"/>
      <c r="AB158" s="394" t="s">
        <v>220</v>
      </c>
      <c r="AC158" s="395"/>
      <c r="AD158" s="395"/>
      <c r="AE158" s="396"/>
      <c r="AF158" s="394" t="s">
        <v>221</v>
      </c>
      <c r="AG158" s="395"/>
      <c r="AH158" s="395"/>
      <c r="AI158" s="396"/>
      <c r="AJ158" s="448" t="s">
        <v>55</v>
      </c>
      <c r="AK158" s="408"/>
    </row>
    <row r="159" spans="3:37" ht="15.75" customHeight="1" thickBot="1" x14ac:dyDescent="0.35">
      <c r="C159" s="7" t="s">
        <v>56</v>
      </c>
      <c r="D159" s="12" t="s">
        <v>57</v>
      </c>
      <c r="E159" s="13" t="s">
        <v>130</v>
      </c>
      <c r="F159" s="13" t="s">
        <v>111</v>
      </c>
      <c r="G159" s="14" t="s">
        <v>113</v>
      </c>
      <c r="H159" s="41" t="str" cm="1">
        <f t="array" ref="H159">MID(INDEX($A$3:$A$70,IF(ISNA(MATCH("720G4G5*",$A$3:$A$70,0))=TRUE,MATCH("7200405*",$A$3:$A$70,0),MATCH("720G4G5*",$A$3:$A$70,0))),$AU$8,2)</f>
        <v>00</v>
      </c>
      <c r="I159" s="42" t="str" cm="1">
        <f t="array" ref="I159">MID(INDEX($A$3:$A$70,IF(ISNA(MATCH("720G4G5*",$A$3:$A$70,0))=TRUE,MATCH("7200405*",$A$3:$A$70,0),MATCH("720G4G5*",$A$3:$A$70,0))),$AV$8,2)</f>
        <v>00</v>
      </c>
      <c r="J159" s="24" t="str" cm="1">
        <f t="array" ref="J159">MID(INDEX($A$3:$A$70,IF(ISNA(MATCH("720G4G5*",$A$3:$A$70,0))=TRUE,MATCH("7200405*",$A$3:$A$70,0),MATCH("720G4G5*",$A$3:$A$70,0))),$AW$8,2)</f>
        <v>00</v>
      </c>
      <c r="K159" s="42" t="str" cm="1">
        <f t="array" ref="K159">MID(INDEX($A$3:$A$70,IF(ISNA(MATCH("720G4G5*",$A$3:$A$70,0))=TRUE,MATCH("7200405*",$A$3:$A$70,0),MATCH("720G4G5*",$A$3:$A$70,0))),$AX$8,2)</f>
        <v>00</v>
      </c>
      <c r="L159" s="43" t="str" cm="1">
        <f t="array" ref="L159">MID(INDEX($A$3:$A$70,IF(ISNA(MATCH("720G4G5*",$A$3:$A$70,0))=TRUE,MATCH("7200405*",$A$3:$A$70,0),MATCH("720G4G5*",$A$3:$A$70,0))),$AY$8,2)</f>
        <v>00</v>
      </c>
      <c r="M159" s="44" t="str" cm="1">
        <f t="array" ref="M159">MID(INDEX($A$3:$A$70,IF(ISNA(MATCH("720G4G5*",$A$3:$A$70,0))=TRUE,MATCH("7200405*",$A$3:$A$70,0),MATCH("720G4G5*",$A$3:$A$70,0))),$AZ$8,2)</f>
        <v>30</v>
      </c>
      <c r="N159" s="8" t="s">
        <v>60</v>
      </c>
      <c r="P159" s="521" t="str">
        <f>AS44</f>
        <v/>
      </c>
      <c r="Q159" s="522"/>
      <c r="R159" s="522"/>
      <c r="S159" s="523"/>
      <c r="T159" s="521" t="str">
        <f>AS45</f>
        <v/>
      </c>
      <c r="U159" s="522"/>
      <c r="V159" s="522"/>
      <c r="W159" s="523"/>
      <c r="X159" s="521" t="str">
        <f>AS46</f>
        <v/>
      </c>
      <c r="Y159" s="522"/>
      <c r="Z159" s="522"/>
      <c r="AA159" s="523"/>
      <c r="AB159" s="521" t="str">
        <f>AS47</f>
        <v/>
      </c>
      <c r="AC159" s="522"/>
      <c r="AD159" s="522"/>
      <c r="AE159" s="523"/>
      <c r="AF159" s="394"/>
      <c r="AG159" s="395"/>
      <c r="AH159" s="395"/>
      <c r="AI159" s="396"/>
      <c r="AJ159" s="394" t="s">
        <v>63</v>
      </c>
      <c r="AK159" s="396"/>
    </row>
    <row r="160" spans="3:37" ht="15" customHeight="1" x14ac:dyDescent="0.3">
      <c r="C160" s="7" t="s">
        <v>64</v>
      </c>
      <c r="D160" s="99" t="str">
        <f>HEX2BIN(D159,8)</f>
        <v>00000111</v>
      </c>
      <c r="E160" s="99" t="str">
        <f t="shared" ref="E160:L160" si="162">HEX2BIN(E159,8)</f>
        <v>00100000</v>
      </c>
      <c r="F160" s="99" t="str">
        <f t="shared" si="162"/>
        <v>00000100</v>
      </c>
      <c r="G160" s="99" t="str">
        <f t="shared" si="162"/>
        <v>00000101</v>
      </c>
      <c r="H160" s="99" t="str">
        <f t="shared" si="162"/>
        <v>00000000</v>
      </c>
      <c r="I160" s="99" t="str">
        <f t="shared" si="162"/>
        <v>00000000</v>
      </c>
      <c r="J160" s="99" t="str">
        <f t="shared" si="162"/>
        <v>00000000</v>
      </c>
      <c r="K160" s="99" t="str">
        <f t="shared" si="162"/>
        <v>00000000</v>
      </c>
      <c r="L160" s="99" t="str">
        <f t="shared" si="162"/>
        <v>00000000</v>
      </c>
      <c r="N160" s="8"/>
      <c r="P160" s="524"/>
      <c r="Q160" s="525"/>
      <c r="R160" s="525"/>
      <c r="S160" s="526"/>
      <c r="T160" s="524"/>
      <c r="U160" s="525"/>
      <c r="V160" s="525"/>
      <c r="W160" s="526"/>
      <c r="X160" s="524"/>
      <c r="Y160" s="525"/>
      <c r="Z160" s="525"/>
      <c r="AA160" s="526"/>
      <c r="AB160" s="524"/>
      <c r="AC160" s="525"/>
      <c r="AD160" s="525"/>
      <c r="AE160" s="526"/>
      <c r="AF160" s="400"/>
      <c r="AG160" s="381"/>
      <c r="AH160" s="381"/>
      <c r="AI160" s="401"/>
      <c r="AJ160" s="400"/>
      <c r="AK160" s="401"/>
    </row>
    <row r="161" spans="3:37" ht="15" customHeight="1" x14ac:dyDescent="0.3">
      <c r="C161" s="7" t="s">
        <v>67</v>
      </c>
      <c r="D161" s="99">
        <f>HEX2DEC(D159)</f>
        <v>7</v>
      </c>
      <c r="E161" s="99">
        <f t="shared" ref="E161:L161" si="163">HEX2DEC(E159)</f>
        <v>32</v>
      </c>
      <c r="F161" s="99">
        <f t="shared" si="163"/>
        <v>4</v>
      </c>
      <c r="G161" s="99">
        <f t="shared" si="163"/>
        <v>5</v>
      </c>
      <c r="H161" s="99">
        <f t="shared" si="163"/>
        <v>0</v>
      </c>
      <c r="I161" s="99">
        <f t="shared" si="163"/>
        <v>0</v>
      </c>
      <c r="J161" s="99">
        <f t="shared" si="163"/>
        <v>0</v>
      </c>
      <c r="K161" s="99">
        <f t="shared" si="163"/>
        <v>0</v>
      </c>
      <c r="L161" s="99">
        <f t="shared" si="163"/>
        <v>0</v>
      </c>
      <c r="M161" s="99">
        <f>SUM(D161:L161)</f>
        <v>48</v>
      </c>
      <c r="N161" s="8"/>
      <c r="P161" s="524"/>
      <c r="Q161" s="525"/>
      <c r="R161" s="525"/>
      <c r="S161" s="526"/>
      <c r="T161" s="524"/>
      <c r="U161" s="525"/>
      <c r="V161" s="525"/>
      <c r="W161" s="526"/>
      <c r="X161" s="524"/>
      <c r="Y161" s="525"/>
      <c r="Z161" s="525"/>
      <c r="AA161" s="526"/>
      <c r="AB161" s="524"/>
      <c r="AC161" s="525"/>
      <c r="AD161" s="525"/>
      <c r="AE161" s="526"/>
      <c r="AF161" s="400"/>
      <c r="AG161" s="381"/>
      <c r="AH161" s="381"/>
      <c r="AI161" s="401"/>
      <c r="AJ161" s="400"/>
      <c r="AK161" s="401"/>
    </row>
    <row r="162" spans="3:37" ht="15" customHeight="1" x14ac:dyDescent="0.3">
      <c r="C162" s="7" t="s">
        <v>1678</v>
      </c>
      <c r="D162" s="333" t="str">
        <f>D159</f>
        <v>07</v>
      </c>
      <c r="E162" s="333" t="str">
        <f>E159</f>
        <v>20</v>
      </c>
      <c r="F162" s="99" t="str">
        <f>MID(INDEX($A$3:$A$70,IF(ISNA(MATCH("720G4G5*",$A$3:$A$70,0))=TRUE,MATCH("7200405*",$A$3:$A$70,0),MATCH("720G4G5*",$A$3:$A$70,0))),$AS$8,2)</f>
        <v>G4</v>
      </c>
      <c r="G162" s="99" t="str">
        <f>MID(INDEX($A$3:$A$70,IF(ISNA(MATCH("720G4G5*",$A$3:$A$70,0))=TRUE,MATCH("7200405*",$A$3:$A$70,0),MATCH("720G4G5*",$A$3:$A$70,0))),$AT$8,2)</f>
        <v>G5</v>
      </c>
      <c r="N162" s="8"/>
      <c r="P162" s="524"/>
      <c r="Q162" s="525"/>
      <c r="R162" s="525"/>
      <c r="S162" s="526"/>
      <c r="T162" s="524"/>
      <c r="U162" s="525"/>
      <c r="V162" s="525"/>
      <c r="W162" s="526"/>
      <c r="X162" s="524"/>
      <c r="Y162" s="525"/>
      <c r="Z162" s="525"/>
      <c r="AA162" s="526"/>
      <c r="AB162" s="524"/>
      <c r="AC162" s="525"/>
      <c r="AD162" s="525"/>
      <c r="AE162" s="526"/>
      <c r="AF162" s="400"/>
      <c r="AG162" s="381"/>
      <c r="AH162" s="381"/>
      <c r="AI162" s="401"/>
      <c r="AJ162" s="400"/>
      <c r="AK162" s="401"/>
    </row>
    <row r="163" spans="3:37" ht="15.75" customHeight="1" thickBot="1" x14ac:dyDescent="0.35">
      <c r="C163" s="7"/>
      <c r="H163" s="100" t="str">
        <f>P159</f>
        <v/>
      </c>
      <c r="I163" s="100" t="str">
        <f>T159</f>
        <v/>
      </c>
      <c r="J163" s="100" t="str">
        <f>X159</f>
        <v/>
      </c>
      <c r="K163" s="100" t="str">
        <f>AB159</f>
        <v/>
      </c>
      <c r="N163" s="8"/>
      <c r="P163" s="524"/>
      <c r="Q163" s="525"/>
      <c r="R163" s="525"/>
      <c r="S163" s="526"/>
      <c r="T163" s="524"/>
      <c r="U163" s="525"/>
      <c r="V163" s="525"/>
      <c r="W163" s="526"/>
      <c r="X163" s="524"/>
      <c r="Y163" s="525"/>
      <c r="Z163" s="525"/>
      <c r="AA163" s="526"/>
      <c r="AB163" s="524"/>
      <c r="AC163" s="525"/>
      <c r="AD163" s="525"/>
      <c r="AE163" s="526"/>
      <c r="AF163" s="400"/>
      <c r="AG163" s="381"/>
      <c r="AH163" s="381"/>
      <c r="AI163" s="401"/>
      <c r="AJ163" s="400"/>
      <c r="AK163" s="401"/>
    </row>
    <row r="164" spans="3:37" ht="15.75" customHeight="1" thickBot="1" x14ac:dyDescent="0.35">
      <c r="C164" s="7" t="s">
        <v>56</v>
      </c>
      <c r="D164" s="15" t="str">
        <f t="shared" ref="D164:L164" si="164">D159</f>
        <v>07</v>
      </c>
      <c r="E164" s="16" t="str">
        <f t="shared" si="164"/>
        <v>20</v>
      </c>
      <c r="F164" s="16" t="str">
        <f t="shared" si="164"/>
        <v>04</v>
      </c>
      <c r="G164" s="17" t="str">
        <f t="shared" si="164"/>
        <v>05</v>
      </c>
      <c r="H164" s="359" t="str">
        <f>IFERROR(VLOOKUP($P$159,$AU$36:$AV$71,2,FALSE),"00")</f>
        <v>00</v>
      </c>
      <c r="I164" s="52" t="str">
        <f>IFERROR(VLOOKUP($T$159,$AU$36:$AV$71,2,FALSE),"00")</f>
        <v>00</v>
      </c>
      <c r="J164" s="52" t="str">
        <f>IFERROR(VLOOKUP($X$159,$AU$36:$AV$71,2,FALSE),"00")</f>
        <v>00</v>
      </c>
      <c r="K164" s="52" t="str">
        <f>IFERROR(VLOOKUP($AB$159,$AU$36:$AV$71,2,FALSE),"00")</f>
        <v>00</v>
      </c>
      <c r="L164" s="49" t="str">
        <f t="shared" si="164"/>
        <v>00</v>
      </c>
      <c r="M164" s="3" t="str">
        <f>IF(LEN(M165)&gt;2,MID(M165,2,2),M165)</f>
        <v>30</v>
      </c>
      <c r="N164" s="8" t="s">
        <v>61</v>
      </c>
      <c r="P164" s="524"/>
      <c r="Q164" s="525"/>
      <c r="R164" s="525"/>
      <c r="S164" s="526"/>
      <c r="T164" s="524"/>
      <c r="U164" s="525"/>
      <c r="V164" s="525"/>
      <c r="W164" s="526"/>
      <c r="X164" s="524"/>
      <c r="Y164" s="525"/>
      <c r="Z164" s="525"/>
      <c r="AA164" s="526"/>
      <c r="AB164" s="524"/>
      <c r="AC164" s="525"/>
      <c r="AD164" s="525"/>
      <c r="AE164" s="526"/>
      <c r="AF164" s="400"/>
      <c r="AG164" s="381"/>
      <c r="AH164" s="381"/>
      <c r="AI164" s="401"/>
      <c r="AJ164" s="400"/>
      <c r="AK164" s="401"/>
    </row>
    <row r="165" spans="3:37" ht="15" customHeight="1" x14ac:dyDescent="0.3">
      <c r="C165" s="7" t="s">
        <v>64</v>
      </c>
      <c r="D165" s="99" t="str">
        <f>HEX2BIN(D164,8)</f>
        <v>00000111</v>
      </c>
      <c r="E165" s="99" t="str">
        <f t="shared" ref="E165:G165" si="165">HEX2BIN(E164,8)</f>
        <v>00100000</v>
      </c>
      <c r="F165" s="99" t="str">
        <f t="shared" si="165"/>
        <v>00000100</v>
      </c>
      <c r="G165" s="99" t="str">
        <f t="shared" si="165"/>
        <v>00000101</v>
      </c>
      <c r="H165" s="29"/>
      <c r="I165" s="99"/>
      <c r="J165" s="29"/>
      <c r="K165" s="29"/>
      <c r="L165" s="99"/>
      <c r="M165" s="99" t="str">
        <f>DEC2HEX(M166)</f>
        <v>30</v>
      </c>
      <c r="N165" s="8"/>
      <c r="P165" s="524"/>
      <c r="Q165" s="525"/>
      <c r="R165" s="525"/>
      <c r="S165" s="526"/>
      <c r="T165" s="524"/>
      <c r="U165" s="525"/>
      <c r="V165" s="525"/>
      <c r="W165" s="526"/>
      <c r="X165" s="524"/>
      <c r="Y165" s="525"/>
      <c r="Z165" s="525"/>
      <c r="AA165" s="526"/>
      <c r="AB165" s="524"/>
      <c r="AC165" s="525"/>
      <c r="AD165" s="525"/>
      <c r="AE165" s="526"/>
      <c r="AF165" s="400"/>
      <c r="AG165" s="381"/>
      <c r="AH165" s="381"/>
      <c r="AI165" s="401"/>
      <c r="AJ165" s="400"/>
      <c r="AK165" s="401"/>
    </row>
    <row r="166" spans="3:37" ht="15" customHeight="1" x14ac:dyDescent="0.3">
      <c r="C166" s="7" t="s">
        <v>67</v>
      </c>
      <c r="D166" s="99">
        <f>HEX2DEC(D164)</f>
        <v>7</v>
      </c>
      <c r="E166" s="99">
        <f t="shared" ref="E166:L166" si="166">HEX2DEC(E164)</f>
        <v>32</v>
      </c>
      <c r="F166" s="99">
        <f t="shared" si="166"/>
        <v>4</v>
      </c>
      <c r="G166" s="99">
        <f t="shared" si="166"/>
        <v>5</v>
      </c>
      <c r="H166" s="99">
        <f t="shared" si="166"/>
        <v>0</v>
      </c>
      <c r="I166" s="99">
        <f t="shared" si="166"/>
        <v>0</v>
      </c>
      <c r="J166" s="99">
        <f t="shared" si="166"/>
        <v>0</v>
      </c>
      <c r="K166" s="99">
        <f t="shared" si="166"/>
        <v>0</v>
      </c>
      <c r="L166" s="99">
        <f t="shared" si="166"/>
        <v>0</v>
      </c>
      <c r="M166" s="99">
        <f>SUM(D166:L166)</f>
        <v>48</v>
      </c>
      <c r="N166" s="8"/>
      <c r="P166" s="524"/>
      <c r="Q166" s="525"/>
      <c r="R166" s="525"/>
      <c r="S166" s="526"/>
      <c r="T166" s="524"/>
      <c r="U166" s="525"/>
      <c r="V166" s="525"/>
      <c r="W166" s="526"/>
      <c r="X166" s="524"/>
      <c r="Y166" s="525"/>
      <c r="Z166" s="525"/>
      <c r="AA166" s="526"/>
      <c r="AB166" s="524"/>
      <c r="AC166" s="525"/>
      <c r="AD166" s="525"/>
      <c r="AE166" s="526"/>
      <c r="AF166" s="400"/>
      <c r="AG166" s="381"/>
      <c r="AH166" s="381"/>
      <c r="AI166" s="401"/>
      <c r="AJ166" s="400"/>
      <c r="AK166" s="401"/>
    </row>
    <row r="167" spans="3:37" ht="15.75" customHeight="1" thickBot="1" x14ac:dyDescent="0.35">
      <c r="C167" s="9" t="s">
        <v>1678</v>
      </c>
      <c r="D167" s="334" t="str">
        <f>D162</f>
        <v>07</v>
      </c>
      <c r="E167" s="334" t="str">
        <f t="shared" ref="E167:G167" si="167">E162</f>
        <v>20</v>
      </c>
      <c r="F167" s="334" t="str">
        <f t="shared" si="167"/>
        <v>G4</v>
      </c>
      <c r="G167" s="334" t="str">
        <f t="shared" si="167"/>
        <v>G5</v>
      </c>
      <c r="H167" s="10"/>
      <c r="I167" s="10"/>
      <c r="J167" s="10"/>
      <c r="K167" s="10"/>
      <c r="L167" s="10"/>
      <c r="M167" s="10"/>
      <c r="N167" s="11"/>
      <c r="P167" s="527"/>
      <c r="Q167" s="528"/>
      <c r="R167" s="528"/>
      <c r="S167" s="529"/>
      <c r="T167" s="527"/>
      <c r="U167" s="528"/>
      <c r="V167" s="528"/>
      <c r="W167" s="529"/>
      <c r="X167" s="527"/>
      <c r="Y167" s="528"/>
      <c r="Z167" s="528"/>
      <c r="AA167" s="529"/>
      <c r="AB167" s="527"/>
      <c r="AC167" s="528"/>
      <c r="AD167" s="528"/>
      <c r="AE167" s="529"/>
      <c r="AF167" s="402"/>
      <c r="AG167" s="403"/>
      <c r="AH167" s="403"/>
      <c r="AI167" s="404"/>
      <c r="AJ167" s="402"/>
      <c r="AK167" s="404"/>
    </row>
    <row r="168" spans="3:37" ht="15" thickBot="1" x14ac:dyDescent="0.35">
      <c r="C168" s="4"/>
      <c r="D168" s="5"/>
      <c r="E168" s="5"/>
      <c r="F168" s="5"/>
      <c r="G168" s="5"/>
      <c r="H168" s="5"/>
      <c r="I168" s="100" t="str">
        <f>AS48</f>
        <v/>
      </c>
      <c r="J168" s="100" t="str">
        <f>AS49</f>
        <v/>
      </c>
      <c r="K168" s="100" t="str">
        <f>AS50</f>
        <v/>
      </c>
      <c r="L168" s="100" t="str">
        <f>AS51</f>
        <v/>
      </c>
      <c r="M168" s="5" t="s">
        <v>41</v>
      </c>
      <c r="N168" s="6"/>
      <c r="P168" s="392" t="s">
        <v>416</v>
      </c>
      <c r="Q168" s="392"/>
      <c r="R168" s="392"/>
      <c r="S168" s="392"/>
      <c r="T168" s="392"/>
      <c r="U168" s="392"/>
      <c r="V168" s="392"/>
      <c r="W168" s="392"/>
      <c r="X168" s="392"/>
      <c r="Y168" s="392"/>
      <c r="Z168" s="392"/>
      <c r="AA168" s="392"/>
      <c r="AB168" s="392"/>
      <c r="AC168" s="392"/>
      <c r="AD168" s="392"/>
      <c r="AE168" s="392"/>
      <c r="AF168" s="392"/>
      <c r="AG168" s="392"/>
      <c r="AH168" s="392"/>
      <c r="AI168" s="392"/>
      <c r="AJ168" s="392"/>
      <c r="AK168" s="392"/>
    </row>
    <row r="169" spans="3:37" ht="15" thickBot="1" x14ac:dyDescent="0.35">
      <c r="C169" s="7"/>
      <c r="D169" s="393" t="s">
        <v>1564</v>
      </c>
      <c r="E169" s="393"/>
      <c r="F169" s="393"/>
      <c r="G169" s="393"/>
      <c r="H169" s="99" t="s">
        <v>44</v>
      </c>
      <c r="I169" s="99" t="s">
        <v>45</v>
      </c>
      <c r="J169" s="99" t="s">
        <v>46</v>
      </c>
      <c r="K169" s="99" t="s">
        <v>47</v>
      </c>
      <c r="L169" s="99" t="s">
        <v>48</v>
      </c>
      <c r="M169" s="99" t="s">
        <v>49</v>
      </c>
      <c r="N169" s="8"/>
      <c r="P169" s="394" t="s">
        <v>222</v>
      </c>
      <c r="Q169" s="395"/>
      <c r="R169" s="395"/>
      <c r="S169" s="396"/>
      <c r="T169" s="394" t="s">
        <v>223</v>
      </c>
      <c r="U169" s="395"/>
      <c r="V169" s="395"/>
      <c r="W169" s="396"/>
      <c r="X169" s="394" t="s">
        <v>224</v>
      </c>
      <c r="Y169" s="395"/>
      <c r="Z169" s="395"/>
      <c r="AA169" s="396"/>
      <c r="AB169" s="394" t="s">
        <v>225</v>
      </c>
      <c r="AC169" s="395"/>
      <c r="AD169" s="395"/>
      <c r="AE169" s="396"/>
      <c r="AF169" s="394" t="s">
        <v>226</v>
      </c>
      <c r="AG169" s="395"/>
      <c r="AH169" s="395"/>
      <c r="AI169" s="396"/>
      <c r="AJ169" s="448" t="s">
        <v>55</v>
      </c>
      <c r="AK169" s="408"/>
    </row>
    <row r="170" spans="3:37" ht="15.75" customHeight="1" thickBot="1" x14ac:dyDescent="0.35">
      <c r="C170" s="7" t="s">
        <v>56</v>
      </c>
      <c r="D170" s="12" t="s">
        <v>57</v>
      </c>
      <c r="E170" s="13" t="s">
        <v>130</v>
      </c>
      <c r="F170" s="13" t="s">
        <v>111</v>
      </c>
      <c r="G170" s="14" t="s">
        <v>227</v>
      </c>
      <c r="H170" s="24" t="str" cm="1">
        <f t="array" ref="H170">MID(INDEX($A$3:$A$70,IF(ISNA(MATCH("720G4G6*",$A$3:$A$70,0))=TRUE,MATCH("7200406*",$A$3:$A$70,0),MATCH("720G4G6*",$A$3:$A$70,0))),$AU$8,2)</f>
        <v>00</v>
      </c>
      <c r="I170" s="42" t="str" cm="1">
        <f t="array" ref="I170">MID(INDEX($A$3:$A$70,IF(ISNA(MATCH("720G4G6*",$A$3:$A$70,0))=TRUE,MATCH("7200406*",$A$3:$A$70,0),MATCH("720G4G6*",$A$3:$A$70,0))),$AV$8,2)</f>
        <v>00</v>
      </c>
      <c r="J170" s="42" t="str" cm="1">
        <f t="array" ref="J170">MID(INDEX($A$3:$A$70,IF(ISNA(MATCH("720G4G6*",$A$3:$A$70,0))=TRUE,MATCH("7200406*",$A$3:$A$70,0),MATCH("720G4G6*",$A$3:$A$70,0))),$AW$8,2)</f>
        <v>00</v>
      </c>
      <c r="K170" s="43" t="str" cm="1">
        <f t="array" ref="K170">MID(INDEX($A$3:$A$70,IF(ISNA(MATCH("720G4G6*",$A$3:$A$70,0))=TRUE,MATCH("7200406*",$A$3:$A$70,0),MATCH("720G4G6*",$A$3:$A$70,0))),$AX$8,2)</f>
        <v>00</v>
      </c>
      <c r="L170" s="43" t="str" cm="1">
        <f t="array" ref="L170">MID(INDEX($A$3:$A$70,IF(ISNA(MATCH("720G4G6*",$A$3:$A$70,0))=TRUE,MATCH("7200406*",$A$3:$A$70,0),MATCH("720G4G6*",$A$3:$A$70,0))),$AY$8,2)</f>
        <v>00</v>
      </c>
      <c r="M170" s="44" t="str" cm="1">
        <f t="array" ref="M170">MID(INDEX($A$3:$A$70,IF(ISNA(MATCH("720G4G6*",$A$3:$A$70,0))=TRUE,MATCH("7200406*",$A$3:$A$70,0),MATCH("720G4G6*",$A$3:$A$70,0))),$AZ$8,2)</f>
        <v>31</v>
      </c>
      <c r="N170" s="8" t="s">
        <v>60</v>
      </c>
      <c r="P170" s="394"/>
      <c r="Q170" s="395"/>
      <c r="R170" s="395"/>
      <c r="S170" s="396"/>
      <c r="T170" s="521" t="str">
        <f>AS48</f>
        <v/>
      </c>
      <c r="U170" s="522"/>
      <c r="V170" s="522"/>
      <c r="W170" s="523"/>
      <c r="X170" s="521" t="str">
        <f>AS49</f>
        <v/>
      </c>
      <c r="Y170" s="522"/>
      <c r="Z170" s="522"/>
      <c r="AA170" s="523"/>
      <c r="AB170" s="521" t="str">
        <f>AS50</f>
        <v/>
      </c>
      <c r="AC170" s="522"/>
      <c r="AD170" s="522"/>
      <c r="AE170" s="523"/>
      <c r="AF170" s="521" t="str">
        <f>AS51</f>
        <v/>
      </c>
      <c r="AG170" s="522"/>
      <c r="AH170" s="522"/>
      <c r="AI170" s="523"/>
      <c r="AJ170" s="394" t="s">
        <v>63</v>
      </c>
      <c r="AK170" s="396"/>
    </row>
    <row r="171" spans="3:37" ht="15" customHeight="1" x14ac:dyDescent="0.3">
      <c r="C171" s="7" t="s">
        <v>64</v>
      </c>
      <c r="D171" s="99" t="str">
        <f>HEX2BIN(D170,8)</f>
        <v>00000111</v>
      </c>
      <c r="E171" s="99" t="str">
        <f t="shared" ref="E171:L171" si="168">HEX2BIN(E170,8)</f>
        <v>00100000</v>
      </c>
      <c r="F171" s="99" t="str">
        <f t="shared" si="168"/>
        <v>00000100</v>
      </c>
      <c r="G171" s="99" t="str">
        <f t="shared" si="168"/>
        <v>00000110</v>
      </c>
      <c r="H171" s="99" t="str">
        <f t="shared" si="168"/>
        <v>00000000</v>
      </c>
      <c r="I171" s="99" t="str">
        <f t="shared" si="168"/>
        <v>00000000</v>
      </c>
      <c r="J171" s="99" t="str">
        <f t="shared" si="168"/>
        <v>00000000</v>
      </c>
      <c r="K171" s="99" t="str">
        <f t="shared" si="168"/>
        <v>00000000</v>
      </c>
      <c r="L171" s="99" t="str">
        <f t="shared" si="168"/>
        <v>00000000</v>
      </c>
      <c r="N171" s="8"/>
      <c r="P171" s="400"/>
      <c r="Q171" s="381"/>
      <c r="R171" s="381"/>
      <c r="S171" s="401"/>
      <c r="T171" s="524"/>
      <c r="U171" s="525"/>
      <c r="V171" s="525"/>
      <c r="W171" s="526"/>
      <c r="X171" s="524"/>
      <c r="Y171" s="525"/>
      <c r="Z171" s="525"/>
      <c r="AA171" s="526"/>
      <c r="AB171" s="524"/>
      <c r="AC171" s="525"/>
      <c r="AD171" s="525"/>
      <c r="AE171" s="526"/>
      <c r="AF171" s="524"/>
      <c r="AG171" s="525"/>
      <c r="AH171" s="525"/>
      <c r="AI171" s="526"/>
      <c r="AJ171" s="400"/>
      <c r="AK171" s="401"/>
    </row>
    <row r="172" spans="3:37" ht="15" customHeight="1" x14ac:dyDescent="0.3">
      <c r="C172" s="7" t="s">
        <v>67</v>
      </c>
      <c r="D172" s="99">
        <f>HEX2DEC(D170)</f>
        <v>7</v>
      </c>
      <c r="E172" s="99">
        <f t="shared" ref="E172:L172" si="169">HEX2DEC(E170)</f>
        <v>32</v>
      </c>
      <c r="F172" s="99">
        <f t="shared" si="169"/>
        <v>4</v>
      </c>
      <c r="G172" s="99">
        <f t="shared" si="169"/>
        <v>6</v>
      </c>
      <c r="H172" s="99">
        <f t="shared" si="169"/>
        <v>0</v>
      </c>
      <c r="I172" s="99">
        <f t="shared" si="169"/>
        <v>0</v>
      </c>
      <c r="J172" s="99">
        <f t="shared" si="169"/>
        <v>0</v>
      </c>
      <c r="K172" s="99">
        <f t="shared" si="169"/>
        <v>0</v>
      </c>
      <c r="L172" s="99">
        <f t="shared" si="169"/>
        <v>0</v>
      </c>
      <c r="M172" s="99">
        <f>SUM(D172:L172)</f>
        <v>49</v>
      </c>
      <c r="N172" s="8"/>
      <c r="P172" s="400"/>
      <c r="Q172" s="381"/>
      <c r="R172" s="381"/>
      <c r="S172" s="401"/>
      <c r="T172" s="524"/>
      <c r="U172" s="525"/>
      <c r="V172" s="525"/>
      <c r="W172" s="526"/>
      <c r="X172" s="524"/>
      <c r="Y172" s="525"/>
      <c r="Z172" s="525"/>
      <c r="AA172" s="526"/>
      <c r="AB172" s="524"/>
      <c r="AC172" s="525"/>
      <c r="AD172" s="525"/>
      <c r="AE172" s="526"/>
      <c r="AF172" s="524"/>
      <c r="AG172" s="525"/>
      <c r="AH172" s="525"/>
      <c r="AI172" s="526"/>
      <c r="AJ172" s="400"/>
      <c r="AK172" s="401"/>
    </row>
    <row r="173" spans="3:37" ht="15" customHeight="1" x14ac:dyDescent="0.3">
      <c r="C173" s="7" t="s">
        <v>1678</v>
      </c>
      <c r="D173" s="333" t="str">
        <f>D170</f>
        <v>07</v>
      </c>
      <c r="E173" s="333" t="str">
        <f>E170</f>
        <v>20</v>
      </c>
      <c r="F173" s="99" t="str">
        <f>MID(INDEX($A$3:$A$70,IF(ISNA(MATCH("720G4G6*",$A$3:$A$70,0))=TRUE,MATCH("7200406*",$A$3:$A$70,0),MATCH("720G4G6*",$A$3:$A$70,0))),$AS$8,2)</f>
        <v>G4</v>
      </c>
      <c r="G173" s="99" t="str">
        <f>MID(INDEX($A$3:$A$70,IF(ISNA(MATCH("720G4G6*",$A$3:$A$70,0))=TRUE,MATCH("7200406*",$A$3:$A$70,0),MATCH("720G4G6*",$A$3:$A$70,0))),$AT$8,2)</f>
        <v>G6</v>
      </c>
      <c r="N173" s="8"/>
      <c r="P173" s="400"/>
      <c r="Q173" s="381"/>
      <c r="R173" s="381"/>
      <c r="S173" s="401"/>
      <c r="T173" s="524"/>
      <c r="U173" s="525"/>
      <c r="V173" s="525"/>
      <c r="W173" s="526"/>
      <c r="X173" s="524"/>
      <c r="Y173" s="525"/>
      <c r="Z173" s="525"/>
      <c r="AA173" s="526"/>
      <c r="AB173" s="524"/>
      <c r="AC173" s="525"/>
      <c r="AD173" s="525"/>
      <c r="AE173" s="526"/>
      <c r="AF173" s="524"/>
      <c r="AG173" s="525"/>
      <c r="AH173" s="525"/>
      <c r="AI173" s="526"/>
      <c r="AJ173" s="400"/>
      <c r="AK173" s="401"/>
    </row>
    <row r="174" spans="3:37" ht="15.75" customHeight="1" thickBot="1" x14ac:dyDescent="0.35">
      <c r="C174" s="7"/>
      <c r="I174" s="100" t="str">
        <f>T170</f>
        <v/>
      </c>
      <c r="J174" s="100" t="str">
        <f>X170</f>
        <v/>
      </c>
      <c r="K174" s="100" t="str">
        <f>AB170</f>
        <v/>
      </c>
      <c r="L174" s="100" t="str">
        <f>AF170</f>
        <v/>
      </c>
      <c r="N174" s="8"/>
      <c r="P174" s="400"/>
      <c r="Q174" s="381"/>
      <c r="R174" s="381"/>
      <c r="S174" s="401"/>
      <c r="T174" s="524"/>
      <c r="U174" s="525"/>
      <c r="V174" s="525"/>
      <c r="W174" s="526"/>
      <c r="X174" s="524"/>
      <c r="Y174" s="525"/>
      <c r="Z174" s="525"/>
      <c r="AA174" s="526"/>
      <c r="AB174" s="524"/>
      <c r="AC174" s="525"/>
      <c r="AD174" s="525"/>
      <c r="AE174" s="526"/>
      <c r="AF174" s="524"/>
      <c r="AG174" s="525"/>
      <c r="AH174" s="525"/>
      <c r="AI174" s="526"/>
      <c r="AJ174" s="400"/>
      <c r="AK174" s="401"/>
    </row>
    <row r="175" spans="3:37" ht="15.75" customHeight="1" thickBot="1" x14ac:dyDescent="0.35">
      <c r="C175" s="7" t="s">
        <v>56</v>
      </c>
      <c r="D175" s="15" t="str">
        <f t="shared" ref="D175:G175" si="170">D170</f>
        <v>07</v>
      </c>
      <c r="E175" s="16" t="str">
        <f t="shared" si="170"/>
        <v>20</v>
      </c>
      <c r="F175" s="16" t="str">
        <f t="shared" si="170"/>
        <v>04</v>
      </c>
      <c r="G175" s="17" t="str">
        <f t="shared" si="170"/>
        <v>06</v>
      </c>
      <c r="H175" s="50" t="str">
        <f>H170</f>
        <v>00</v>
      </c>
      <c r="I175" s="52" t="str">
        <f>IFERROR(VLOOKUP($T$170,$AU$36:$AV$71,2,FALSE),"00")</f>
        <v>00</v>
      </c>
      <c r="J175" s="52" t="str">
        <f>IFERROR(VLOOKUP($X$170,$AU$36:$AV$71,2,FALSE),"00")</f>
        <v>00</v>
      </c>
      <c r="K175" s="52" t="str">
        <f>IFERROR(VLOOKUP($AB$170,$AU$36:$AV$71,2,FALSE),"00")</f>
        <v>00</v>
      </c>
      <c r="L175" s="358" t="str">
        <f>IFERROR(VLOOKUP($AF$170,$AU$36:$AV$71,2,FALSE),"00")</f>
        <v>00</v>
      </c>
      <c r="M175" s="3" t="str">
        <f>IF(LEN(M176)&gt;2,MID(M176,2,2),M176)</f>
        <v>31</v>
      </c>
      <c r="N175" s="8" t="s">
        <v>61</v>
      </c>
      <c r="P175" s="400"/>
      <c r="Q175" s="381"/>
      <c r="R175" s="381"/>
      <c r="S175" s="401"/>
      <c r="T175" s="524"/>
      <c r="U175" s="525"/>
      <c r="V175" s="525"/>
      <c r="W175" s="526"/>
      <c r="X175" s="524"/>
      <c r="Y175" s="525"/>
      <c r="Z175" s="525"/>
      <c r="AA175" s="526"/>
      <c r="AB175" s="524"/>
      <c r="AC175" s="525"/>
      <c r="AD175" s="525"/>
      <c r="AE175" s="526"/>
      <c r="AF175" s="524"/>
      <c r="AG175" s="525"/>
      <c r="AH175" s="525"/>
      <c r="AI175" s="526"/>
      <c r="AJ175" s="400"/>
      <c r="AK175" s="401"/>
    </row>
    <row r="176" spans="3:37" ht="15" customHeight="1" x14ac:dyDescent="0.3">
      <c r="C176" s="7" t="s">
        <v>64</v>
      </c>
      <c r="D176" s="99" t="str">
        <f>HEX2BIN(D175,8)</f>
        <v>00000111</v>
      </c>
      <c r="E176" s="99" t="str">
        <f t="shared" ref="E176:G176" si="171">HEX2BIN(E175,8)</f>
        <v>00100000</v>
      </c>
      <c r="F176" s="99" t="str">
        <f t="shared" si="171"/>
        <v>00000100</v>
      </c>
      <c r="G176" s="99" t="str">
        <f t="shared" si="171"/>
        <v>00000110</v>
      </c>
      <c r="H176" s="29"/>
      <c r="I176" s="99"/>
      <c r="J176" s="29"/>
      <c r="K176" s="29"/>
      <c r="L176" s="99"/>
      <c r="M176" s="99" t="str">
        <f>DEC2HEX(M177)</f>
        <v>31</v>
      </c>
      <c r="N176" s="8"/>
      <c r="P176" s="400"/>
      <c r="Q176" s="381"/>
      <c r="R176" s="381"/>
      <c r="S176" s="401"/>
      <c r="T176" s="524"/>
      <c r="U176" s="525"/>
      <c r="V176" s="525"/>
      <c r="W176" s="526"/>
      <c r="X176" s="524"/>
      <c r="Y176" s="525"/>
      <c r="Z176" s="525"/>
      <c r="AA176" s="526"/>
      <c r="AB176" s="524"/>
      <c r="AC176" s="525"/>
      <c r="AD176" s="525"/>
      <c r="AE176" s="526"/>
      <c r="AF176" s="524"/>
      <c r="AG176" s="525"/>
      <c r="AH176" s="525"/>
      <c r="AI176" s="526"/>
      <c r="AJ176" s="400"/>
      <c r="AK176" s="401"/>
    </row>
    <row r="177" spans="3:37" ht="15" customHeight="1" x14ac:dyDescent="0.3">
      <c r="C177" s="7" t="s">
        <v>67</v>
      </c>
      <c r="D177" s="99">
        <f>HEX2DEC(D175)</f>
        <v>7</v>
      </c>
      <c r="E177" s="99">
        <f t="shared" ref="E177:L177" si="172">HEX2DEC(E175)</f>
        <v>32</v>
      </c>
      <c r="F177" s="99">
        <f t="shared" si="172"/>
        <v>4</v>
      </c>
      <c r="G177" s="99">
        <f t="shared" si="172"/>
        <v>6</v>
      </c>
      <c r="H177" s="99">
        <f t="shared" si="172"/>
        <v>0</v>
      </c>
      <c r="I177" s="99">
        <f t="shared" si="172"/>
        <v>0</v>
      </c>
      <c r="J177" s="99">
        <f t="shared" si="172"/>
        <v>0</v>
      </c>
      <c r="K177" s="99">
        <f t="shared" si="172"/>
        <v>0</v>
      </c>
      <c r="L177" s="99">
        <f t="shared" si="172"/>
        <v>0</v>
      </c>
      <c r="M177" s="99">
        <f>SUM(D177:L177)</f>
        <v>49</v>
      </c>
      <c r="N177" s="8"/>
      <c r="P177" s="400"/>
      <c r="Q177" s="381"/>
      <c r="R177" s="381"/>
      <c r="S177" s="401"/>
      <c r="T177" s="524"/>
      <c r="U177" s="525"/>
      <c r="V177" s="525"/>
      <c r="W177" s="526"/>
      <c r="X177" s="524"/>
      <c r="Y177" s="525"/>
      <c r="Z177" s="525"/>
      <c r="AA177" s="526"/>
      <c r="AB177" s="524"/>
      <c r="AC177" s="525"/>
      <c r="AD177" s="525"/>
      <c r="AE177" s="526"/>
      <c r="AF177" s="524"/>
      <c r="AG177" s="525"/>
      <c r="AH177" s="525"/>
      <c r="AI177" s="526"/>
      <c r="AJ177" s="400"/>
      <c r="AK177" s="401"/>
    </row>
    <row r="178" spans="3:37" ht="15.75" customHeight="1" thickBot="1" x14ac:dyDescent="0.35">
      <c r="C178" s="9" t="s">
        <v>1678</v>
      </c>
      <c r="D178" s="334" t="str">
        <f>D173</f>
        <v>07</v>
      </c>
      <c r="E178" s="334" t="str">
        <f t="shared" ref="E178:G178" si="173">E173</f>
        <v>20</v>
      </c>
      <c r="F178" s="334" t="str">
        <f t="shared" si="173"/>
        <v>G4</v>
      </c>
      <c r="G178" s="334" t="str">
        <f t="shared" si="173"/>
        <v>G6</v>
      </c>
      <c r="H178" s="10"/>
      <c r="I178" s="10"/>
      <c r="J178" s="10"/>
      <c r="K178" s="10"/>
      <c r="L178" s="10"/>
      <c r="M178" s="10"/>
      <c r="N178" s="11"/>
      <c r="P178" s="402"/>
      <c r="Q178" s="403"/>
      <c r="R178" s="403"/>
      <c r="S178" s="404"/>
      <c r="T178" s="527"/>
      <c r="U178" s="528"/>
      <c r="V178" s="528"/>
      <c r="W178" s="529"/>
      <c r="X178" s="527"/>
      <c r="Y178" s="528"/>
      <c r="Z178" s="528"/>
      <c r="AA178" s="529"/>
      <c r="AB178" s="527"/>
      <c r="AC178" s="528"/>
      <c r="AD178" s="528"/>
      <c r="AE178" s="529"/>
      <c r="AF178" s="527"/>
      <c r="AG178" s="528"/>
      <c r="AH178" s="528"/>
      <c r="AI178" s="529"/>
      <c r="AJ178" s="402"/>
      <c r="AK178" s="404"/>
    </row>
    <row r="179" spans="3:37" ht="15" thickBot="1" x14ac:dyDescent="0.35">
      <c r="C179" s="4"/>
      <c r="D179" s="5"/>
      <c r="E179" s="5"/>
      <c r="F179" s="5"/>
      <c r="G179" s="5"/>
      <c r="H179" s="100" t="str">
        <f>AS52</f>
        <v/>
      </c>
      <c r="I179" s="5"/>
      <c r="J179" s="5"/>
      <c r="K179" s="5"/>
      <c r="L179" s="5"/>
      <c r="M179" s="5" t="s">
        <v>41</v>
      </c>
      <c r="N179" s="6"/>
      <c r="P179" s="530" t="s">
        <v>417</v>
      </c>
      <c r="Q179" s="530"/>
      <c r="R179" s="530"/>
      <c r="S179" s="530"/>
      <c r="T179" s="530"/>
      <c r="U179" s="530"/>
      <c r="V179" s="530"/>
      <c r="W179" s="530"/>
      <c r="X179" s="530"/>
      <c r="Y179" s="530"/>
      <c r="Z179" s="530"/>
      <c r="AA179" s="530"/>
      <c r="AB179" s="530"/>
      <c r="AC179" s="530"/>
      <c r="AD179" s="530"/>
      <c r="AE179" s="530"/>
      <c r="AF179" s="530"/>
      <c r="AG179" s="530"/>
      <c r="AH179" s="530"/>
      <c r="AI179" s="530"/>
      <c r="AJ179" s="530"/>
      <c r="AK179" s="530"/>
    </row>
    <row r="180" spans="3:37" ht="15" thickBot="1" x14ac:dyDescent="0.35">
      <c r="C180" s="7"/>
      <c r="D180" s="393" t="s">
        <v>1563</v>
      </c>
      <c r="E180" s="393"/>
      <c r="F180" s="393"/>
      <c r="G180" s="393"/>
      <c r="H180" s="99" t="s">
        <v>44</v>
      </c>
      <c r="I180" s="99" t="s">
        <v>45</v>
      </c>
      <c r="J180" s="99" t="s">
        <v>46</v>
      </c>
      <c r="K180" s="99" t="s">
        <v>47</v>
      </c>
      <c r="L180" s="99" t="s">
        <v>48</v>
      </c>
      <c r="M180" s="99" t="s">
        <v>49</v>
      </c>
      <c r="N180" s="8"/>
      <c r="P180" s="448" t="s">
        <v>228</v>
      </c>
      <c r="Q180" s="407"/>
      <c r="R180" s="407"/>
      <c r="S180" s="408"/>
      <c r="T180" s="394" t="s">
        <v>51</v>
      </c>
      <c r="U180" s="395"/>
      <c r="V180" s="395"/>
      <c r="W180" s="396"/>
      <c r="X180" s="448" t="s">
        <v>229</v>
      </c>
      <c r="Y180" s="407"/>
      <c r="Z180" s="407"/>
      <c r="AA180" s="408"/>
      <c r="AB180" s="448" t="s">
        <v>230</v>
      </c>
      <c r="AC180" s="407"/>
      <c r="AD180" s="407"/>
      <c r="AE180" s="408"/>
      <c r="AF180" s="394" t="s">
        <v>97</v>
      </c>
      <c r="AG180" s="395"/>
      <c r="AH180" s="395"/>
      <c r="AI180" s="396"/>
      <c r="AJ180" s="448" t="s">
        <v>55</v>
      </c>
      <c r="AK180" s="408"/>
    </row>
    <row r="181" spans="3:37" ht="15.75" customHeight="1" thickBot="1" x14ac:dyDescent="0.35">
      <c r="C181" s="7" t="s">
        <v>56</v>
      </c>
      <c r="D181" s="12" t="s">
        <v>57</v>
      </c>
      <c r="E181" s="13" t="s">
        <v>130</v>
      </c>
      <c r="F181" s="13" t="s">
        <v>111</v>
      </c>
      <c r="G181" s="14" t="s">
        <v>57</v>
      </c>
      <c r="H181" s="24" t="str" cm="1">
        <f t="array" ref="H181">MID(INDEX($A$3:$A$70,IF(ISNA(MATCH("720G4G7*",$A$3:$A$70,0))=TRUE,MATCH("7200407*",$A$3:$A$70,0),MATCH("720G4G7*",$A$3:$A$70,0))),$AU$8,2)</f>
        <v>00</v>
      </c>
      <c r="I181" s="42" t="str" cm="1">
        <f t="array" ref="I181">MID(INDEX($A$3:$A$70,IF(ISNA(MATCH("720G4G7*",$A$3:$A$70,0))=TRUE,MATCH("7200407*",$A$3:$A$70,0),MATCH("720G4G7*",$A$3:$A$70,0))),$AV$8,2)</f>
        <v>00</v>
      </c>
      <c r="J181" s="42" t="str" cm="1">
        <f t="array" ref="J181">MID(INDEX($A$3:$A$70,IF(ISNA(MATCH("720G4G7*",$A$3:$A$70,0))=TRUE,MATCH("7200407*",$A$3:$A$70,0),MATCH("720G4G7*",$A$3:$A$70,0))),$AW$8,2)</f>
        <v>00</v>
      </c>
      <c r="K181" s="43" t="str" cm="1">
        <f t="array" ref="K181">MID(INDEX($A$3:$A$70,IF(ISNA(MATCH("720G4G7*",$A$3:$A$70,0))=TRUE,MATCH("7200407*",$A$3:$A$70,0),MATCH("720G4G7*",$A$3:$A$70,0))),$AX$8,2)</f>
        <v>00</v>
      </c>
      <c r="L181" s="43" t="str" cm="1">
        <f t="array" ref="L181">MID(INDEX($A$3:$A$70,IF(ISNA(MATCH("720G4G7*",$A$3:$A$70,0))=TRUE,MATCH("7200407*",$A$3:$A$70,0),MATCH("720G4G7*",$A$3:$A$70,0))),$AY$8,2)</f>
        <v>00</v>
      </c>
      <c r="M181" s="44" t="str" cm="1">
        <f t="array" ref="M181">MID(INDEX($A$3:$A$70,IF(ISNA(MATCH("720G4G7*",$A$3:$A$70,0))=TRUE,MATCH("7200407*",$A$3:$A$70,0),MATCH("720G4G7*",$A$3:$A$70,0))),$AZ$8,2)</f>
        <v>32</v>
      </c>
      <c r="N181" s="8" t="s">
        <v>60</v>
      </c>
      <c r="P181" s="521" t="str">
        <f>AS52</f>
        <v/>
      </c>
      <c r="Q181" s="522"/>
      <c r="R181" s="522"/>
      <c r="S181" s="523"/>
      <c r="T181" s="19" t="s">
        <v>60</v>
      </c>
      <c r="U181" s="20" t="s">
        <v>61</v>
      </c>
      <c r="V181" t="s">
        <v>62</v>
      </c>
      <c r="W181" s="8"/>
      <c r="X181" s="394"/>
      <c r="Y181" s="395"/>
      <c r="Z181" s="395"/>
      <c r="AA181" s="396"/>
      <c r="AB181" s="394"/>
      <c r="AC181" s="395"/>
      <c r="AD181" s="395"/>
      <c r="AE181" s="396"/>
      <c r="AF181" s="19" t="s">
        <v>60</v>
      </c>
      <c r="AG181" s="20" t="s">
        <v>61</v>
      </c>
      <c r="AH181" t="s">
        <v>62</v>
      </c>
      <c r="AJ181" s="394" t="s">
        <v>63</v>
      </c>
      <c r="AK181" s="396"/>
    </row>
    <row r="182" spans="3:37" ht="15" customHeight="1" x14ac:dyDescent="0.3">
      <c r="C182" s="7" t="s">
        <v>64</v>
      </c>
      <c r="D182" s="99" t="str">
        <f>HEX2BIN(D181,8)</f>
        <v>00000111</v>
      </c>
      <c r="E182" s="99" t="str">
        <f t="shared" ref="E182:L182" si="174">HEX2BIN(E181,8)</f>
        <v>00100000</v>
      </c>
      <c r="F182" s="99" t="str">
        <f t="shared" si="174"/>
        <v>00000100</v>
      </c>
      <c r="G182" s="99" t="str">
        <f t="shared" si="174"/>
        <v>00000111</v>
      </c>
      <c r="H182" s="99" t="str">
        <f t="shared" si="174"/>
        <v>00000000</v>
      </c>
      <c r="I182" s="99" t="str">
        <f t="shared" si="174"/>
        <v>00000000</v>
      </c>
      <c r="J182" s="99" t="str">
        <f t="shared" si="174"/>
        <v>00000000</v>
      </c>
      <c r="K182" s="99" t="str">
        <f t="shared" si="174"/>
        <v>00000000</v>
      </c>
      <c r="L182" s="99" t="str">
        <f t="shared" si="174"/>
        <v>00000000</v>
      </c>
      <c r="N182" s="8"/>
      <c r="P182" s="524"/>
      <c r="Q182" s="525"/>
      <c r="R182" s="525"/>
      <c r="S182" s="526"/>
      <c r="T182" s="21" t="str">
        <f>MID(I182,1,1)</f>
        <v>0</v>
      </c>
      <c r="U182" s="26" t="str">
        <f>T182</f>
        <v>0</v>
      </c>
      <c r="V182" s="7" t="s">
        <v>65</v>
      </c>
      <c r="W182" s="8" t="s">
        <v>66</v>
      </c>
      <c r="X182" s="400"/>
      <c r="Y182" s="381"/>
      <c r="Z182" s="381"/>
      <c r="AA182" s="401"/>
      <c r="AB182" s="400"/>
      <c r="AC182" s="381"/>
      <c r="AD182" s="381"/>
      <c r="AE182" s="401"/>
      <c r="AF182" s="21" t="str">
        <f>MID(L182,1,1)</f>
        <v>0</v>
      </c>
      <c r="AG182" s="26" t="str">
        <f>AF182</f>
        <v>0</v>
      </c>
      <c r="AH182" s="7" t="s">
        <v>65</v>
      </c>
      <c r="AI182" s="8" t="s">
        <v>66</v>
      </c>
      <c r="AJ182" s="400"/>
      <c r="AK182" s="401"/>
    </row>
    <row r="183" spans="3:37" ht="15" customHeight="1" x14ac:dyDescent="0.3">
      <c r="C183" s="7" t="s">
        <v>67</v>
      </c>
      <c r="D183" s="99">
        <f>HEX2DEC(D181)</f>
        <v>7</v>
      </c>
      <c r="E183" s="99">
        <f t="shared" ref="E183:L183" si="175">HEX2DEC(E181)</f>
        <v>32</v>
      </c>
      <c r="F183" s="99">
        <f t="shared" si="175"/>
        <v>4</v>
      </c>
      <c r="G183" s="99">
        <f t="shared" si="175"/>
        <v>7</v>
      </c>
      <c r="H183" s="99">
        <f t="shared" si="175"/>
        <v>0</v>
      </c>
      <c r="I183" s="99">
        <f t="shared" si="175"/>
        <v>0</v>
      </c>
      <c r="J183" s="99">
        <f t="shared" si="175"/>
        <v>0</v>
      </c>
      <c r="K183" s="99">
        <f t="shared" si="175"/>
        <v>0</v>
      </c>
      <c r="L183" s="99">
        <f t="shared" si="175"/>
        <v>0</v>
      </c>
      <c r="M183" s="99">
        <f>SUM(D183:L183)</f>
        <v>50</v>
      </c>
      <c r="N183" s="8"/>
      <c r="P183" s="524"/>
      <c r="Q183" s="525"/>
      <c r="R183" s="525"/>
      <c r="S183" s="526"/>
      <c r="T183" s="21" t="str">
        <f>MID(I182,2,1)</f>
        <v>0</v>
      </c>
      <c r="U183" s="26" t="str">
        <f t="shared" ref="U183:U189" si="176">T183</f>
        <v>0</v>
      </c>
      <c r="V183" s="7" t="s">
        <v>68</v>
      </c>
      <c r="W183" s="8" t="s">
        <v>66</v>
      </c>
      <c r="X183" s="400"/>
      <c r="Y183" s="381"/>
      <c r="Z183" s="381"/>
      <c r="AA183" s="401"/>
      <c r="AB183" s="400"/>
      <c r="AC183" s="381"/>
      <c r="AD183" s="381"/>
      <c r="AE183" s="401"/>
      <c r="AF183" s="21" t="str">
        <f>MID(L182,2,1)</f>
        <v>0</v>
      </c>
      <c r="AG183" s="26" t="str">
        <f t="shared" ref="AG183:AG189" si="177">AF183</f>
        <v>0</v>
      </c>
      <c r="AH183" s="7" t="s">
        <v>68</v>
      </c>
      <c r="AI183" s="8" t="s">
        <v>66</v>
      </c>
      <c r="AJ183" s="400"/>
      <c r="AK183" s="401"/>
    </row>
    <row r="184" spans="3:37" ht="15" customHeight="1" x14ac:dyDescent="0.3">
      <c r="C184" s="7" t="s">
        <v>1678</v>
      </c>
      <c r="D184" s="333" t="str">
        <f>D181</f>
        <v>07</v>
      </c>
      <c r="E184" s="333" t="str">
        <f>E181</f>
        <v>20</v>
      </c>
      <c r="F184" s="99" t="str">
        <f>MID(INDEX($A$3:$A$70,IF(ISNA(MATCH("720G4G7*",$A$3:$A$70,0))=TRUE,MATCH("7200407*",$A$3:$A$70,0),MATCH("720G4G7*",$A$3:$A$70,0))),$AS$8,2)</f>
        <v>G4</v>
      </c>
      <c r="G184" s="99" t="str">
        <f>MID(INDEX($A$3:$A$70,IF(ISNA(MATCH("720G4G7*",$A$3:$A$70,0))=TRUE,MATCH("7200407*",$A$3:$A$70,0),MATCH("720G4G7*",$A$3:$A$70,0))),$AT$8,2)</f>
        <v>G7</v>
      </c>
      <c r="N184" s="8"/>
      <c r="P184" s="524"/>
      <c r="Q184" s="525"/>
      <c r="R184" s="525"/>
      <c r="S184" s="526"/>
      <c r="T184" s="21" t="str">
        <f>MID(I182,3,1)</f>
        <v>0</v>
      </c>
      <c r="U184" s="26" t="str">
        <f t="shared" si="176"/>
        <v>0</v>
      </c>
      <c r="V184" s="7" t="s">
        <v>69</v>
      </c>
      <c r="W184" s="8" t="s">
        <v>66</v>
      </c>
      <c r="X184" s="400"/>
      <c r="Y184" s="381"/>
      <c r="Z184" s="381"/>
      <c r="AA184" s="401"/>
      <c r="AB184" s="400"/>
      <c r="AC184" s="381"/>
      <c r="AD184" s="381"/>
      <c r="AE184" s="401"/>
      <c r="AF184" s="21" t="str">
        <f>MID(L182,3,1)</f>
        <v>0</v>
      </c>
      <c r="AG184" s="26" t="str">
        <f t="shared" si="177"/>
        <v>0</v>
      </c>
      <c r="AH184" s="7" t="s">
        <v>69</v>
      </c>
      <c r="AI184" s="8" t="s">
        <v>66</v>
      </c>
      <c r="AJ184" s="400"/>
      <c r="AK184" s="401"/>
    </row>
    <row r="185" spans="3:37" ht="15.75" customHeight="1" thickBot="1" x14ac:dyDescent="0.35">
      <c r="C185" s="7"/>
      <c r="H185" s="100" t="str">
        <f>P181</f>
        <v/>
      </c>
      <c r="N185" s="8"/>
      <c r="P185" s="524"/>
      <c r="Q185" s="525"/>
      <c r="R185" s="525"/>
      <c r="S185" s="526"/>
      <c r="T185" s="21" t="str">
        <f>MID(I182,4,1)</f>
        <v>0</v>
      </c>
      <c r="U185" s="26" t="str">
        <f t="shared" si="176"/>
        <v>0</v>
      </c>
      <c r="V185" s="7" t="s">
        <v>70</v>
      </c>
      <c r="W185" s="8" t="s">
        <v>66</v>
      </c>
      <c r="X185" s="400"/>
      <c r="Y185" s="381"/>
      <c r="Z185" s="381"/>
      <c r="AA185" s="401"/>
      <c r="AB185" s="400"/>
      <c r="AC185" s="381"/>
      <c r="AD185" s="381"/>
      <c r="AE185" s="401"/>
      <c r="AF185" s="21" t="str">
        <f>MID(L182,4,1)</f>
        <v>0</v>
      </c>
      <c r="AG185" s="26" t="str">
        <f t="shared" si="177"/>
        <v>0</v>
      </c>
      <c r="AH185" s="7" t="s">
        <v>70</v>
      </c>
      <c r="AI185" s="8" t="s">
        <v>66</v>
      </c>
      <c r="AJ185" s="400"/>
      <c r="AK185" s="401"/>
    </row>
    <row r="186" spans="3:37" ht="15.75" customHeight="1" thickBot="1" x14ac:dyDescent="0.35">
      <c r="C186" s="7" t="s">
        <v>56</v>
      </c>
      <c r="D186" s="15" t="str">
        <f t="shared" ref="D186:G186" si="178">D181</f>
        <v>07</v>
      </c>
      <c r="E186" s="16" t="str">
        <f t="shared" si="178"/>
        <v>20</v>
      </c>
      <c r="F186" s="16" t="str">
        <f t="shared" si="178"/>
        <v>04</v>
      </c>
      <c r="G186" s="17" t="str">
        <f t="shared" si="178"/>
        <v>07</v>
      </c>
      <c r="H186" s="51" t="str">
        <f>IFERROR(VLOOKUP($P$181,$AU$36:$AV$71,2,FALSE),"00")</f>
        <v>00</v>
      </c>
      <c r="I186" s="25" t="str">
        <f t="shared" ref="I186:L186" si="179">BIN2HEX(I187,2)</f>
        <v>00</v>
      </c>
      <c r="J186" s="48" t="str">
        <f>J181</f>
        <v>00</v>
      </c>
      <c r="K186" s="47" t="str">
        <f>K181</f>
        <v>00</v>
      </c>
      <c r="L186" s="18" t="str">
        <f t="shared" si="179"/>
        <v>00</v>
      </c>
      <c r="M186" s="3" t="str">
        <f>IF(LEN(M187)&gt;2,MID(M187,2,2),M187)</f>
        <v>32</v>
      </c>
      <c r="N186" s="8" t="s">
        <v>61</v>
      </c>
      <c r="P186" s="524"/>
      <c r="Q186" s="525"/>
      <c r="R186" s="525"/>
      <c r="S186" s="526"/>
      <c r="T186" s="21" t="str">
        <f>MID(I182,5,1)</f>
        <v>0</v>
      </c>
      <c r="U186" s="26" t="str">
        <f t="shared" si="176"/>
        <v>0</v>
      </c>
      <c r="V186" s="7" t="s">
        <v>71</v>
      </c>
      <c r="W186" s="8" t="s">
        <v>66</v>
      </c>
      <c r="X186" s="400"/>
      <c r="Y186" s="381"/>
      <c r="Z186" s="381"/>
      <c r="AA186" s="401"/>
      <c r="AB186" s="400"/>
      <c r="AC186" s="381"/>
      <c r="AD186" s="381"/>
      <c r="AE186" s="401"/>
      <c r="AF186" s="21" t="str">
        <f>MID(L182,5,1)</f>
        <v>0</v>
      </c>
      <c r="AG186" s="26" t="str">
        <f t="shared" si="177"/>
        <v>0</v>
      </c>
      <c r="AH186" s="7" t="s">
        <v>71</v>
      </c>
      <c r="AI186" s="8" t="s">
        <v>66</v>
      </c>
      <c r="AJ186" s="400"/>
      <c r="AK186" s="401"/>
    </row>
    <row r="187" spans="3:37" ht="15" customHeight="1" x14ac:dyDescent="0.3">
      <c r="C187" s="7" t="s">
        <v>64</v>
      </c>
      <c r="D187" s="99" t="str">
        <f>HEX2BIN(D186,8)</f>
        <v>00000111</v>
      </c>
      <c r="E187" s="99" t="str">
        <f t="shared" ref="E187:G187" si="180">HEX2BIN(E186,8)</f>
        <v>00100000</v>
      </c>
      <c r="F187" s="99" t="str">
        <f t="shared" si="180"/>
        <v>00000100</v>
      </c>
      <c r="G187" s="99" t="str">
        <f t="shared" si="180"/>
        <v>00000111</v>
      </c>
      <c r="H187" s="29"/>
      <c r="I187" s="99" t="str">
        <f>U182&amp;U183&amp;U184&amp;U185&amp;U186&amp;U187&amp;U188&amp;U189</f>
        <v>00000000</v>
      </c>
      <c r="J187" s="29"/>
      <c r="K187" s="29"/>
      <c r="L187" s="99" t="str">
        <f>AG182&amp;AG183&amp;AG184&amp;AG185&amp;AG186&amp;AG187&amp;AG188&amp;AG189</f>
        <v>00000000</v>
      </c>
      <c r="M187" s="99" t="str">
        <f>DEC2HEX(M188)</f>
        <v>32</v>
      </c>
      <c r="N187" s="8"/>
      <c r="P187" s="524"/>
      <c r="Q187" s="525"/>
      <c r="R187" s="525"/>
      <c r="S187" s="526"/>
      <c r="T187" s="21" t="str">
        <f>MID(I182,6,1)</f>
        <v>0</v>
      </c>
      <c r="U187" s="26" t="str">
        <f t="shared" si="176"/>
        <v>0</v>
      </c>
      <c r="V187" s="7" t="s">
        <v>72</v>
      </c>
      <c r="W187" s="8" t="s">
        <v>66</v>
      </c>
      <c r="X187" s="400"/>
      <c r="Y187" s="381"/>
      <c r="Z187" s="381"/>
      <c r="AA187" s="401"/>
      <c r="AB187" s="400"/>
      <c r="AC187" s="381"/>
      <c r="AD187" s="381"/>
      <c r="AE187" s="401"/>
      <c r="AF187" s="21" t="str">
        <f>MID(L182,6,1)</f>
        <v>0</v>
      </c>
      <c r="AG187" s="26" t="str">
        <f t="shared" si="177"/>
        <v>0</v>
      </c>
      <c r="AH187" s="7" t="s">
        <v>72</v>
      </c>
      <c r="AI187" s="8" t="s">
        <v>66</v>
      </c>
      <c r="AJ187" s="400"/>
      <c r="AK187" s="401"/>
    </row>
    <row r="188" spans="3:37" ht="15" customHeight="1" x14ac:dyDescent="0.3">
      <c r="C188" s="7" t="s">
        <v>67</v>
      </c>
      <c r="D188" s="99">
        <f>HEX2DEC(D186)</f>
        <v>7</v>
      </c>
      <c r="E188" s="99">
        <f t="shared" ref="E188:L188" si="181">HEX2DEC(E186)</f>
        <v>32</v>
      </c>
      <c r="F188" s="99">
        <f t="shared" si="181"/>
        <v>4</v>
      </c>
      <c r="G188" s="99">
        <f t="shared" si="181"/>
        <v>7</v>
      </c>
      <c r="H188" s="99">
        <f t="shared" si="181"/>
        <v>0</v>
      </c>
      <c r="I188" s="99">
        <f t="shared" si="181"/>
        <v>0</v>
      </c>
      <c r="J188" s="99">
        <f t="shared" si="181"/>
        <v>0</v>
      </c>
      <c r="K188" s="99">
        <f t="shared" si="181"/>
        <v>0</v>
      </c>
      <c r="L188" s="99">
        <f t="shared" si="181"/>
        <v>0</v>
      </c>
      <c r="M188" s="99">
        <f>SUM(D188:L188)</f>
        <v>50</v>
      </c>
      <c r="N188" s="8"/>
      <c r="P188" s="524"/>
      <c r="Q188" s="525"/>
      <c r="R188" s="525"/>
      <c r="S188" s="526"/>
      <c r="T188" s="21" t="str">
        <f>MID(I182,7,1)</f>
        <v>0</v>
      </c>
      <c r="U188" s="26" t="str">
        <f t="shared" si="176"/>
        <v>0</v>
      </c>
      <c r="V188" s="7" t="s">
        <v>73</v>
      </c>
      <c r="W188" s="8" t="s">
        <v>66</v>
      </c>
      <c r="X188" s="400"/>
      <c r="Y188" s="381"/>
      <c r="Z188" s="381"/>
      <c r="AA188" s="401"/>
      <c r="AB188" s="400"/>
      <c r="AC188" s="381"/>
      <c r="AD188" s="381"/>
      <c r="AE188" s="401"/>
      <c r="AF188" s="21" t="str">
        <f>MID(L182,7,1)</f>
        <v>0</v>
      </c>
      <c r="AG188" s="26" t="str">
        <f t="shared" si="177"/>
        <v>0</v>
      </c>
      <c r="AH188" s="7" t="s">
        <v>73</v>
      </c>
      <c r="AI188" s="8" t="s">
        <v>66</v>
      </c>
      <c r="AJ188" s="400"/>
      <c r="AK188" s="401"/>
    </row>
    <row r="189" spans="3:37" ht="15.75" customHeight="1" thickBot="1" x14ac:dyDescent="0.35">
      <c r="C189" s="9" t="s">
        <v>1678</v>
      </c>
      <c r="D189" s="334" t="str">
        <f>D184</f>
        <v>07</v>
      </c>
      <c r="E189" s="334" t="str">
        <f t="shared" ref="E189:G189" si="182">E184</f>
        <v>20</v>
      </c>
      <c r="F189" s="334" t="str">
        <f t="shared" si="182"/>
        <v>G4</v>
      </c>
      <c r="G189" s="334" t="str">
        <f t="shared" si="182"/>
        <v>G7</v>
      </c>
      <c r="H189" s="10"/>
      <c r="I189" s="10"/>
      <c r="J189" s="10"/>
      <c r="K189" s="10"/>
      <c r="L189" s="10"/>
      <c r="M189" s="10"/>
      <c r="N189" s="11"/>
      <c r="P189" s="527"/>
      <c r="Q189" s="528"/>
      <c r="R189" s="528"/>
      <c r="S189" s="529"/>
      <c r="T189" s="22" t="str">
        <f>MID(I182,8,1)</f>
        <v>0</v>
      </c>
      <c r="U189" s="55" t="str">
        <f t="shared" si="176"/>
        <v>0</v>
      </c>
      <c r="V189" s="9" t="s">
        <v>74</v>
      </c>
      <c r="W189" s="11" t="s">
        <v>66</v>
      </c>
      <c r="X189" s="402"/>
      <c r="Y189" s="403"/>
      <c r="Z189" s="403"/>
      <c r="AA189" s="404"/>
      <c r="AB189" s="402"/>
      <c r="AC189" s="403"/>
      <c r="AD189" s="403"/>
      <c r="AE189" s="404"/>
      <c r="AF189" s="22" t="str">
        <f>MID(L182,8,1)</f>
        <v>0</v>
      </c>
      <c r="AG189" s="55" t="str">
        <f t="shared" si="177"/>
        <v>0</v>
      </c>
      <c r="AH189" s="9" t="s">
        <v>74</v>
      </c>
      <c r="AI189" s="11" t="s">
        <v>66</v>
      </c>
      <c r="AJ189" s="402"/>
      <c r="AK189" s="404"/>
    </row>
    <row r="190" spans="3:37" ht="15" thickBot="1" x14ac:dyDescent="0.35">
      <c r="C190" s="4"/>
      <c r="D190" s="5"/>
      <c r="E190" s="5"/>
      <c r="F190" s="5"/>
      <c r="G190" s="5"/>
      <c r="H190" s="5"/>
      <c r="I190" s="5"/>
      <c r="J190" s="5"/>
      <c r="K190" s="5"/>
      <c r="L190" s="5"/>
      <c r="M190" s="5" t="s">
        <v>41</v>
      </c>
      <c r="N190" s="6"/>
      <c r="P190" s="530" t="s">
        <v>418</v>
      </c>
      <c r="Q190" s="530"/>
      <c r="R190" s="530"/>
      <c r="S190" s="530"/>
      <c r="T190" s="530"/>
      <c r="U190" s="530"/>
      <c r="V190" s="530"/>
      <c r="W190" s="530"/>
      <c r="X190" s="530"/>
      <c r="Y190" s="530"/>
      <c r="Z190" s="530"/>
      <c r="AA190" s="530"/>
      <c r="AB190" s="530"/>
      <c r="AC190" s="530"/>
      <c r="AD190" s="530"/>
      <c r="AE190" s="530"/>
      <c r="AF190" s="530"/>
      <c r="AG190" s="530"/>
      <c r="AH190" s="530"/>
      <c r="AI190" s="530"/>
      <c r="AJ190" s="530"/>
      <c r="AK190" s="530"/>
    </row>
    <row r="191" spans="3:37" ht="15" thickBot="1" x14ac:dyDescent="0.35">
      <c r="C191" s="7"/>
      <c r="D191" s="393" t="s">
        <v>1562</v>
      </c>
      <c r="E191" s="393"/>
      <c r="F191" s="393"/>
      <c r="G191" s="393"/>
      <c r="H191" s="99" t="s">
        <v>44</v>
      </c>
      <c r="I191" s="99" t="s">
        <v>45</v>
      </c>
      <c r="J191" s="99" t="s">
        <v>46</v>
      </c>
      <c r="K191" s="99" t="s">
        <v>47</v>
      </c>
      <c r="L191" s="99" t="s">
        <v>48</v>
      </c>
      <c r="M191" s="99" t="s">
        <v>49</v>
      </c>
      <c r="N191" s="8"/>
      <c r="P191" s="394" t="s">
        <v>50</v>
      </c>
      <c r="Q191" s="395"/>
      <c r="R191" s="395"/>
      <c r="S191" s="396"/>
      <c r="T191" s="394" t="s">
        <v>51</v>
      </c>
      <c r="U191" s="395"/>
      <c r="V191" s="395"/>
      <c r="W191" s="396"/>
      <c r="X191" s="394" t="s">
        <v>52</v>
      </c>
      <c r="Y191" s="395"/>
      <c r="Z191" s="395"/>
      <c r="AA191" s="396"/>
      <c r="AB191" s="394" t="s">
        <v>53</v>
      </c>
      <c r="AC191" s="395"/>
      <c r="AD191" s="395"/>
      <c r="AE191" s="396"/>
      <c r="AF191" s="394" t="s">
        <v>97</v>
      </c>
      <c r="AG191" s="395"/>
      <c r="AH191" s="395"/>
      <c r="AI191" s="396"/>
      <c r="AJ191" s="448" t="s">
        <v>55</v>
      </c>
      <c r="AK191" s="408"/>
    </row>
    <row r="192" spans="3:37" ht="15" thickBot="1" x14ac:dyDescent="0.35">
      <c r="C192" s="7" t="s">
        <v>56</v>
      </c>
      <c r="D192" s="12" t="s">
        <v>57</v>
      </c>
      <c r="E192" s="13" t="s">
        <v>130</v>
      </c>
      <c r="F192" s="13" t="s">
        <v>111</v>
      </c>
      <c r="G192" s="14" t="s">
        <v>231</v>
      </c>
      <c r="H192" s="41" t="str" cm="1">
        <f t="array" ref="H192">MID(INDEX($A$3:$A$70,IF(ISNA(MATCH("720G4G8*",$A$3:$A$70,0))=TRUE,MATCH("7200408*",$A$3:$A$70,0),MATCH("720G4G8*",$A$3:$A$70,0))),$AU$8,2)</f>
        <v>00</v>
      </c>
      <c r="I192" s="42" t="str" cm="1">
        <f t="array" ref="I192">MID(INDEX($A$3:$A$70,IF(ISNA(MATCH("720G4G8*",$A$3:$A$70,0))=TRUE,MATCH("7200408*",$A$3:$A$70,0),MATCH("720G4G8*",$A$3:$A$70,0))),$AV$8,2)</f>
        <v>00</v>
      </c>
      <c r="J192" s="24" t="str" cm="1">
        <f t="array" ref="J192">MID(INDEX($A$3:$A$70,IF(ISNA(MATCH("720G4G8*",$A$3:$A$70,0))=TRUE,MATCH("7200408*",$A$3:$A$70,0),MATCH("720G4G8*",$A$3:$A$70,0))),$AW$8,2)</f>
        <v>00</v>
      </c>
      <c r="K192" s="42" t="str" cm="1">
        <f t="array" ref="K192">MID(INDEX($A$3:$A$70,IF(ISNA(MATCH("720G4G8*",$A$3:$A$70,0))=TRUE,MATCH("7200408*",$A$3:$A$70,0),MATCH("720G4G8*",$A$3:$A$70,0))),$AX$8,2)</f>
        <v>00</v>
      </c>
      <c r="L192" s="43" t="str" cm="1">
        <f t="array" ref="L192">MID(INDEX($A$3:$A$70,IF(ISNA(MATCH("720G4G8*",$A$3:$A$70,0))=TRUE,MATCH("7200408*",$A$3:$A$70,0),MATCH("720G4G8*",$A$3:$A$70,0))),$AY$8,2)</f>
        <v>00</v>
      </c>
      <c r="M192" s="44" t="str" cm="1">
        <f t="array" ref="M192">MID(INDEX($A$3:$A$70,IF(ISNA(MATCH("720G4G8*",$A$3:$A$70,0))=TRUE,MATCH("7200408*",$A$3:$A$70,0),MATCH("720G4G8*",$A$3:$A$70,0))),$AZ$8,2)</f>
        <v>33</v>
      </c>
      <c r="N192" s="8" t="s">
        <v>60</v>
      </c>
      <c r="P192" s="19" t="s">
        <v>60</v>
      </c>
      <c r="Q192" s="20" t="s">
        <v>61</v>
      </c>
      <c r="R192" t="s">
        <v>62</v>
      </c>
      <c r="S192" s="8"/>
      <c r="T192" s="19" t="s">
        <v>60</v>
      </c>
      <c r="U192" s="20" t="s">
        <v>61</v>
      </c>
      <c r="V192" t="s">
        <v>62</v>
      </c>
      <c r="W192" s="8"/>
      <c r="X192" s="19" t="s">
        <v>60</v>
      </c>
      <c r="Y192" s="20" t="s">
        <v>61</v>
      </c>
      <c r="Z192" t="s">
        <v>62</v>
      </c>
      <c r="AA192" s="8"/>
      <c r="AB192" s="19" t="s">
        <v>60</v>
      </c>
      <c r="AC192" s="20" t="s">
        <v>61</v>
      </c>
      <c r="AD192" t="s">
        <v>62</v>
      </c>
      <c r="AE192" s="8"/>
      <c r="AF192" s="19" t="s">
        <v>60</v>
      </c>
      <c r="AG192" s="20" t="s">
        <v>61</v>
      </c>
      <c r="AH192" t="s">
        <v>62</v>
      </c>
      <c r="AJ192" s="394" t="s">
        <v>63</v>
      </c>
      <c r="AK192" s="396"/>
    </row>
    <row r="193" spans="3:37" x14ac:dyDescent="0.3">
      <c r="C193" s="7" t="s">
        <v>64</v>
      </c>
      <c r="D193" s="99" t="str">
        <f>HEX2BIN(D192,8)</f>
        <v>00000111</v>
      </c>
      <c r="E193" s="99" t="str">
        <f t="shared" ref="E193:L193" si="183">HEX2BIN(E192,8)</f>
        <v>00100000</v>
      </c>
      <c r="F193" s="99" t="str">
        <f t="shared" si="183"/>
        <v>00000100</v>
      </c>
      <c r="G193" s="99" t="str">
        <f t="shared" si="183"/>
        <v>00001000</v>
      </c>
      <c r="H193" s="99" t="str">
        <f t="shared" si="183"/>
        <v>00000000</v>
      </c>
      <c r="I193" s="99" t="str">
        <f t="shared" si="183"/>
        <v>00000000</v>
      </c>
      <c r="J193" s="99" t="str">
        <f t="shared" si="183"/>
        <v>00000000</v>
      </c>
      <c r="K193" s="99" t="str">
        <f t="shared" si="183"/>
        <v>00000000</v>
      </c>
      <c r="L193" s="99" t="str">
        <f t="shared" si="183"/>
        <v>00000000</v>
      </c>
      <c r="N193" s="8"/>
      <c r="P193" s="21" t="str">
        <f>MID(H193,1,1)</f>
        <v>0</v>
      </c>
      <c r="Q193" s="26" t="str">
        <f>P193</f>
        <v>0</v>
      </c>
      <c r="R193" s="7" t="s">
        <v>65</v>
      </c>
      <c r="S193" s="8" t="s">
        <v>66</v>
      </c>
      <c r="T193" s="21" t="str">
        <f>MID(I193,1,1)</f>
        <v>0</v>
      </c>
      <c r="U193" s="26" t="str">
        <f>T193</f>
        <v>0</v>
      </c>
      <c r="V193" s="7" t="s">
        <v>65</v>
      </c>
      <c r="W193" s="8" t="s">
        <v>66</v>
      </c>
      <c r="X193" s="21" t="str">
        <f>MID(J193,1,1)</f>
        <v>0</v>
      </c>
      <c r="Y193" s="26" t="str">
        <f>X193</f>
        <v>0</v>
      </c>
      <c r="Z193" s="7" t="s">
        <v>65</v>
      </c>
      <c r="AA193" s="8" t="s">
        <v>66</v>
      </c>
      <c r="AB193" s="21" t="str">
        <f>MID(K193,1,1)</f>
        <v>0</v>
      </c>
      <c r="AC193" s="26" t="str">
        <f>AB193</f>
        <v>0</v>
      </c>
      <c r="AD193" s="7" t="s">
        <v>65</v>
      </c>
      <c r="AE193" s="8" t="s">
        <v>66</v>
      </c>
      <c r="AF193" s="21" t="str">
        <f>MID(L193,1,1)</f>
        <v>0</v>
      </c>
      <c r="AG193" s="26" t="str">
        <f>AF193</f>
        <v>0</v>
      </c>
      <c r="AH193" s="7" t="s">
        <v>65</v>
      </c>
      <c r="AI193" s="8" t="s">
        <v>66</v>
      </c>
      <c r="AJ193" s="400"/>
      <c r="AK193" s="401"/>
    </row>
    <row r="194" spans="3:37" x14ac:dyDescent="0.3">
      <c r="C194" s="7" t="s">
        <v>67</v>
      </c>
      <c r="D194" s="99">
        <f>HEX2DEC(D192)</f>
        <v>7</v>
      </c>
      <c r="E194" s="99">
        <f t="shared" ref="E194:L194" si="184">HEX2DEC(E192)</f>
        <v>32</v>
      </c>
      <c r="F194" s="99">
        <f t="shared" si="184"/>
        <v>4</v>
      </c>
      <c r="G194" s="99">
        <f t="shared" si="184"/>
        <v>8</v>
      </c>
      <c r="H194" s="99">
        <f t="shared" si="184"/>
        <v>0</v>
      </c>
      <c r="I194" s="99">
        <f t="shared" si="184"/>
        <v>0</v>
      </c>
      <c r="J194" s="99">
        <f t="shared" si="184"/>
        <v>0</v>
      </c>
      <c r="K194" s="99">
        <f t="shared" si="184"/>
        <v>0</v>
      </c>
      <c r="L194" s="99">
        <f t="shared" si="184"/>
        <v>0</v>
      </c>
      <c r="M194" s="99">
        <f>SUM(D194:L194)</f>
        <v>51</v>
      </c>
      <c r="N194" s="8"/>
      <c r="P194" s="21" t="str">
        <f>MID(H193,2,1)</f>
        <v>0</v>
      </c>
      <c r="Q194" s="26" t="str">
        <f t="shared" ref="Q194:Q200" si="185">P194</f>
        <v>0</v>
      </c>
      <c r="R194" s="7" t="s">
        <v>68</v>
      </c>
      <c r="S194" s="8" t="s">
        <v>66</v>
      </c>
      <c r="T194" s="21" t="str">
        <f>MID(I193,2,1)</f>
        <v>0</v>
      </c>
      <c r="U194" s="26" t="str">
        <f t="shared" ref="U194:U200" si="186">T194</f>
        <v>0</v>
      </c>
      <c r="V194" s="7" t="s">
        <v>68</v>
      </c>
      <c r="W194" s="8" t="s">
        <v>66</v>
      </c>
      <c r="X194" s="21" t="str">
        <f>MID(J193,2,1)</f>
        <v>0</v>
      </c>
      <c r="Y194" s="26" t="str">
        <f t="shared" ref="Y194:Y200" si="187">X194</f>
        <v>0</v>
      </c>
      <c r="Z194" s="7" t="s">
        <v>68</v>
      </c>
      <c r="AA194" s="8" t="s">
        <v>66</v>
      </c>
      <c r="AB194" s="21" t="str">
        <f>MID(K193,2,1)</f>
        <v>0</v>
      </c>
      <c r="AC194" s="26" t="str">
        <f t="shared" ref="AC194:AC200" si="188">AB194</f>
        <v>0</v>
      </c>
      <c r="AD194" s="7" t="s">
        <v>68</v>
      </c>
      <c r="AE194" s="8" t="s">
        <v>66</v>
      </c>
      <c r="AF194" s="21" t="str">
        <f>MID(L193,2,1)</f>
        <v>0</v>
      </c>
      <c r="AG194" s="26" t="str">
        <f t="shared" ref="AG194:AG200" si="189">AF194</f>
        <v>0</v>
      </c>
      <c r="AH194" s="7" t="s">
        <v>68</v>
      </c>
      <c r="AI194" s="8" t="s">
        <v>66</v>
      </c>
      <c r="AJ194" s="400"/>
      <c r="AK194" s="401"/>
    </row>
    <row r="195" spans="3:37" ht="15" customHeight="1" x14ac:dyDescent="0.3">
      <c r="C195" s="7" t="s">
        <v>1678</v>
      </c>
      <c r="D195" s="333" t="str">
        <f>D192</f>
        <v>07</v>
      </c>
      <c r="E195" s="333" t="str">
        <f>E192</f>
        <v>20</v>
      </c>
      <c r="F195" s="99" t="str">
        <f>MID(INDEX($A$3:$A$70,IF(ISNA(MATCH("720G4G8*",$A$3:$A$70,0))=TRUE,MATCH("7200408*",$A$3:$A$70,0),MATCH("720G4G8*",$A$3:$A$70,0))),$AS$8,2)</f>
        <v>G4</v>
      </c>
      <c r="G195" s="99" t="str">
        <f>MID(INDEX($A$3:$A$70,IF(ISNA(MATCH("720G4G8*",$A$3:$A$70,0))=TRUE,MATCH("7200408*",$A$3:$A$70,0),MATCH("720G4G8*",$A$3:$A$70,0))),$AT$8,2)</f>
        <v>G8</v>
      </c>
      <c r="N195" s="8"/>
      <c r="P195" s="21" t="str">
        <f>MID(H193,3,1)</f>
        <v>0</v>
      </c>
      <c r="Q195" s="26" t="str">
        <f t="shared" si="185"/>
        <v>0</v>
      </c>
      <c r="R195" s="7" t="s">
        <v>69</v>
      </c>
      <c r="S195" s="8" t="s">
        <v>66</v>
      </c>
      <c r="T195" s="21" t="str">
        <f>MID(I193,3,1)</f>
        <v>0</v>
      </c>
      <c r="U195" s="26" t="str">
        <f t="shared" si="186"/>
        <v>0</v>
      </c>
      <c r="V195" s="7" t="s">
        <v>69</v>
      </c>
      <c r="W195" s="8" t="s">
        <v>66</v>
      </c>
      <c r="X195" s="21" t="str">
        <f>MID(J193,3,1)</f>
        <v>0</v>
      </c>
      <c r="Y195" s="26" t="str">
        <f t="shared" si="187"/>
        <v>0</v>
      </c>
      <c r="Z195" s="7" t="s">
        <v>69</v>
      </c>
      <c r="AA195" s="8" t="s">
        <v>66</v>
      </c>
      <c r="AB195" s="21" t="str">
        <f>MID(K193,3,1)</f>
        <v>0</v>
      </c>
      <c r="AC195" s="26" t="str">
        <f t="shared" si="188"/>
        <v>0</v>
      </c>
      <c r="AD195" s="7" t="s">
        <v>69</v>
      </c>
      <c r="AE195" s="531" t="s">
        <v>1804</v>
      </c>
      <c r="AF195" s="21" t="str">
        <f>MID(L193,3,1)</f>
        <v>0</v>
      </c>
      <c r="AG195" s="26" t="str">
        <f t="shared" si="189"/>
        <v>0</v>
      </c>
      <c r="AH195" s="7" t="s">
        <v>69</v>
      </c>
      <c r="AI195" s="8" t="s">
        <v>66</v>
      </c>
      <c r="AJ195" s="400"/>
      <c r="AK195" s="401"/>
    </row>
    <row r="196" spans="3:37" ht="15" thickBot="1" x14ac:dyDescent="0.35">
      <c r="C196" s="7"/>
      <c r="N196" s="8"/>
      <c r="P196" s="21" t="str">
        <f>MID(H193,4,1)</f>
        <v>0</v>
      </c>
      <c r="Q196" s="26" t="str">
        <f t="shared" si="185"/>
        <v>0</v>
      </c>
      <c r="R196" s="7" t="s">
        <v>70</v>
      </c>
      <c r="S196" s="8" t="s">
        <v>66</v>
      </c>
      <c r="T196" s="21" t="str">
        <f>MID(I193,4,1)</f>
        <v>0</v>
      </c>
      <c r="U196" s="26" t="str">
        <f t="shared" si="186"/>
        <v>0</v>
      </c>
      <c r="V196" s="7" t="s">
        <v>70</v>
      </c>
      <c r="W196" s="8" t="s">
        <v>66</v>
      </c>
      <c r="X196" s="21" t="str">
        <f>MID(J193,4,1)</f>
        <v>0</v>
      </c>
      <c r="Y196" s="26" t="str">
        <f t="shared" si="187"/>
        <v>0</v>
      </c>
      <c r="Z196" s="7" t="s">
        <v>70</v>
      </c>
      <c r="AA196" s="8" t="s">
        <v>66</v>
      </c>
      <c r="AB196" s="21" t="str">
        <f>MID(K193,4,1)</f>
        <v>0</v>
      </c>
      <c r="AC196" s="26" t="str">
        <f t="shared" si="188"/>
        <v>0</v>
      </c>
      <c r="AD196" s="7" t="s">
        <v>70</v>
      </c>
      <c r="AE196" s="532"/>
      <c r="AF196" s="21" t="str">
        <f>MID(L193,4,1)</f>
        <v>0</v>
      </c>
      <c r="AG196" s="26" t="str">
        <f t="shared" si="189"/>
        <v>0</v>
      </c>
      <c r="AH196" s="7" t="s">
        <v>70</v>
      </c>
      <c r="AI196" s="8" t="s">
        <v>66</v>
      </c>
      <c r="AJ196" s="400"/>
      <c r="AK196" s="401"/>
    </row>
    <row r="197" spans="3:37" ht="15" thickBot="1" x14ac:dyDescent="0.35">
      <c r="C197" s="7" t="s">
        <v>56</v>
      </c>
      <c r="D197" s="15" t="str">
        <f>D192</f>
        <v>07</v>
      </c>
      <c r="E197" s="16" t="str">
        <f>E192</f>
        <v>20</v>
      </c>
      <c r="F197" s="16" t="str">
        <f>F192</f>
        <v>04</v>
      </c>
      <c r="G197" s="17" t="str">
        <f>G192</f>
        <v>08</v>
      </c>
      <c r="H197" s="23" t="str">
        <f>BIN2HEX(H198,2)</f>
        <v>00</v>
      </c>
      <c r="I197" s="25" t="str">
        <f t="shared" ref="I197:L197" si="190">BIN2HEX(I198,2)</f>
        <v>00</v>
      </c>
      <c r="J197" s="24" t="str">
        <f t="shared" si="190"/>
        <v>00</v>
      </c>
      <c r="K197" s="2" t="str">
        <f t="shared" si="190"/>
        <v>00</v>
      </c>
      <c r="L197" s="18" t="str">
        <f t="shared" si="190"/>
        <v>00</v>
      </c>
      <c r="M197" s="3" t="str">
        <f>IF(LEN(M198)&gt;2,MID(M198,2,2),M198)</f>
        <v>33</v>
      </c>
      <c r="N197" s="8" t="s">
        <v>61</v>
      </c>
      <c r="P197" s="21" t="str">
        <f>MID(H193,5,1)</f>
        <v>0</v>
      </c>
      <c r="Q197" s="26" t="str">
        <f t="shared" si="185"/>
        <v>0</v>
      </c>
      <c r="R197" s="7" t="s">
        <v>71</v>
      </c>
      <c r="S197" s="8" t="s">
        <v>66</v>
      </c>
      <c r="T197" s="21" t="str">
        <f>MID(I193,5,1)</f>
        <v>0</v>
      </c>
      <c r="U197" s="26" t="str">
        <f t="shared" si="186"/>
        <v>0</v>
      </c>
      <c r="V197" s="7" t="s">
        <v>71</v>
      </c>
      <c r="W197" s="8" t="s">
        <v>66</v>
      </c>
      <c r="X197" s="21" t="str">
        <f>MID(J193,5,1)</f>
        <v>0</v>
      </c>
      <c r="Y197" s="26" t="str">
        <f t="shared" si="187"/>
        <v>0</v>
      </c>
      <c r="Z197" s="7" t="s">
        <v>71</v>
      </c>
      <c r="AA197" s="8" t="s">
        <v>66</v>
      </c>
      <c r="AB197" s="21" t="str">
        <f>MID(K193,5,1)</f>
        <v>0</v>
      </c>
      <c r="AC197" s="26" t="str">
        <f t="shared" si="188"/>
        <v>0</v>
      </c>
      <c r="AD197" s="7" t="s">
        <v>71</v>
      </c>
      <c r="AE197" s="8" t="s">
        <v>66</v>
      </c>
      <c r="AF197" s="21" t="str">
        <f>MID(L193,5,1)</f>
        <v>0</v>
      </c>
      <c r="AG197" s="26" t="str">
        <f t="shared" si="189"/>
        <v>0</v>
      </c>
      <c r="AH197" s="7" t="s">
        <v>71</v>
      </c>
      <c r="AI197" s="8" t="s">
        <v>66</v>
      </c>
      <c r="AJ197" s="400"/>
      <c r="AK197" s="401"/>
    </row>
    <row r="198" spans="3:37" ht="15" customHeight="1" x14ac:dyDescent="0.3">
      <c r="C198" s="7" t="s">
        <v>64</v>
      </c>
      <c r="D198" s="99" t="str">
        <f>HEX2BIN(D197,8)</f>
        <v>00000111</v>
      </c>
      <c r="E198" s="99" t="str">
        <f t="shared" ref="E198:G198" si="191">HEX2BIN(E197,8)</f>
        <v>00100000</v>
      </c>
      <c r="F198" s="99" t="str">
        <f t="shared" si="191"/>
        <v>00000100</v>
      </c>
      <c r="G198" s="99" t="str">
        <f t="shared" si="191"/>
        <v>00001000</v>
      </c>
      <c r="H198" s="29" t="str">
        <f>Q193&amp;Q194&amp;Q195&amp;Q196&amp;Q197&amp;Q198&amp;Q199&amp;Q200</f>
        <v>00000000</v>
      </c>
      <c r="I198" s="99" t="str">
        <f>U193&amp;U194&amp;U195&amp;U196&amp;U197&amp;U198&amp;U199&amp;U200</f>
        <v>00000000</v>
      </c>
      <c r="J198" s="29" t="str">
        <f>Y193&amp;Y194&amp;Y195&amp;Y196&amp;Y197&amp;Y198&amp;Y199&amp;Y200</f>
        <v>00000000</v>
      </c>
      <c r="K198" s="29" t="str">
        <f>AC193&amp;AC194&amp;AC195&amp;AC196&amp;AC197&amp;AC198&amp;AC199&amp;AC200</f>
        <v>00000000</v>
      </c>
      <c r="L198" s="99" t="str">
        <f>AG193&amp;AG194&amp;AG195&amp;AG196&amp;AG197&amp;AG198&amp;AG199&amp;AG200</f>
        <v>00000000</v>
      </c>
      <c r="M198" s="99" t="str">
        <f>DEC2HEX(M199)</f>
        <v>33</v>
      </c>
      <c r="N198" s="8"/>
      <c r="P198" s="21" t="str">
        <f>MID(H193,6,1)</f>
        <v>0</v>
      </c>
      <c r="Q198" s="26" t="str">
        <f t="shared" si="185"/>
        <v>0</v>
      </c>
      <c r="R198" s="7" t="s">
        <v>72</v>
      </c>
      <c r="S198" s="8" t="s">
        <v>66</v>
      </c>
      <c r="T198" s="21" t="str">
        <f>MID(I193,6,1)</f>
        <v>0</v>
      </c>
      <c r="U198" s="26" t="str">
        <f t="shared" si="186"/>
        <v>0</v>
      </c>
      <c r="V198" s="7" t="s">
        <v>72</v>
      </c>
      <c r="W198" s="8" t="s">
        <v>66</v>
      </c>
      <c r="X198" s="21" t="str">
        <f>MID(J193,6,1)</f>
        <v>0</v>
      </c>
      <c r="Y198" s="26" t="str">
        <f t="shared" si="187"/>
        <v>0</v>
      </c>
      <c r="Z198" s="7" t="s">
        <v>72</v>
      </c>
      <c r="AA198" s="8" t="s">
        <v>66</v>
      </c>
      <c r="AB198" s="21" t="str">
        <f>MID(K193,6,1)</f>
        <v>0</v>
      </c>
      <c r="AC198" s="26" t="str">
        <f t="shared" si="188"/>
        <v>0</v>
      </c>
      <c r="AD198" s="7" t="s">
        <v>72</v>
      </c>
      <c r="AE198" s="533" t="s">
        <v>1620</v>
      </c>
      <c r="AF198" s="21" t="str">
        <f>MID(L193,6,1)</f>
        <v>0</v>
      </c>
      <c r="AG198" s="26" t="str">
        <f t="shared" si="189"/>
        <v>0</v>
      </c>
      <c r="AH198" s="7" t="s">
        <v>72</v>
      </c>
      <c r="AI198" s="8" t="s">
        <v>66</v>
      </c>
      <c r="AJ198" s="400"/>
      <c r="AK198" s="401"/>
    </row>
    <row r="199" spans="3:37" x14ac:dyDescent="0.3">
      <c r="C199" s="7" t="s">
        <v>67</v>
      </c>
      <c r="D199" s="99">
        <f>HEX2DEC(D197)</f>
        <v>7</v>
      </c>
      <c r="E199" s="99">
        <f t="shared" ref="E199:L199" si="192">HEX2DEC(E197)</f>
        <v>32</v>
      </c>
      <c r="F199" s="99">
        <f t="shared" si="192"/>
        <v>4</v>
      </c>
      <c r="G199" s="99">
        <f t="shared" si="192"/>
        <v>8</v>
      </c>
      <c r="H199" s="99">
        <f t="shared" si="192"/>
        <v>0</v>
      </c>
      <c r="I199" s="99">
        <f t="shared" si="192"/>
        <v>0</v>
      </c>
      <c r="J199" s="99">
        <f t="shared" si="192"/>
        <v>0</v>
      </c>
      <c r="K199" s="99">
        <f t="shared" si="192"/>
        <v>0</v>
      </c>
      <c r="L199" s="99">
        <f t="shared" si="192"/>
        <v>0</v>
      </c>
      <c r="M199" s="99">
        <f>SUM(D199:L199)</f>
        <v>51</v>
      </c>
      <c r="N199" s="8"/>
      <c r="P199" s="21" t="str">
        <f>MID(H193,7,1)</f>
        <v>0</v>
      </c>
      <c r="Q199" s="26" t="str">
        <f t="shared" si="185"/>
        <v>0</v>
      </c>
      <c r="R199" s="7" t="s">
        <v>73</v>
      </c>
      <c r="S199" s="8" t="s">
        <v>66</v>
      </c>
      <c r="T199" s="21" t="str">
        <f>MID(I193,7,1)</f>
        <v>0</v>
      </c>
      <c r="U199" s="26" t="str">
        <f t="shared" si="186"/>
        <v>0</v>
      </c>
      <c r="V199" s="7" t="s">
        <v>73</v>
      </c>
      <c r="W199" s="8" t="s">
        <v>66</v>
      </c>
      <c r="X199" s="21" t="str">
        <f>MID(J193,7,1)</f>
        <v>0</v>
      </c>
      <c r="Y199" s="26" t="str">
        <f t="shared" si="187"/>
        <v>0</v>
      </c>
      <c r="Z199" s="7" t="s">
        <v>73</v>
      </c>
      <c r="AA199" s="571" t="s">
        <v>1803</v>
      </c>
      <c r="AB199" s="21" t="str">
        <f>MID(K193,7,1)</f>
        <v>0</v>
      </c>
      <c r="AC199" s="26" t="str">
        <f t="shared" si="188"/>
        <v>0</v>
      </c>
      <c r="AD199" s="7" t="s">
        <v>73</v>
      </c>
      <c r="AE199" s="534"/>
      <c r="AF199" s="21" t="str">
        <f>MID(L193,7,1)</f>
        <v>0</v>
      </c>
      <c r="AG199" s="26" t="str">
        <f t="shared" si="189"/>
        <v>0</v>
      </c>
      <c r="AH199" s="7" t="s">
        <v>73</v>
      </c>
      <c r="AI199" s="8" t="s">
        <v>66</v>
      </c>
      <c r="AJ199" s="400"/>
      <c r="AK199" s="401"/>
    </row>
    <row r="200" spans="3:37" ht="15" thickBot="1" x14ac:dyDescent="0.35">
      <c r="C200" s="9" t="s">
        <v>1678</v>
      </c>
      <c r="D200" s="334" t="str">
        <f>D195</f>
        <v>07</v>
      </c>
      <c r="E200" s="334" t="str">
        <f t="shared" ref="E200:G200" si="193">E195</f>
        <v>20</v>
      </c>
      <c r="F200" s="334" t="str">
        <f t="shared" si="193"/>
        <v>G4</v>
      </c>
      <c r="G200" s="334" t="str">
        <f t="shared" si="193"/>
        <v>G8</v>
      </c>
      <c r="H200" s="10"/>
      <c r="I200" s="10"/>
      <c r="J200" s="10"/>
      <c r="K200" s="10"/>
      <c r="L200" s="10"/>
      <c r="M200" s="10"/>
      <c r="N200" s="11"/>
      <c r="P200" s="22" t="str">
        <f>MID(H193,8,1)</f>
        <v>0</v>
      </c>
      <c r="Q200" s="55" t="str">
        <f t="shared" si="185"/>
        <v>0</v>
      </c>
      <c r="R200" s="9" t="s">
        <v>74</v>
      </c>
      <c r="S200" s="11" t="s">
        <v>66</v>
      </c>
      <c r="T200" s="22" t="str">
        <f>MID(I193,8,1)</f>
        <v>0</v>
      </c>
      <c r="U200" s="55" t="str">
        <f t="shared" si="186"/>
        <v>0</v>
      </c>
      <c r="V200" s="9" t="s">
        <v>74</v>
      </c>
      <c r="W200" s="11" t="s">
        <v>66</v>
      </c>
      <c r="X200" s="22" t="str">
        <f>MID(J193,8,1)</f>
        <v>0</v>
      </c>
      <c r="Y200" s="55" t="str">
        <f t="shared" si="187"/>
        <v>0</v>
      </c>
      <c r="Z200" s="9" t="s">
        <v>74</v>
      </c>
      <c r="AA200" s="572"/>
      <c r="AB200" s="22" t="str">
        <f>MID(K193,8,1)</f>
        <v>0</v>
      </c>
      <c r="AC200" s="55" t="str">
        <f t="shared" si="188"/>
        <v>0</v>
      </c>
      <c r="AD200" s="9" t="s">
        <v>74</v>
      </c>
      <c r="AE200" s="11" t="s">
        <v>66</v>
      </c>
      <c r="AF200" s="22" t="str">
        <f>MID(L193,8,1)</f>
        <v>0</v>
      </c>
      <c r="AG200" s="55" t="str">
        <f t="shared" si="189"/>
        <v>0</v>
      </c>
      <c r="AH200" s="9" t="s">
        <v>74</v>
      </c>
      <c r="AI200" s="11" t="s">
        <v>66</v>
      </c>
      <c r="AJ200" s="402"/>
      <c r="AK200" s="404"/>
    </row>
    <row r="201" spans="3:37" ht="15" thickBot="1" x14ac:dyDescent="0.35">
      <c r="C201" s="4"/>
      <c r="D201" s="5"/>
      <c r="E201" s="5"/>
      <c r="F201" s="5"/>
      <c r="G201" s="5"/>
      <c r="H201" s="5"/>
      <c r="I201" s="5"/>
      <c r="J201" s="5"/>
      <c r="K201" s="5"/>
      <c r="L201" s="5"/>
      <c r="M201" s="5" t="s">
        <v>41</v>
      </c>
      <c r="N201" s="6"/>
      <c r="P201" s="530" t="s">
        <v>419</v>
      </c>
      <c r="Q201" s="530"/>
      <c r="R201" s="530"/>
      <c r="S201" s="530"/>
      <c r="T201" s="530"/>
      <c r="U201" s="530"/>
      <c r="V201" s="530"/>
      <c r="W201" s="530"/>
      <c r="X201" s="530"/>
      <c r="Y201" s="530"/>
      <c r="Z201" s="530"/>
      <c r="AA201" s="530"/>
      <c r="AB201" s="530"/>
      <c r="AC201" s="530"/>
      <c r="AD201" s="530"/>
      <c r="AE201" s="530"/>
      <c r="AF201" s="530"/>
      <c r="AG201" s="530"/>
      <c r="AH201" s="530"/>
      <c r="AI201" s="530"/>
      <c r="AJ201" s="530"/>
      <c r="AK201" s="530"/>
    </row>
    <row r="202" spans="3:37" ht="15" thickBot="1" x14ac:dyDescent="0.35">
      <c r="C202" s="7"/>
      <c r="D202" s="393" t="s">
        <v>1510</v>
      </c>
      <c r="E202" s="393"/>
      <c r="F202" s="393"/>
      <c r="G202" s="393"/>
      <c r="H202" s="99" t="s">
        <v>44</v>
      </c>
      <c r="I202" s="99" t="s">
        <v>45</v>
      </c>
      <c r="J202" s="99" t="s">
        <v>46</v>
      </c>
      <c r="K202" s="99" t="s">
        <v>47</v>
      </c>
      <c r="L202" s="99" t="s">
        <v>48</v>
      </c>
      <c r="M202" s="99" t="s">
        <v>49</v>
      </c>
      <c r="N202" s="8"/>
      <c r="P202" s="448" t="s">
        <v>232</v>
      </c>
      <c r="Q202" s="407"/>
      <c r="R202" s="407"/>
      <c r="S202" s="408"/>
      <c r="T202" s="448" t="s">
        <v>233</v>
      </c>
      <c r="U202" s="407"/>
      <c r="V202" s="407"/>
      <c r="W202" s="408"/>
      <c r="X202" s="394" t="s">
        <v>52</v>
      </c>
      <c r="Y202" s="395"/>
      <c r="Z202" s="395"/>
      <c r="AA202" s="396"/>
      <c r="AB202" s="394" t="s">
        <v>53</v>
      </c>
      <c r="AC202" s="395"/>
      <c r="AD202" s="395"/>
      <c r="AE202" s="396"/>
      <c r="AF202" s="394" t="s">
        <v>97</v>
      </c>
      <c r="AG202" s="395"/>
      <c r="AH202" s="395"/>
      <c r="AI202" s="396"/>
      <c r="AJ202" s="448" t="s">
        <v>55</v>
      </c>
      <c r="AK202" s="408"/>
    </row>
    <row r="203" spans="3:37" ht="15" thickBot="1" x14ac:dyDescent="0.35">
      <c r="C203" s="7" t="s">
        <v>56</v>
      </c>
      <c r="D203" s="12" t="s">
        <v>57</v>
      </c>
      <c r="E203" s="13" t="s">
        <v>130</v>
      </c>
      <c r="F203" s="13" t="s">
        <v>111</v>
      </c>
      <c r="G203" s="14" t="s">
        <v>234</v>
      </c>
      <c r="H203" s="24" t="str" cm="1">
        <f t="array" ref="H203">MID(INDEX($A$3:$A$70,IF(ISNA(MATCH("720G4G9*",$A$3:$A$70,0))=TRUE,MATCH("7200409*",$A$3:$A$70,0),MATCH("720G4G9*",$A$3:$A$70,0))),$AU$8,2)</f>
        <v>00</v>
      </c>
      <c r="I203" s="42" t="str" cm="1">
        <f t="array" ref="I203">MID(INDEX($A$3:$A$70,IF(ISNA(MATCH("720G4G9*",$A$3:$A$70,0))=TRUE,MATCH("7200409*",$A$3:$A$70,0),MATCH("720G4G9*",$A$3:$A$70,0))),$AV$8,2)</f>
        <v>00</v>
      </c>
      <c r="J203" s="42" t="str" cm="1">
        <f t="array" ref="J203">MID(INDEX($A$3:$A$70,IF(ISNA(MATCH("720G4G9*",$A$3:$A$70,0))=TRUE,MATCH("7200409*",$A$3:$A$70,0),MATCH("720G4G9*",$A$3:$A$70,0))),$AW$8,2)</f>
        <v>00</v>
      </c>
      <c r="K203" s="43" t="str" cm="1">
        <f t="array" ref="K203">MID(INDEX($A$3:$A$70,IF(ISNA(MATCH("720G4G9*",$A$3:$A$70,0))=TRUE,MATCH("7200409*",$A$3:$A$70,0),MATCH("720G4G9*",$A$3:$A$70,0))),$AX$8,2)</f>
        <v>00</v>
      </c>
      <c r="L203" s="43" t="str" cm="1">
        <f t="array" ref="L203">MID(INDEX($A$3:$A$70,IF(ISNA(MATCH("720G4G9*",$A$3:$A$70,0))=TRUE,MATCH("7200409*",$A$3:$A$70,0),MATCH("720G4G9*",$A$3:$A$70,0))),$AY$8,2)</f>
        <v>00</v>
      </c>
      <c r="M203" s="44" t="str" cm="1">
        <f t="array" ref="M203">MID(INDEX($A$3:$A$70,IF(ISNA(MATCH("720G4G9*",$A$3:$A$70,0))=TRUE,MATCH("7200409*",$A$3:$A$70,0),MATCH("720G4G9*",$A$3:$A$70,0))),$AZ$8,2)</f>
        <v>34</v>
      </c>
      <c r="N203" s="8" t="s">
        <v>60</v>
      </c>
      <c r="P203" s="394"/>
      <c r="Q203" s="395"/>
      <c r="R203" s="395"/>
      <c r="S203" s="396"/>
      <c r="T203" s="394"/>
      <c r="U203" s="395"/>
      <c r="V203" s="395"/>
      <c r="W203" s="396"/>
      <c r="X203" s="19" t="s">
        <v>60</v>
      </c>
      <c r="Y203" s="20" t="s">
        <v>61</v>
      </c>
      <c r="Z203" t="s">
        <v>62</v>
      </c>
      <c r="AA203" s="8"/>
      <c r="AB203" s="19" t="s">
        <v>60</v>
      </c>
      <c r="AC203" s="20" t="s">
        <v>61</v>
      </c>
      <c r="AD203" t="s">
        <v>62</v>
      </c>
      <c r="AE203" s="8"/>
      <c r="AF203" s="19" t="s">
        <v>60</v>
      </c>
      <c r="AG203" s="20" t="s">
        <v>61</v>
      </c>
      <c r="AH203" t="s">
        <v>62</v>
      </c>
      <c r="AI203" s="1" t="s">
        <v>235</v>
      </c>
      <c r="AJ203" s="394" t="s">
        <v>63</v>
      </c>
      <c r="AK203" s="396"/>
    </row>
    <row r="204" spans="3:37" x14ac:dyDescent="0.3">
      <c r="C204" s="7" t="s">
        <v>64</v>
      </c>
      <c r="D204" s="99" t="str">
        <f>HEX2BIN(D203,8)</f>
        <v>00000111</v>
      </c>
      <c r="E204" s="99" t="str">
        <f t="shared" ref="E204:L204" si="194">HEX2BIN(E203,8)</f>
        <v>00100000</v>
      </c>
      <c r="F204" s="99" t="str">
        <f t="shared" si="194"/>
        <v>00000100</v>
      </c>
      <c r="G204" s="99" t="str">
        <f t="shared" si="194"/>
        <v>00001001</v>
      </c>
      <c r="H204" s="99" t="str">
        <f t="shared" si="194"/>
        <v>00000000</v>
      </c>
      <c r="I204" s="99" t="str">
        <f t="shared" si="194"/>
        <v>00000000</v>
      </c>
      <c r="J204" s="99" t="str">
        <f t="shared" si="194"/>
        <v>00000000</v>
      </c>
      <c r="K204" s="99" t="str">
        <f t="shared" si="194"/>
        <v>00000000</v>
      </c>
      <c r="L204" s="99" t="str">
        <f t="shared" si="194"/>
        <v>00000000</v>
      </c>
      <c r="N204" s="8"/>
      <c r="P204" s="400"/>
      <c r="Q204" s="381"/>
      <c r="R204" s="381"/>
      <c r="S204" s="401"/>
      <c r="T204" s="400"/>
      <c r="U204" s="381"/>
      <c r="V204" s="381"/>
      <c r="W204" s="401"/>
      <c r="X204" s="21" t="str">
        <f>MID(J204,1,1)</f>
        <v>0</v>
      </c>
      <c r="Y204" s="26" t="str">
        <f>X204</f>
        <v>0</v>
      </c>
      <c r="Z204" s="7" t="s">
        <v>65</v>
      </c>
      <c r="AA204" s="8" t="s">
        <v>66</v>
      </c>
      <c r="AB204" s="21" t="str">
        <f>MID(K204,1,1)</f>
        <v>0</v>
      </c>
      <c r="AC204" s="26" t="str">
        <f>AB204</f>
        <v>0</v>
      </c>
      <c r="AD204" s="7" t="s">
        <v>65</v>
      </c>
      <c r="AE204" s="8" t="s">
        <v>66</v>
      </c>
      <c r="AF204" s="21" t="str">
        <f>MID(L204,1,1)</f>
        <v>0</v>
      </c>
      <c r="AG204" s="26" t="str">
        <f>MID(W220,1,1)</f>
        <v>0</v>
      </c>
      <c r="AH204" s="7" t="s">
        <v>65</v>
      </c>
      <c r="AI204" s="8" t="s">
        <v>236</v>
      </c>
      <c r="AJ204" s="400"/>
      <c r="AK204" s="401"/>
    </row>
    <row r="205" spans="3:37" x14ac:dyDescent="0.3">
      <c r="C205" s="7" t="s">
        <v>67</v>
      </c>
      <c r="D205" s="99">
        <f>HEX2DEC(D203)</f>
        <v>7</v>
      </c>
      <c r="E205" s="99">
        <f t="shared" ref="E205:L205" si="195">HEX2DEC(E203)</f>
        <v>32</v>
      </c>
      <c r="F205" s="99">
        <f t="shared" si="195"/>
        <v>4</v>
      </c>
      <c r="G205" s="99">
        <f t="shared" si="195"/>
        <v>9</v>
      </c>
      <c r="H205" s="99">
        <f t="shared" si="195"/>
        <v>0</v>
      </c>
      <c r="I205" s="99">
        <f t="shared" si="195"/>
        <v>0</v>
      </c>
      <c r="J205" s="99">
        <f t="shared" si="195"/>
        <v>0</v>
      </c>
      <c r="K205" s="99">
        <f t="shared" si="195"/>
        <v>0</v>
      </c>
      <c r="L205" s="99">
        <f t="shared" si="195"/>
        <v>0</v>
      </c>
      <c r="M205" s="99">
        <f>SUM(D205:L205)</f>
        <v>52</v>
      </c>
      <c r="N205" s="8"/>
      <c r="P205" s="400"/>
      <c r="Q205" s="381"/>
      <c r="R205" s="381"/>
      <c r="S205" s="401"/>
      <c r="T205" s="400"/>
      <c r="U205" s="381"/>
      <c r="V205" s="381"/>
      <c r="W205" s="401"/>
      <c r="X205" s="21" t="str">
        <f>MID(J204,2,1)</f>
        <v>0</v>
      </c>
      <c r="Y205" s="26" t="str">
        <f t="shared" ref="Y205:Y211" si="196">X205</f>
        <v>0</v>
      </c>
      <c r="Z205" s="7" t="s">
        <v>68</v>
      </c>
      <c r="AA205" s="8" t="s">
        <v>66</v>
      </c>
      <c r="AB205" s="21" t="str">
        <f>MID(K204,2,1)</f>
        <v>0</v>
      </c>
      <c r="AC205" s="26" t="str">
        <f t="shared" ref="AC205:AC211" si="197">AB205</f>
        <v>0</v>
      </c>
      <c r="AD205" s="7" t="s">
        <v>68</v>
      </c>
      <c r="AE205" s="8" t="s">
        <v>66</v>
      </c>
      <c r="AF205" s="21" t="str">
        <f>MID(L204,2,1)</f>
        <v>0</v>
      </c>
      <c r="AG205" s="26" t="str">
        <f>MID(W220,2,1)</f>
        <v>0</v>
      </c>
      <c r="AH205" s="7" t="s">
        <v>68</v>
      </c>
      <c r="AI205" s="86">
        <v>100</v>
      </c>
      <c r="AJ205" s="400"/>
      <c r="AK205" s="401"/>
    </row>
    <row r="206" spans="3:37" x14ac:dyDescent="0.3">
      <c r="C206" s="7" t="s">
        <v>1678</v>
      </c>
      <c r="D206" s="333" t="str">
        <f>D203</f>
        <v>07</v>
      </c>
      <c r="E206" s="333" t="str">
        <f>E203</f>
        <v>20</v>
      </c>
      <c r="F206" s="99" t="str">
        <f>MID(INDEX($A$3:$A$70,IF(ISNA(MATCH("720G4G9*",$A$3:$A$70,0))=TRUE,MATCH("7200409*",$A$3:$A$70,0),MATCH("720G4G9*",$A$3:$A$70,0))),$AS$8,2)</f>
        <v>G4</v>
      </c>
      <c r="G206" s="99" t="str">
        <f>MID(INDEX($A$3:$A$70,IF(ISNA(MATCH("720G4G9*",$A$3:$A$70,0))=TRUE,MATCH("7200409*",$A$3:$A$70,0),MATCH("720G4G9*",$A$3:$A$70,0))),$AT$8,2)</f>
        <v>G9</v>
      </c>
      <c r="N206" s="8"/>
      <c r="P206" s="400"/>
      <c r="Q206" s="381"/>
      <c r="R206" s="381"/>
      <c r="S206" s="401"/>
      <c r="T206" s="400"/>
      <c r="U206" s="381"/>
      <c r="V206" s="381"/>
      <c r="W206" s="401"/>
      <c r="X206" s="21" t="str">
        <f>MID(J204,3,1)</f>
        <v>0</v>
      </c>
      <c r="Y206" s="26" t="str">
        <f t="shared" si="196"/>
        <v>0</v>
      </c>
      <c r="Z206" s="7" t="s">
        <v>69</v>
      </c>
      <c r="AA206" s="8" t="s">
        <v>66</v>
      </c>
      <c r="AB206" s="21" t="str">
        <f>MID(K204,3,1)</f>
        <v>0</v>
      </c>
      <c r="AC206" s="26" t="str">
        <f t="shared" si="197"/>
        <v>0</v>
      </c>
      <c r="AD206" s="7" t="s">
        <v>69</v>
      </c>
      <c r="AE206" s="8" t="s">
        <v>66</v>
      </c>
      <c r="AF206" s="21" t="str">
        <f>MID(L204,3,1)</f>
        <v>0</v>
      </c>
      <c r="AG206" s="26" t="str">
        <f>MID(W220,3,1)</f>
        <v>0</v>
      </c>
      <c r="AH206" s="7" t="s">
        <v>69</v>
      </c>
      <c r="AI206" s="8" t="s">
        <v>237</v>
      </c>
      <c r="AJ206" s="400"/>
      <c r="AK206" s="401"/>
    </row>
    <row r="207" spans="3:37" ht="15" thickBot="1" x14ac:dyDescent="0.35">
      <c r="C207" s="7"/>
      <c r="N207" s="8"/>
      <c r="P207" s="400"/>
      <c r="Q207" s="381"/>
      <c r="R207" s="381"/>
      <c r="S207" s="401"/>
      <c r="T207" s="400"/>
      <c r="U207" s="381"/>
      <c r="V207" s="381"/>
      <c r="W207" s="401"/>
      <c r="X207" s="21" t="str">
        <f>MID(J204,4,1)</f>
        <v>0</v>
      </c>
      <c r="Y207" s="26" t="str">
        <f t="shared" si="196"/>
        <v>0</v>
      </c>
      <c r="Z207" s="7" t="s">
        <v>70</v>
      </c>
      <c r="AA207" s="8" t="s">
        <v>66</v>
      </c>
      <c r="AB207" s="21" t="str">
        <f>MID(K204,4,1)</f>
        <v>0</v>
      </c>
      <c r="AC207" s="26" t="str">
        <f t="shared" si="197"/>
        <v>0</v>
      </c>
      <c r="AD207" s="7" t="s">
        <v>70</v>
      </c>
      <c r="AE207" s="8" t="s">
        <v>66</v>
      </c>
      <c r="AF207" s="21" t="str">
        <f>MID(L204,4,1)</f>
        <v>0</v>
      </c>
      <c r="AG207" s="26" t="str">
        <f>MID(W220,4,1)</f>
        <v>0</v>
      </c>
      <c r="AH207" s="7" t="s">
        <v>70</v>
      </c>
      <c r="AI207" s="86">
        <v>100</v>
      </c>
      <c r="AJ207" s="400"/>
      <c r="AK207" s="401"/>
    </row>
    <row r="208" spans="3:37" ht="15" thickBot="1" x14ac:dyDescent="0.35">
      <c r="C208" s="7" t="s">
        <v>56</v>
      </c>
      <c r="D208" s="15" t="str">
        <f t="shared" ref="D208:G208" si="198">D203</f>
        <v>07</v>
      </c>
      <c r="E208" s="16" t="str">
        <f t="shared" si="198"/>
        <v>20</v>
      </c>
      <c r="F208" s="16" t="str">
        <f t="shared" si="198"/>
        <v>04</v>
      </c>
      <c r="G208" s="17" t="str">
        <f t="shared" si="198"/>
        <v>09</v>
      </c>
      <c r="H208" s="50" t="str">
        <f>H203</f>
        <v>00</v>
      </c>
      <c r="I208" s="47" t="str">
        <f>I203</f>
        <v>00</v>
      </c>
      <c r="J208" s="24" t="str">
        <f t="shared" ref="J208:L208" si="199">BIN2HEX(J209,2)</f>
        <v>00</v>
      </c>
      <c r="K208" s="2" t="str">
        <f t="shared" si="199"/>
        <v>00</v>
      </c>
      <c r="L208" s="18" t="str">
        <f t="shared" si="199"/>
        <v>00</v>
      </c>
      <c r="M208" s="3" t="str">
        <f>IF(LEN(M209)&gt;2,MID(M209,2,2),M209)</f>
        <v>34</v>
      </c>
      <c r="N208" s="8" t="s">
        <v>61</v>
      </c>
      <c r="P208" s="400"/>
      <c r="Q208" s="381"/>
      <c r="R208" s="381"/>
      <c r="S208" s="401"/>
      <c r="T208" s="400"/>
      <c r="U208" s="381"/>
      <c r="V208" s="381"/>
      <c r="W208" s="401"/>
      <c r="X208" s="21" t="str">
        <f>MID(J204,5,1)</f>
        <v>0</v>
      </c>
      <c r="Y208" s="26" t="str">
        <f t="shared" si="196"/>
        <v>0</v>
      </c>
      <c r="Z208" s="7" t="s">
        <v>71</v>
      </c>
      <c r="AA208" s="8" t="s">
        <v>66</v>
      </c>
      <c r="AB208" s="21" t="str">
        <f>MID(K204,5,1)</f>
        <v>0</v>
      </c>
      <c r="AC208" s="26" t="str">
        <f t="shared" si="197"/>
        <v>0</v>
      </c>
      <c r="AD208" s="7" t="s">
        <v>71</v>
      </c>
      <c r="AE208" s="8" t="s">
        <v>66</v>
      </c>
      <c r="AF208" s="21" t="str">
        <f>MID(L204,5,1)</f>
        <v>0</v>
      </c>
      <c r="AG208" s="26" t="str">
        <f>MID(W220,5,1)</f>
        <v>0</v>
      </c>
      <c r="AH208" s="7" t="s">
        <v>71</v>
      </c>
      <c r="AI208" s="8" t="s">
        <v>238</v>
      </c>
      <c r="AJ208" s="400"/>
      <c r="AK208" s="401"/>
    </row>
    <row r="209" spans="3:37" x14ac:dyDescent="0.3">
      <c r="C209" s="7" t="s">
        <v>64</v>
      </c>
      <c r="D209" s="99" t="str">
        <f>HEX2BIN(D208,8)</f>
        <v>00000111</v>
      </c>
      <c r="E209" s="99" t="str">
        <f t="shared" ref="E209:G209" si="200">HEX2BIN(E208,8)</f>
        <v>00100000</v>
      </c>
      <c r="F209" s="99" t="str">
        <f t="shared" si="200"/>
        <v>00000100</v>
      </c>
      <c r="G209" s="99" t="str">
        <f t="shared" si="200"/>
        <v>00001001</v>
      </c>
      <c r="H209" s="29"/>
      <c r="I209" s="99"/>
      <c r="J209" s="29" t="str">
        <f>Y204&amp;Y205&amp;Y206&amp;Y207&amp;Y208&amp;Y209&amp;Y210&amp;Y211</f>
        <v>00000000</v>
      </c>
      <c r="K209" s="29" t="str">
        <f>AC204&amp;AC205&amp;AC206&amp;AC207&amp;AC208&amp;AC209&amp;AC210&amp;AC211</f>
        <v>00000000</v>
      </c>
      <c r="L209" s="99" t="str">
        <f>AG204&amp;AG205&amp;AG206&amp;AG207&amp;AG208&amp;AG209&amp;AG210&amp;AG211</f>
        <v>00000000</v>
      </c>
      <c r="M209" s="99" t="str">
        <f>DEC2HEX(M210)</f>
        <v>34</v>
      </c>
      <c r="N209" s="8"/>
      <c r="P209" s="400"/>
      <c r="Q209" s="381"/>
      <c r="R209" s="381"/>
      <c r="S209" s="401"/>
      <c r="T209" s="400"/>
      <c r="U209" s="381"/>
      <c r="V209" s="381"/>
      <c r="W209" s="401"/>
      <c r="X209" s="21" t="str">
        <f>MID(J204,6,1)</f>
        <v>0</v>
      </c>
      <c r="Y209" s="26" t="str">
        <f t="shared" si="196"/>
        <v>0</v>
      </c>
      <c r="Z209" s="7" t="s">
        <v>72</v>
      </c>
      <c r="AA209" s="8" t="s">
        <v>66</v>
      </c>
      <c r="AB209" s="21" t="str">
        <f>MID(K204,6,1)</f>
        <v>0</v>
      </c>
      <c r="AC209" s="26" t="str">
        <f t="shared" si="197"/>
        <v>0</v>
      </c>
      <c r="AD209" s="7" t="s">
        <v>72</v>
      </c>
      <c r="AE209" s="8" t="s">
        <v>66</v>
      </c>
      <c r="AF209" s="21" t="str">
        <f>MID(L204,6,1)</f>
        <v>0</v>
      </c>
      <c r="AG209" s="26" t="str">
        <f>MID(W220,6,1)</f>
        <v>0</v>
      </c>
      <c r="AH209" s="7" t="s">
        <v>72</v>
      </c>
      <c r="AI209" s="85">
        <f>(AI205/AI207)-1</f>
        <v>0</v>
      </c>
      <c r="AJ209" s="400"/>
      <c r="AK209" s="401"/>
    </row>
    <row r="210" spans="3:37" x14ac:dyDescent="0.3">
      <c r="C210" s="7" t="s">
        <v>67</v>
      </c>
      <c r="D210" s="99">
        <f>HEX2DEC(D208)</f>
        <v>7</v>
      </c>
      <c r="E210" s="99">
        <f t="shared" ref="E210:L210" si="201">HEX2DEC(E208)</f>
        <v>32</v>
      </c>
      <c r="F210" s="99">
        <f t="shared" si="201"/>
        <v>4</v>
      </c>
      <c r="G210" s="99">
        <f t="shared" si="201"/>
        <v>9</v>
      </c>
      <c r="H210" s="99">
        <f t="shared" si="201"/>
        <v>0</v>
      </c>
      <c r="I210" s="99">
        <f t="shared" si="201"/>
        <v>0</v>
      </c>
      <c r="J210" s="99">
        <f t="shared" si="201"/>
        <v>0</v>
      </c>
      <c r="K210" s="99">
        <f t="shared" si="201"/>
        <v>0</v>
      </c>
      <c r="L210" s="99">
        <f t="shared" si="201"/>
        <v>0</v>
      </c>
      <c r="M210" s="99">
        <f>SUM(D210:L210)</f>
        <v>52</v>
      </c>
      <c r="N210" s="8"/>
      <c r="P210" s="400"/>
      <c r="Q210" s="381"/>
      <c r="R210" s="381"/>
      <c r="S210" s="401"/>
      <c r="T210" s="400"/>
      <c r="U210" s="381"/>
      <c r="V210" s="381"/>
      <c r="W210" s="401"/>
      <c r="X210" s="21" t="str">
        <f>MID(J204,7,1)</f>
        <v>0</v>
      </c>
      <c r="Y210" s="26" t="str">
        <f t="shared" si="196"/>
        <v>0</v>
      </c>
      <c r="Z210" s="7" t="s">
        <v>73</v>
      </c>
      <c r="AA210" s="8" t="s">
        <v>66</v>
      </c>
      <c r="AB210" s="21" t="str">
        <f>MID(K204,7,1)</f>
        <v>0</v>
      </c>
      <c r="AC210" s="26" t="str">
        <f t="shared" si="197"/>
        <v>0</v>
      </c>
      <c r="AD210" s="7" t="s">
        <v>73</v>
      </c>
      <c r="AE210" s="8" t="s">
        <v>66</v>
      </c>
      <c r="AF210" s="21" t="str">
        <f>MID(L204,7,1)</f>
        <v>0</v>
      </c>
      <c r="AG210" s="26" t="str">
        <f>MID(W220,7,1)</f>
        <v>0</v>
      </c>
      <c r="AH210" s="7" t="s">
        <v>73</v>
      </c>
      <c r="AI210" s="8"/>
      <c r="AJ210" s="400"/>
      <c r="AK210" s="401"/>
    </row>
    <row r="211" spans="3:37" ht="15" thickBot="1" x14ac:dyDescent="0.35">
      <c r="C211" s="9" t="s">
        <v>1678</v>
      </c>
      <c r="D211" s="334" t="str">
        <f>D206</f>
        <v>07</v>
      </c>
      <c r="E211" s="334" t="str">
        <f t="shared" ref="E211:G211" si="202">E206</f>
        <v>20</v>
      </c>
      <c r="F211" s="334" t="str">
        <f t="shared" si="202"/>
        <v>G4</v>
      </c>
      <c r="G211" s="334" t="str">
        <f t="shared" si="202"/>
        <v>G9</v>
      </c>
      <c r="H211" s="10"/>
      <c r="I211" s="10"/>
      <c r="J211" s="10"/>
      <c r="K211" s="10"/>
      <c r="L211" s="10"/>
      <c r="M211" s="10"/>
      <c r="N211" s="11"/>
      <c r="P211" s="402"/>
      <c r="Q211" s="403"/>
      <c r="R211" s="403"/>
      <c r="S211" s="404"/>
      <c r="T211" s="402"/>
      <c r="U211" s="403"/>
      <c r="V211" s="403"/>
      <c r="W211" s="404"/>
      <c r="X211" s="22" t="str">
        <f>MID(J204,8,1)</f>
        <v>0</v>
      </c>
      <c r="Y211" s="55" t="str">
        <f t="shared" si="196"/>
        <v>0</v>
      </c>
      <c r="Z211" s="9" t="s">
        <v>74</v>
      </c>
      <c r="AA211" s="11" t="s">
        <v>66</v>
      </c>
      <c r="AB211" s="22" t="str">
        <f>MID(K204,8,1)</f>
        <v>0</v>
      </c>
      <c r="AC211" s="55" t="str">
        <f t="shared" si="197"/>
        <v>0</v>
      </c>
      <c r="AD211" s="9" t="s">
        <v>74</v>
      </c>
      <c r="AE211" s="11" t="s">
        <v>66</v>
      </c>
      <c r="AF211" s="22" t="str">
        <f>MID(L204,8,1)</f>
        <v>0</v>
      </c>
      <c r="AG211" s="55" t="str">
        <f>MID(W220,8,1)</f>
        <v>0</v>
      </c>
      <c r="AH211" s="9" t="s">
        <v>74</v>
      </c>
      <c r="AI211" s="11"/>
      <c r="AJ211" s="402"/>
      <c r="AK211" s="404"/>
    </row>
    <row r="212" spans="3:37" ht="15" thickBot="1" x14ac:dyDescent="0.35">
      <c r="C212" s="4"/>
      <c r="D212" s="5"/>
      <c r="E212" s="5"/>
      <c r="F212" s="5"/>
      <c r="G212" s="5"/>
      <c r="H212" s="5"/>
      <c r="I212" s="5"/>
      <c r="J212" s="5"/>
      <c r="K212" s="5"/>
      <c r="L212" s="5"/>
      <c r="M212" s="5" t="s">
        <v>41</v>
      </c>
      <c r="N212" s="6"/>
      <c r="P212" s="530" t="s">
        <v>420</v>
      </c>
      <c r="Q212" s="530"/>
      <c r="R212" s="530"/>
      <c r="S212" s="530"/>
      <c r="T212" s="530"/>
      <c r="U212" s="530"/>
      <c r="V212" s="530"/>
      <c r="W212" s="530"/>
      <c r="X212" s="530"/>
      <c r="Y212" s="530"/>
      <c r="Z212" s="530"/>
      <c r="AA212" s="530"/>
      <c r="AB212" s="530"/>
      <c r="AC212" s="530"/>
      <c r="AD212" s="530"/>
      <c r="AE212" s="530"/>
      <c r="AF212" s="530"/>
      <c r="AG212" s="530"/>
      <c r="AH212" s="530"/>
      <c r="AI212" s="530"/>
      <c r="AJ212" s="530"/>
      <c r="AK212" s="530"/>
    </row>
    <row r="213" spans="3:37" ht="15" thickBot="1" x14ac:dyDescent="0.35">
      <c r="C213" s="7"/>
      <c r="D213" s="393" t="s">
        <v>1561</v>
      </c>
      <c r="E213" s="393"/>
      <c r="F213" s="393"/>
      <c r="G213" s="393"/>
      <c r="H213" s="99" t="s">
        <v>44</v>
      </c>
      <c r="I213" s="99" t="s">
        <v>45</v>
      </c>
      <c r="J213" s="99" t="s">
        <v>46</v>
      </c>
      <c r="K213" s="99" t="s">
        <v>47</v>
      </c>
      <c r="L213" s="99" t="s">
        <v>48</v>
      </c>
      <c r="M213" s="99" t="s">
        <v>49</v>
      </c>
      <c r="N213" s="8"/>
      <c r="P213" s="394" t="s">
        <v>50</v>
      </c>
      <c r="Q213" s="395"/>
      <c r="R213" s="395"/>
      <c r="S213" s="396"/>
      <c r="T213" s="394" t="s">
        <v>51</v>
      </c>
      <c r="U213" s="395"/>
      <c r="V213" s="395"/>
      <c r="W213" s="396"/>
      <c r="X213" s="394" t="s">
        <v>52</v>
      </c>
      <c r="Y213" s="395"/>
      <c r="Z213" s="395"/>
      <c r="AA213" s="396"/>
      <c r="AB213" s="448" t="s">
        <v>239</v>
      </c>
      <c r="AC213" s="407"/>
      <c r="AD213" s="407"/>
      <c r="AE213" s="408"/>
      <c r="AF213" s="448" t="s">
        <v>240</v>
      </c>
      <c r="AG213" s="407"/>
      <c r="AH213" s="407"/>
      <c r="AI213" s="408"/>
      <c r="AJ213" s="448" t="s">
        <v>55</v>
      </c>
      <c r="AK213" s="408"/>
    </row>
    <row r="214" spans="3:37" ht="15" thickBot="1" x14ac:dyDescent="0.35">
      <c r="C214" s="7" t="s">
        <v>56</v>
      </c>
      <c r="D214" s="12" t="s">
        <v>57</v>
      </c>
      <c r="E214" s="13" t="s">
        <v>130</v>
      </c>
      <c r="F214" s="13" t="s">
        <v>111</v>
      </c>
      <c r="G214" s="14" t="s">
        <v>241</v>
      </c>
      <c r="H214" s="41" t="str" cm="1">
        <f t="array" ref="H214">MID(INDEX($A$3:$A$70,IF(ISNA(MATCH("720G4GA*",$A$3:$A$70,0))=TRUE,MATCH("7200410*",$A$3:$A$70,0),MATCH("720G4GA*",$A$3:$A$70,0))),$AU$8,2)</f>
        <v>00</v>
      </c>
      <c r="I214" s="42" t="str" cm="1">
        <f t="array" ref="I214">MID(INDEX($A$3:$A$70,IF(ISNA(MATCH("720G4GA*",$A$3:$A$70,0))=TRUE,MATCH("7200410*",$A$3:$A$70,0),MATCH("720G4GA*",$A$3:$A$70,0))),$AV$8,2)</f>
        <v>00</v>
      </c>
      <c r="J214" s="24" t="str" cm="1">
        <f t="array" ref="J214">MID(INDEX($A$3:$A$70,IF(ISNA(MATCH("720G4GA*",$A$3:$A$70,0))=TRUE,MATCH("7200410*",$A$3:$A$70,0),MATCH("720G4GA*",$A$3:$A$70,0))),$AW$8,2)</f>
        <v>00</v>
      </c>
      <c r="K214" s="42" t="str" cm="1">
        <f t="array" ref="K214">MID(INDEX($A$3:$A$70,IF(ISNA(MATCH("720G4GA*",$A$3:$A$70,0))=TRUE,MATCH("7200410*",$A$3:$A$70,0),MATCH("720G4GA*",$A$3:$A$70,0))),$AX$8,2)</f>
        <v>00</v>
      </c>
      <c r="L214" s="43" t="str" cm="1">
        <f t="array" ref="L214">MID(INDEX($A$3:$A$70,IF(ISNA(MATCH("720G4GA*",$A$3:$A$70,0))=TRUE,MATCH("7200410*",$A$3:$A$70,0),MATCH("720G4GA*",$A$3:$A$70,0))),$AY$8,2)</f>
        <v>00</v>
      </c>
      <c r="M214" s="44" t="str" cm="1">
        <f t="array" ref="M214">MID(INDEX($A$3:$A$70,IF(ISNA(MATCH("720G4GA*",$A$3:$A$70,0))=TRUE,MATCH("7200410*",$A$3:$A$70,0),MATCH("720G4GA*",$A$3:$A$70,0))),$AZ$8,2)</f>
        <v>3B</v>
      </c>
      <c r="N214" s="8" t="s">
        <v>60</v>
      </c>
      <c r="P214" s="19" t="s">
        <v>60</v>
      </c>
      <c r="Q214" s="20" t="s">
        <v>61</v>
      </c>
      <c r="R214" t="s">
        <v>62</v>
      </c>
      <c r="S214" s="8"/>
      <c r="T214" s="19" t="s">
        <v>60</v>
      </c>
      <c r="U214" s="20" t="s">
        <v>61</v>
      </c>
      <c r="V214" t="s">
        <v>62</v>
      </c>
      <c r="W214" s="1" t="s">
        <v>235</v>
      </c>
      <c r="X214" s="19" t="s">
        <v>60</v>
      </c>
      <c r="Y214" s="20" t="s">
        <v>61</v>
      </c>
      <c r="Z214" t="s">
        <v>62</v>
      </c>
      <c r="AA214" s="8"/>
      <c r="AB214" s="394"/>
      <c r="AC214" s="395"/>
      <c r="AD214" s="395"/>
      <c r="AE214" s="396"/>
      <c r="AF214" s="394"/>
      <c r="AG214" s="395"/>
      <c r="AH214" s="395"/>
      <c r="AI214" s="396"/>
      <c r="AJ214" s="394" t="s">
        <v>63</v>
      </c>
      <c r="AK214" s="396"/>
    </row>
    <row r="215" spans="3:37" x14ac:dyDescent="0.3">
      <c r="C215" s="7" t="s">
        <v>64</v>
      </c>
      <c r="D215" s="99" t="str">
        <f>HEX2BIN(D214,8)</f>
        <v>00000111</v>
      </c>
      <c r="E215" s="99" t="str">
        <f t="shared" ref="E215:L215" si="203">HEX2BIN(E214,8)</f>
        <v>00100000</v>
      </c>
      <c r="F215" s="99" t="str">
        <f t="shared" si="203"/>
        <v>00000100</v>
      </c>
      <c r="G215" s="99" t="str">
        <f t="shared" si="203"/>
        <v>00010000</v>
      </c>
      <c r="H215" s="99" t="str">
        <f t="shared" si="203"/>
        <v>00000000</v>
      </c>
      <c r="I215" s="99" t="str">
        <f t="shared" si="203"/>
        <v>00000000</v>
      </c>
      <c r="J215" s="99" t="str">
        <f t="shared" si="203"/>
        <v>00000000</v>
      </c>
      <c r="K215" s="99" t="str">
        <f t="shared" si="203"/>
        <v>00000000</v>
      </c>
      <c r="L215" s="99" t="str">
        <f t="shared" si="203"/>
        <v>00000000</v>
      </c>
      <c r="N215" s="8"/>
      <c r="P215" s="21" t="str">
        <f>MID(H215,1,1)</f>
        <v>0</v>
      </c>
      <c r="Q215" s="26" t="str">
        <f>P215</f>
        <v>0</v>
      </c>
      <c r="R215" s="7" t="s">
        <v>65</v>
      </c>
      <c r="S215" s="8" t="s">
        <v>66</v>
      </c>
      <c r="T215" s="21" t="str">
        <f>MID(I215,1,1)</f>
        <v>0</v>
      </c>
      <c r="U215" s="26" t="str">
        <f>MID(W222,1,1)</f>
        <v>0</v>
      </c>
      <c r="V215" s="7" t="s">
        <v>65</v>
      </c>
      <c r="W215" s="91" t="s">
        <v>242</v>
      </c>
      <c r="X215" s="21" t="str">
        <f>MID(J215,1,1)</f>
        <v>0</v>
      </c>
      <c r="Y215" s="26" t="str">
        <f>X215</f>
        <v>0</v>
      </c>
      <c r="Z215" s="7" t="s">
        <v>65</v>
      </c>
      <c r="AA215" s="8" t="s">
        <v>66</v>
      </c>
      <c r="AB215" s="400"/>
      <c r="AC215" s="381"/>
      <c r="AD215" s="381"/>
      <c r="AE215" s="401"/>
      <c r="AF215" s="400"/>
      <c r="AG215" s="381"/>
      <c r="AH215" s="381"/>
      <c r="AI215" s="401"/>
      <c r="AJ215" s="400"/>
      <c r="AK215" s="401"/>
    </row>
    <row r="216" spans="3:37" x14ac:dyDescent="0.3">
      <c r="C216" s="7" t="s">
        <v>67</v>
      </c>
      <c r="D216" s="99">
        <f>HEX2DEC(D214)</f>
        <v>7</v>
      </c>
      <c r="E216" s="99">
        <f t="shared" ref="E216:L216" si="204">HEX2DEC(E214)</f>
        <v>32</v>
      </c>
      <c r="F216" s="99">
        <f t="shared" si="204"/>
        <v>4</v>
      </c>
      <c r="G216" s="99">
        <f t="shared" si="204"/>
        <v>16</v>
      </c>
      <c r="H216" s="99">
        <f t="shared" si="204"/>
        <v>0</v>
      </c>
      <c r="I216" s="99">
        <f t="shared" si="204"/>
        <v>0</v>
      </c>
      <c r="J216" s="99">
        <f t="shared" si="204"/>
        <v>0</v>
      </c>
      <c r="K216" s="99">
        <f t="shared" si="204"/>
        <v>0</v>
      </c>
      <c r="L216" s="99">
        <f t="shared" si="204"/>
        <v>0</v>
      </c>
      <c r="M216" s="99">
        <f>SUM(D216:L216)</f>
        <v>59</v>
      </c>
      <c r="N216" s="8"/>
      <c r="P216" s="21" t="str">
        <f>MID(H215,2,1)</f>
        <v>0</v>
      </c>
      <c r="Q216" s="26" t="str">
        <f t="shared" ref="Q216:Q222" si="205">P216</f>
        <v>0</v>
      </c>
      <c r="R216" s="7" t="s">
        <v>68</v>
      </c>
      <c r="S216" s="8" t="s">
        <v>66</v>
      </c>
      <c r="T216" s="21" t="str">
        <f>MID(I215,2,1)</f>
        <v>0</v>
      </c>
      <c r="U216" s="26" t="str">
        <f>MID(W222,2,1)</f>
        <v>0</v>
      </c>
      <c r="V216" s="7" t="s">
        <v>68</v>
      </c>
      <c r="W216" s="88">
        <f>HEX2DEC(L203&amp;I214)</f>
        <v>0</v>
      </c>
      <c r="X216" s="21" t="str">
        <f>MID(J215,2,1)</f>
        <v>0</v>
      </c>
      <c r="Y216" s="26" t="str">
        <f t="shared" ref="Y216:Y222" si="206">X216</f>
        <v>0</v>
      </c>
      <c r="Z216" s="7" t="s">
        <v>68</v>
      </c>
      <c r="AA216" s="8" t="s">
        <v>66</v>
      </c>
      <c r="AB216" s="400"/>
      <c r="AC216" s="381"/>
      <c r="AD216" s="381"/>
      <c r="AE216" s="401"/>
      <c r="AF216" s="400"/>
      <c r="AG216" s="381"/>
      <c r="AH216" s="381"/>
      <c r="AI216" s="401"/>
      <c r="AJ216" s="400"/>
      <c r="AK216" s="401"/>
    </row>
    <row r="217" spans="3:37" x14ac:dyDescent="0.3">
      <c r="C217" s="7" t="s">
        <v>1678</v>
      </c>
      <c r="D217" s="333" t="str">
        <f>D214</f>
        <v>07</v>
      </c>
      <c r="E217" s="333" t="str">
        <f>E214</f>
        <v>20</v>
      </c>
      <c r="F217" s="99" t="str">
        <f>MID(INDEX($A$3:$A$70,IF(ISNA(MATCH("720G4GA*",$A$3:$A$70,0))=TRUE,MATCH("7200410*",$A$3:$A$70,0),MATCH("720G4GA*",$A$3:$A$70,0))),$AS$8,2)</f>
        <v>G4</v>
      </c>
      <c r="G217" s="99" t="str">
        <f>MID(INDEX($A$3:$A$70,IF(ISNA(MATCH("720G4GA*",$A$3:$A$70,0))=TRUE,MATCH("7200410*",$A$3:$A$70,0),MATCH("720G4GA*",$A$3:$A$70,0))),$AT$8,2)</f>
        <v>GA</v>
      </c>
      <c r="N217" s="8"/>
      <c r="P217" s="21" t="str">
        <f>MID(H215,3,1)</f>
        <v>0</v>
      </c>
      <c r="Q217" s="26" t="str">
        <f t="shared" si="205"/>
        <v>0</v>
      </c>
      <c r="R217" s="7" t="s">
        <v>69</v>
      </c>
      <c r="S217" s="8" t="s">
        <v>66</v>
      </c>
      <c r="T217" s="21" t="str">
        <f>MID(I215,3,1)</f>
        <v>0</v>
      </c>
      <c r="U217" s="26" t="str">
        <f>MID(W222,3,1)</f>
        <v>0</v>
      </c>
      <c r="V217" s="7" t="s">
        <v>69</v>
      </c>
      <c r="W217" s="87" t="s">
        <v>243</v>
      </c>
      <c r="X217" s="21" t="str">
        <f>MID(J215,3,1)</f>
        <v>0</v>
      </c>
      <c r="Y217" s="26" t="str">
        <f t="shared" si="206"/>
        <v>0</v>
      </c>
      <c r="Z217" s="7" t="s">
        <v>69</v>
      </c>
      <c r="AA217" s="8" t="s">
        <v>66</v>
      </c>
      <c r="AB217" s="400"/>
      <c r="AC217" s="381"/>
      <c r="AD217" s="381"/>
      <c r="AE217" s="401"/>
      <c r="AF217" s="400"/>
      <c r="AG217" s="381"/>
      <c r="AH217" s="381"/>
      <c r="AI217" s="401"/>
      <c r="AJ217" s="400"/>
      <c r="AK217" s="401"/>
    </row>
    <row r="218" spans="3:37" ht="15" thickBot="1" x14ac:dyDescent="0.35">
      <c r="C218" s="7"/>
      <c r="N218" s="8"/>
      <c r="P218" s="21" t="str">
        <f>MID(H215,4,1)</f>
        <v>0</v>
      </c>
      <c r="Q218" s="26" t="str">
        <f t="shared" si="205"/>
        <v>0</v>
      </c>
      <c r="R218" s="7" t="s">
        <v>70</v>
      </c>
      <c r="S218" s="8" t="s">
        <v>66</v>
      </c>
      <c r="T218" s="21" t="str">
        <f>MID(I215,4,1)</f>
        <v>0</v>
      </c>
      <c r="U218" s="26" t="str">
        <f>MID(W222,4,1)</f>
        <v>0</v>
      </c>
      <c r="V218" s="7" t="s">
        <v>70</v>
      </c>
      <c r="W218" s="88">
        <f>ROUND(W216+(W216*-AI209),0)</f>
        <v>0</v>
      </c>
      <c r="X218" s="21" t="str">
        <f>MID(J215,4,1)</f>
        <v>0</v>
      </c>
      <c r="Y218" s="26" t="str">
        <f t="shared" si="206"/>
        <v>0</v>
      </c>
      <c r="Z218" s="7" t="s">
        <v>70</v>
      </c>
      <c r="AA218" s="8" t="s">
        <v>66</v>
      </c>
      <c r="AB218" s="400"/>
      <c r="AC218" s="381"/>
      <c r="AD218" s="381"/>
      <c r="AE218" s="401"/>
      <c r="AF218" s="400"/>
      <c r="AG218" s="381"/>
      <c r="AH218" s="381"/>
      <c r="AI218" s="401"/>
      <c r="AJ218" s="400"/>
      <c r="AK218" s="401"/>
    </row>
    <row r="219" spans="3:37" ht="15" thickBot="1" x14ac:dyDescent="0.35">
      <c r="C219" s="7" t="s">
        <v>56</v>
      </c>
      <c r="D219" s="15" t="str">
        <f>D214</f>
        <v>07</v>
      </c>
      <c r="E219" s="16" t="str">
        <f>E214</f>
        <v>20</v>
      </c>
      <c r="F219" s="16" t="str">
        <f>F214</f>
        <v>04</v>
      </c>
      <c r="G219" s="17" t="str">
        <f>G214</f>
        <v>10</v>
      </c>
      <c r="H219" s="23" t="str">
        <f>BIN2HEX(H220,2)</f>
        <v>00</v>
      </c>
      <c r="I219" s="25" t="str">
        <f t="shared" ref="I219:J219" si="207">BIN2HEX(I220,2)</f>
        <v>00</v>
      </c>
      <c r="J219" s="24" t="str">
        <f t="shared" si="207"/>
        <v>00</v>
      </c>
      <c r="K219" s="47" t="str">
        <f>K214</f>
        <v>00</v>
      </c>
      <c r="L219" s="49" t="str">
        <f>L214</f>
        <v>00</v>
      </c>
      <c r="M219" s="3" t="str">
        <f>IF(LEN(M220)&gt;2,MID(M220,2,2),M220)</f>
        <v>3B</v>
      </c>
      <c r="N219" s="8" t="s">
        <v>61</v>
      </c>
      <c r="P219" s="21" t="str">
        <f>MID(H215,5,1)</f>
        <v>0</v>
      </c>
      <c r="Q219" s="26" t="str">
        <f t="shared" si="205"/>
        <v>0</v>
      </c>
      <c r="R219" s="7" t="s">
        <v>71</v>
      </c>
      <c r="S219" s="8" t="s">
        <v>66</v>
      </c>
      <c r="T219" s="21" t="str">
        <f>MID(I215,5,1)</f>
        <v>0</v>
      </c>
      <c r="U219" s="26" t="str">
        <f>MID(W222,5,1)</f>
        <v>0</v>
      </c>
      <c r="V219" s="7" t="s">
        <v>71</v>
      </c>
      <c r="W219" s="87" t="s">
        <v>244</v>
      </c>
      <c r="X219" s="21" t="str">
        <f>MID(J215,5,1)</f>
        <v>0</v>
      </c>
      <c r="Y219" s="26" t="str">
        <f t="shared" si="206"/>
        <v>0</v>
      </c>
      <c r="Z219" s="7" t="s">
        <v>71</v>
      </c>
      <c r="AA219" s="8" t="s">
        <v>66</v>
      </c>
      <c r="AB219" s="400"/>
      <c r="AC219" s="381"/>
      <c r="AD219" s="381"/>
      <c r="AE219" s="401"/>
      <c r="AF219" s="400"/>
      <c r="AG219" s="381"/>
      <c r="AH219" s="381"/>
      <c r="AI219" s="401"/>
      <c r="AJ219" s="400"/>
      <c r="AK219" s="401"/>
    </row>
    <row r="220" spans="3:37" x14ac:dyDescent="0.3">
      <c r="C220" s="7" t="s">
        <v>64</v>
      </c>
      <c r="D220" s="99" t="str">
        <f>HEX2BIN(D219,8)</f>
        <v>00000111</v>
      </c>
      <c r="E220" s="99" t="str">
        <f t="shared" ref="E220:G220" si="208">HEX2BIN(E219,8)</f>
        <v>00100000</v>
      </c>
      <c r="F220" s="99" t="str">
        <f t="shared" si="208"/>
        <v>00000100</v>
      </c>
      <c r="G220" s="99" t="str">
        <f t="shared" si="208"/>
        <v>00010000</v>
      </c>
      <c r="H220" s="29" t="str">
        <f>Q215&amp;Q216&amp;Q217&amp;Q218&amp;Q219&amp;Q220&amp;Q221&amp;Q222</f>
        <v>00000000</v>
      </c>
      <c r="I220" s="99" t="str">
        <f>U215&amp;U216&amp;U217&amp;U218&amp;U219&amp;U220&amp;U221&amp;U222</f>
        <v>00000000</v>
      </c>
      <c r="J220" s="29" t="str">
        <f>Y215&amp;Y216&amp;Y217&amp;Y218&amp;Y219&amp;Y220&amp;Y221&amp;Y222</f>
        <v>00000000</v>
      </c>
      <c r="K220" s="29"/>
      <c r="L220" s="99"/>
      <c r="M220" s="99" t="str">
        <f>DEC2HEX(M221)</f>
        <v>3B</v>
      </c>
      <c r="N220" s="8"/>
      <c r="P220" s="21" t="str">
        <f>MID(H215,6,1)</f>
        <v>0</v>
      </c>
      <c r="Q220" s="26" t="str">
        <f t="shared" si="205"/>
        <v>0</v>
      </c>
      <c r="R220" s="7" t="s">
        <v>72</v>
      </c>
      <c r="S220" s="8" t="s">
        <v>66</v>
      </c>
      <c r="T220" s="21" t="str">
        <f>MID(I215,6,1)</f>
        <v>0</v>
      </c>
      <c r="U220" s="26" t="str">
        <f>MID(W222,6,1)</f>
        <v>0</v>
      </c>
      <c r="V220" s="7" t="s">
        <v>72</v>
      </c>
      <c r="W220" s="89" t="str">
        <f>HEX2BIN(LEFT(DEC2HEX(W218,4),2),8)</f>
        <v>00000000</v>
      </c>
      <c r="X220" s="21" t="str">
        <f>MID(J215,6,1)</f>
        <v>0</v>
      </c>
      <c r="Y220" s="26" t="str">
        <f t="shared" si="206"/>
        <v>0</v>
      </c>
      <c r="Z220" s="7" t="s">
        <v>72</v>
      </c>
      <c r="AA220" s="8" t="s">
        <v>66</v>
      </c>
      <c r="AB220" s="400"/>
      <c r="AC220" s="381"/>
      <c r="AD220" s="381"/>
      <c r="AE220" s="401"/>
      <c r="AF220" s="400"/>
      <c r="AG220" s="381"/>
      <c r="AH220" s="381"/>
      <c r="AI220" s="401"/>
      <c r="AJ220" s="400"/>
      <c r="AK220" s="401"/>
    </row>
    <row r="221" spans="3:37" x14ac:dyDescent="0.3">
      <c r="C221" s="7" t="s">
        <v>67</v>
      </c>
      <c r="D221" s="99">
        <f>HEX2DEC(D219)</f>
        <v>7</v>
      </c>
      <c r="E221" s="99">
        <f t="shared" ref="E221:L221" si="209">HEX2DEC(E219)</f>
        <v>32</v>
      </c>
      <c r="F221" s="99">
        <f t="shared" si="209"/>
        <v>4</v>
      </c>
      <c r="G221" s="99">
        <f t="shared" si="209"/>
        <v>16</v>
      </c>
      <c r="H221" s="99">
        <f t="shared" si="209"/>
        <v>0</v>
      </c>
      <c r="I221" s="99">
        <f t="shared" si="209"/>
        <v>0</v>
      </c>
      <c r="J221" s="99">
        <f t="shared" si="209"/>
        <v>0</v>
      </c>
      <c r="K221" s="99">
        <f t="shared" si="209"/>
        <v>0</v>
      </c>
      <c r="L221" s="99">
        <f t="shared" si="209"/>
        <v>0</v>
      </c>
      <c r="M221" s="99">
        <f>SUM(D221:L221)</f>
        <v>59</v>
      </c>
      <c r="N221" s="8"/>
      <c r="P221" s="21" t="str">
        <f>MID(H215,7,1)</f>
        <v>0</v>
      </c>
      <c r="Q221" s="26" t="str">
        <f t="shared" si="205"/>
        <v>0</v>
      </c>
      <c r="R221" s="7" t="s">
        <v>73</v>
      </c>
      <c r="S221" s="8" t="s">
        <v>66</v>
      </c>
      <c r="T221" s="21" t="str">
        <f>MID(I215,7,1)</f>
        <v>0</v>
      </c>
      <c r="U221" s="26" t="str">
        <f>MID(W222,7,1)</f>
        <v>0</v>
      </c>
      <c r="V221" s="7" t="s">
        <v>73</v>
      </c>
      <c r="W221" s="87" t="s">
        <v>245</v>
      </c>
      <c r="X221" s="21" t="str">
        <f>MID(J215,7,1)</f>
        <v>0</v>
      </c>
      <c r="Y221" s="26" t="str">
        <f t="shared" si="206"/>
        <v>0</v>
      </c>
      <c r="Z221" s="7" t="s">
        <v>73</v>
      </c>
      <c r="AA221" s="8" t="s">
        <v>66</v>
      </c>
      <c r="AB221" s="400"/>
      <c r="AC221" s="381"/>
      <c r="AD221" s="381"/>
      <c r="AE221" s="401"/>
      <c r="AF221" s="400"/>
      <c r="AG221" s="381"/>
      <c r="AH221" s="381"/>
      <c r="AI221" s="401"/>
      <c r="AJ221" s="400"/>
      <c r="AK221" s="401"/>
    </row>
    <row r="222" spans="3:37" ht="15" thickBot="1" x14ac:dyDescent="0.35">
      <c r="C222" s="9" t="s">
        <v>1678</v>
      </c>
      <c r="D222" s="334" t="str">
        <f>D217</f>
        <v>07</v>
      </c>
      <c r="E222" s="334" t="str">
        <f t="shared" ref="E222:G222" si="210">E217</f>
        <v>20</v>
      </c>
      <c r="F222" s="334" t="str">
        <f t="shared" si="210"/>
        <v>G4</v>
      </c>
      <c r="G222" s="334" t="str">
        <f t="shared" si="210"/>
        <v>GA</v>
      </c>
      <c r="H222" s="10"/>
      <c r="I222" s="10"/>
      <c r="J222" s="10"/>
      <c r="K222" s="10"/>
      <c r="L222" s="10"/>
      <c r="M222" s="10"/>
      <c r="N222" s="11"/>
      <c r="P222" s="22" t="str">
        <f>MID(H215,8,1)</f>
        <v>0</v>
      </c>
      <c r="Q222" s="55" t="str">
        <f t="shared" si="205"/>
        <v>0</v>
      </c>
      <c r="R222" s="9" t="s">
        <v>74</v>
      </c>
      <c r="S222" s="11" t="s">
        <v>66</v>
      </c>
      <c r="T222" s="22" t="str">
        <f>MID(I215,8,1)</f>
        <v>0</v>
      </c>
      <c r="U222" s="55" t="str">
        <f>MID(W222,8,1)</f>
        <v>0</v>
      </c>
      <c r="V222" s="9" t="s">
        <v>74</v>
      </c>
      <c r="W222" s="90" t="str">
        <f>HEX2BIN(RIGHT(DEC2HEX(W218,4),2),8)</f>
        <v>00000000</v>
      </c>
      <c r="X222" s="22" t="str">
        <f>MID(J215,8,1)</f>
        <v>0</v>
      </c>
      <c r="Y222" s="55" t="str">
        <f t="shared" si="206"/>
        <v>0</v>
      </c>
      <c r="Z222" s="9" t="s">
        <v>74</v>
      </c>
      <c r="AA222" s="11" t="s">
        <v>66</v>
      </c>
      <c r="AB222" s="402"/>
      <c r="AC222" s="403"/>
      <c r="AD222" s="403"/>
      <c r="AE222" s="404"/>
      <c r="AF222" s="402"/>
      <c r="AG222" s="403"/>
      <c r="AH222" s="403"/>
      <c r="AI222" s="404"/>
      <c r="AJ222" s="402"/>
      <c r="AK222" s="404"/>
    </row>
    <row r="223" spans="3:37" ht="15" thickBot="1" x14ac:dyDescent="0.35">
      <c r="C223" s="4"/>
      <c r="D223" s="5"/>
      <c r="E223" s="5"/>
      <c r="F223" s="5"/>
      <c r="G223" s="5"/>
      <c r="H223" s="5"/>
      <c r="I223" s="5"/>
      <c r="J223" s="5"/>
      <c r="K223" s="5"/>
      <c r="L223" s="5"/>
      <c r="M223" s="5" t="s">
        <v>41</v>
      </c>
      <c r="N223" s="6"/>
      <c r="P223" s="530" t="s">
        <v>421</v>
      </c>
      <c r="Q223" s="530"/>
      <c r="R223" s="530"/>
      <c r="S223" s="530"/>
      <c r="T223" s="530"/>
      <c r="U223" s="530"/>
      <c r="V223" s="530"/>
      <c r="W223" s="530"/>
      <c r="X223" s="530"/>
      <c r="Y223" s="530"/>
      <c r="Z223" s="530"/>
      <c r="AA223" s="530"/>
      <c r="AB223" s="530"/>
      <c r="AC223" s="530"/>
      <c r="AD223" s="530"/>
      <c r="AE223" s="530"/>
      <c r="AF223" s="530"/>
      <c r="AG223" s="530"/>
      <c r="AH223" s="530"/>
      <c r="AI223" s="530"/>
      <c r="AJ223" s="530"/>
      <c r="AK223" s="530"/>
    </row>
    <row r="224" spans="3:37" ht="15" thickBot="1" x14ac:dyDescent="0.35">
      <c r="C224" s="7"/>
      <c r="D224" s="393" t="s">
        <v>1511</v>
      </c>
      <c r="E224" s="393"/>
      <c r="F224" s="393"/>
      <c r="G224" s="393"/>
      <c r="H224" s="99" t="s">
        <v>44</v>
      </c>
      <c r="I224" s="99" t="s">
        <v>45</v>
      </c>
      <c r="J224" s="99" t="s">
        <v>46</v>
      </c>
      <c r="K224" s="99" t="s">
        <v>47</v>
      </c>
      <c r="L224" s="99" t="s">
        <v>48</v>
      </c>
      <c r="M224" s="99" t="s">
        <v>49</v>
      </c>
      <c r="N224" s="8"/>
      <c r="P224" s="394" t="s">
        <v>50</v>
      </c>
      <c r="Q224" s="395"/>
      <c r="R224" s="395"/>
      <c r="S224" s="396"/>
      <c r="T224" s="394" t="s">
        <v>51</v>
      </c>
      <c r="U224" s="395"/>
      <c r="V224" s="395"/>
      <c r="W224" s="396"/>
      <c r="X224" s="394" t="s">
        <v>52</v>
      </c>
      <c r="Y224" s="395"/>
      <c r="Z224" s="395"/>
      <c r="AA224" s="396"/>
      <c r="AB224" s="394" t="s">
        <v>53</v>
      </c>
      <c r="AC224" s="395"/>
      <c r="AD224" s="395"/>
      <c r="AE224" s="396"/>
      <c r="AF224" s="394" t="s">
        <v>97</v>
      </c>
      <c r="AG224" s="395"/>
      <c r="AH224" s="395"/>
      <c r="AI224" s="396"/>
      <c r="AJ224" s="448" t="s">
        <v>55</v>
      </c>
      <c r="AK224" s="408"/>
    </row>
    <row r="225" spans="3:37" ht="15" thickBot="1" x14ac:dyDescent="0.35">
      <c r="C225" s="7" t="s">
        <v>56</v>
      </c>
      <c r="D225" s="12" t="s">
        <v>57</v>
      </c>
      <c r="E225" s="13" t="s">
        <v>130</v>
      </c>
      <c r="F225" s="13" t="s">
        <v>111</v>
      </c>
      <c r="G225" s="14" t="s">
        <v>246</v>
      </c>
      <c r="H225" s="24" t="str" cm="1">
        <f t="array" ref="H225">MID(INDEX($A$3:$A$70,IF(ISNA(MATCH("720G4GB*",$A$3:$A$70,0))=TRUE,MATCH("7200411*",$A$3:$A$70,0),MATCH("720G4GB*",$A$3:$A$70,0))),$AU$8,2)</f>
        <v>00</v>
      </c>
      <c r="I225" s="42" t="str" cm="1">
        <f t="array" ref="I225">MID(INDEX($A$3:$A$70,IF(ISNA(MATCH("720G4GB*",$A$3:$A$70,0))=TRUE,MATCH("7200411*",$A$3:$A$70,0),MATCH("720G4GB*",$A$3:$A$70,0))),$AV$8,2)</f>
        <v>00</v>
      </c>
      <c r="J225" s="42" t="str" cm="1">
        <f t="array" ref="J225">MID(INDEX($A$3:$A$70,IF(ISNA(MATCH("720G4GB*",$A$3:$A$70,0))=TRUE,MATCH("7200411*",$A$3:$A$70,0),MATCH("720G4GB*",$A$3:$A$70,0))),$AW$8,2)</f>
        <v>00</v>
      </c>
      <c r="K225" s="43" t="str" cm="1">
        <f t="array" ref="K225">MID(INDEX($A$3:$A$70,IF(ISNA(MATCH("720G4GB*",$A$3:$A$70,0))=TRUE,MATCH("7200411*",$A$3:$A$70,0),MATCH("720G4GB*",$A$3:$A$70,0))),$AX$8,2)</f>
        <v>00</v>
      </c>
      <c r="L225" s="43" t="str" cm="1">
        <f t="array" ref="L225">MID(INDEX($A$3:$A$70,IF(ISNA(MATCH("720G4GB*",$A$3:$A$70,0))=TRUE,MATCH("7200411*",$A$3:$A$70,0),MATCH("720G4GB*",$A$3:$A$70,0))),$AY$8,2)</f>
        <v>00</v>
      </c>
      <c r="M225" s="44" t="str" cm="1">
        <f t="array" ref="M225">MID(INDEX($A$3:$A$70,IF(ISNA(MATCH("720G4GB*",$A$3:$A$70,0))=TRUE,MATCH("7200411*",$A$3:$A$70,0),MATCH("720G4GB*",$A$3:$A$70,0))),$AZ$8,2)</f>
        <v>3C</v>
      </c>
      <c r="N225" s="8" t="s">
        <v>60</v>
      </c>
      <c r="P225" s="19" t="s">
        <v>60</v>
      </c>
      <c r="Q225" s="20" t="s">
        <v>61</v>
      </c>
      <c r="R225" t="s">
        <v>62</v>
      </c>
      <c r="S225" s="8"/>
      <c r="T225" s="19" t="s">
        <v>60</v>
      </c>
      <c r="U225" s="20" t="s">
        <v>61</v>
      </c>
      <c r="V225" t="s">
        <v>62</v>
      </c>
      <c r="W225" s="8"/>
      <c r="X225" s="19" t="s">
        <v>60</v>
      </c>
      <c r="Y225" s="20" t="s">
        <v>61</v>
      </c>
      <c r="Z225" t="s">
        <v>62</v>
      </c>
      <c r="AA225" s="8"/>
      <c r="AB225" s="19" t="s">
        <v>60</v>
      </c>
      <c r="AC225" s="20" t="s">
        <v>61</v>
      </c>
      <c r="AD225" t="s">
        <v>62</v>
      </c>
      <c r="AE225" s="8"/>
      <c r="AF225" s="19" t="s">
        <v>60</v>
      </c>
      <c r="AG225" s="20" t="s">
        <v>61</v>
      </c>
      <c r="AH225" t="s">
        <v>62</v>
      </c>
      <c r="AJ225" s="394" t="s">
        <v>63</v>
      </c>
      <c r="AK225" s="396"/>
    </row>
    <row r="226" spans="3:37" ht="15" customHeight="1" x14ac:dyDescent="0.3">
      <c r="C226" s="7" t="s">
        <v>64</v>
      </c>
      <c r="D226" s="99" t="str">
        <f>HEX2BIN(D225,8)</f>
        <v>00000111</v>
      </c>
      <c r="E226" s="99" t="str">
        <f t="shared" ref="E226:L226" si="211">HEX2BIN(E225,8)</f>
        <v>00100000</v>
      </c>
      <c r="F226" s="99" t="str">
        <f t="shared" si="211"/>
        <v>00000100</v>
      </c>
      <c r="G226" s="99" t="str">
        <f t="shared" si="211"/>
        <v>00010001</v>
      </c>
      <c r="H226" s="99" t="str">
        <f t="shared" si="211"/>
        <v>00000000</v>
      </c>
      <c r="I226" s="99" t="str">
        <f t="shared" si="211"/>
        <v>00000000</v>
      </c>
      <c r="J226" s="99" t="str">
        <f t="shared" si="211"/>
        <v>00000000</v>
      </c>
      <c r="K226" s="99" t="str">
        <f t="shared" si="211"/>
        <v>00000000</v>
      </c>
      <c r="L226" s="99" t="str">
        <f t="shared" si="211"/>
        <v>00000000</v>
      </c>
      <c r="N226" s="8"/>
      <c r="P226" s="21" t="str">
        <f>MID(H226,1,1)</f>
        <v>0</v>
      </c>
      <c r="Q226" s="26" t="str">
        <f>P226</f>
        <v>0</v>
      </c>
      <c r="R226" s="7" t="s">
        <v>65</v>
      </c>
      <c r="S226" s="535" t="s">
        <v>1806</v>
      </c>
      <c r="T226" s="21" t="str">
        <f>MID(I226,1,1)</f>
        <v>0</v>
      </c>
      <c r="U226" s="26" t="str">
        <f>T226</f>
        <v>0</v>
      </c>
      <c r="V226" s="7" t="s">
        <v>65</v>
      </c>
      <c r="W226" s="538" t="s">
        <v>1325</v>
      </c>
      <c r="X226" s="21" t="str">
        <f>MID(J226,1,1)</f>
        <v>0</v>
      </c>
      <c r="Y226" s="26" t="str">
        <f>X226</f>
        <v>0</v>
      </c>
      <c r="Z226" s="7" t="s">
        <v>65</v>
      </c>
      <c r="AA226" s="8" t="s">
        <v>66</v>
      </c>
      <c r="AB226" s="21" t="str">
        <f>MID(K226,1,1)</f>
        <v>0</v>
      </c>
      <c r="AC226" s="26" t="str">
        <f>AB226</f>
        <v>0</v>
      </c>
      <c r="AD226" s="7" t="s">
        <v>65</v>
      </c>
      <c r="AE226" s="8" t="s">
        <v>66</v>
      </c>
      <c r="AF226" s="21" t="str">
        <f>MID(L226,1,1)</f>
        <v>0</v>
      </c>
      <c r="AG226" s="26" t="str">
        <f>AF226</f>
        <v>0</v>
      </c>
      <c r="AH226" s="7" t="s">
        <v>65</v>
      </c>
      <c r="AI226" s="8" t="s">
        <v>66</v>
      </c>
      <c r="AJ226" s="400"/>
      <c r="AK226" s="401"/>
    </row>
    <row r="227" spans="3:37" x14ac:dyDescent="0.3">
      <c r="C227" s="7" t="s">
        <v>67</v>
      </c>
      <c r="D227" s="99">
        <f>HEX2DEC(D225)</f>
        <v>7</v>
      </c>
      <c r="E227" s="99">
        <f t="shared" ref="E227:L227" si="212">HEX2DEC(E225)</f>
        <v>32</v>
      </c>
      <c r="F227" s="99">
        <f t="shared" si="212"/>
        <v>4</v>
      </c>
      <c r="G227" s="99">
        <f t="shared" si="212"/>
        <v>17</v>
      </c>
      <c r="H227" s="99">
        <f t="shared" si="212"/>
        <v>0</v>
      </c>
      <c r="I227" s="99">
        <f t="shared" si="212"/>
        <v>0</v>
      </c>
      <c r="J227" s="99">
        <f t="shared" si="212"/>
        <v>0</v>
      </c>
      <c r="K227" s="99">
        <f t="shared" si="212"/>
        <v>0</v>
      </c>
      <c r="L227" s="99">
        <f t="shared" si="212"/>
        <v>0</v>
      </c>
      <c r="M227" s="99">
        <f>SUM(D227:L227)</f>
        <v>60</v>
      </c>
      <c r="N227" s="8"/>
      <c r="P227" s="21" t="str">
        <f>MID(H226,2,1)</f>
        <v>0</v>
      </c>
      <c r="Q227" s="26" t="str">
        <f t="shared" ref="Q227:Q233" si="213">P227</f>
        <v>0</v>
      </c>
      <c r="R227" s="7" t="s">
        <v>68</v>
      </c>
      <c r="S227" s="536"/>
      <c r="T227" s="21" t="str">
        <f>MID(I226,2,1)</f>
        <v>0</v>
      </c>
      <c r="U227" s="26" t="str">
        <f t="shared" ref="U227:U233" si="214">T227</f>
        <v>0</v>
      </c>
      <c r="V227" s="7" t="s">
        <v>68</v>
      </c>
      <c r="W227" s="538"/>
      <c r="X227" s="21" t="str">
        <f>MID(J226,2,1)</f>
        <v>0</v>
      </c>
      <c r="Y227" s="26" t="str">
        <f t="shared" ref="Y227:Y233" si="215">X227</f>
        <v>0</v>
      </c>
      <c r="Z227" s="7" t="s">
        <v>68</v>
      </c>
      <c r="AA227" s="8" t="s">
        <v>66</v>
      </c>
      <c r="AB227" s="21" t="str">
        <f>MID(K226,2,1)</f>
        <v>0</v>
      </c>
      <c r="AC227" s="26" t="str">
        <f t="shared" ref="AC227:AC233" si="216">AB227</f>
        <v>0</v>
      </c>
      <c r="AD227" s="7" t="s">
        <v>68</v>
      </c>
      <c r="AE227" s="8" t="s">
        <v>66</v>
      </c>
      <c r="AF227" s="21" t="str">
        <f>MID(L226,2,1)</f>
        <v>0</v>
      </c>
      <c r="AG227" s="26" t="str">
        <f t="shared" ref="AG227:AG233" si="217">AF227</f>
        <v>0</v>
      </c>
      <c r="AH227" s="7" t="s">
        <v>68</v>
      </c>
      <c r="AI227" s="8" t="s">
        <v>66</v>
      </c>
      <c r="AJ227" s="400"/>
      <c r="AK227" s="401"/>
    </row>
    <row r="228" spans="3:37" x14ac:dyDescent="0.3">
      <c r="C228" s="7" t="s">
        <v>1678</v>
      </c>
      <c r="D228" s="333" t="str">
        <f>D225</f>
        <v>07</v>
      </c>
      <c r="E228" s="333" t="str">
        <f>E225</f>
        <v>20</v>
      </c>
      <c r="F228" s="99" t="str">
        <f>MID(INDEX($A$3:$A$70,IF(ISNA(MATCH("720G4GB*",$A$3:$A$70,0))=TRUE,MATCH("7200411*",$A$3:$A$70,0),MATCH("720G4GB*",$A$3:$A$70,0))),$AS$8,2)</f>
        <v>G4</v>
      </c>
      <c r="G228" s="99" t="str">
        <f>MID(INDEX($A$3:$A$70,IF(ISNA(MATCH("720G4GB*",$A$3:$A$70,0))=TRUE,MATCH("7200411*",$A$3:$A$70,0),MATCH("720G4GB*",$A$3:$A$70,0))),$AT$8,2)</f>
        <v>GB</v>
      </c>
      <c r="N228" s="8"/>
      <c r="P228" s="21" t="str">
        <f>MID(H226,3,1)</f>
        <v>0</v>
      </c>
      <c r="Q228" s="26" t="str">
        <f t="shared" si="213"/>
        <v>0</v>
      </c>
      <c r="R228" s="7" t="s">
        <v>69</v>
      </c>
      <c r="S228" s="536"/>
      <c r="T228" s="21" t="str">
        <f>MID(I226,3,1)</f>
        <v>0</v>
      </c>
      <c r="U228" s="26" t="str">
        <f t="shared" si="214"/>
        <v>0</v>
      </c>
      <c r="V228" s="7" t="s">
        <v>69</v>
      </c>
      <c r="W228" s="538"/>
      <c r="X228" s="21" t="str">
        <f>MID(J226,3,1)</f>
        <v>0</v>
      </c>
      <c r="Y228" s="26" t="str">
        <f t="shared" si="215"/>
        <v>0</v>
      </c>
      <c r="Z228" s="7" t="s">
        <v>69</v>
      </c>
      <c r="AA228" s="8" t="s">
        <v>66</v>
      </c>
      <c r="AB228" s="21" t="str">
        <f>MID(K226,3,1)</f>
        <v>0</v>
      </c>
      <c r="AC228" s="26" t="str">
        <f t="shared" si="216"/>
        <v>0</v>
      </c>
      <c r="AD228" s="7" t="s">
        <v>69</v>
      </c>
      <c r="AE228" s="8" t="s">
        <v>66</v>
      </c>
      <c r="AF228" s="21" t="str">
        <f>MID(L226,3,1)</f>
        <v>0</v>
      </c>
      <c r="AG228" s="26" t="str">
        <f t="shared" si="217"/>
        <v>0</v>
      </c>
      <c r="AH228" s="7" t="s">
        <v>69</v>
      </c>
      <c r="AI228" s="8" t="s">
        <v>66</v>
      </c>
      <c r="AJ228" s="400"/>
      <c r="AK228" s="401"/>
    </row>
    <row r="229" spans="3:37" ht="15" thickBot="1" x14ac:dyDescent="0.35">
      <c r="C229" s="7"/>
      <c r="N229" s="8"/>
      <c r="P229" s="21" t="str">
        <f>MID(H226,4,1)</f>
        <v>0</v>
      </c>
      <c r="Q229" s="26" t="str">
        <f t="shared" si="213"/>
        <v>0</v>
      </c>
      <c r="R229" s="7" t="s">
        <v>70</v>
      </c>
      <c r="S229" s="536"/>
      <c r="T229" s="21" t="str">
        <f>MID(I226,4,1)</f>
        <v>0</v>
      </c>
      <c r="U229" s="26" t="str">
        <f t="shared" si="214"/>
        <v>0</v>
      </c>
      <c r="V229" s="7" t="s">
        <v>70</v>
      </c>
      <c r="W229" s="538"/>
      <c r="X229" s="21" t="str">
        <f>MID(J226,4,1)</f>
        <v>0</v>
      </c>
      <c r="Y229" s="26" t="str">
        <f t="shared" si="215"/>
        <v>0</v>
      </c>
      <c r="Z229" s="7" t="s">
        <v>70</v>
      </c>
      <c r="AA229" s="8" t="s">
        <v>66</v>
      </c>
      <c r="AB229" s="21" t="str">
        <f>MID(K226,4,1)</f>
        <v>0</v>
      </c>
      <c r="AC229" s="26" t="str">
        <f t="shared" si="216"/>
        <v>0</v>
      </c>
      <c r="AD229" s="7" t="s">
        <v>70</v>
      </c>
      <c r="AE229" s="8" t="s">
        <v>66</v>
      </c>
      <c r="AF229" s="21" t="str">
        <f>MID(L226,4,1)</f>
        <v>0</v>
      </c>
      <c r="AG229" s="26" t="str">
        <f t="shared" si="217"/>
        <v>0</v>
      </c>
      <c r="AH229" s="7" t="s">
        <v>70</v>
      </c>
      <c r="AI229" s="8" t="s">
        <v>66</v>
      </c>
      <c r="AJ229" s="400"/>
      <c r="AK229" s="401"/>
    </row>
    <row r="230" spans="3:37" ht="15" thickBot="1" x14ac:dyDescent="0.35">
      <c r="C230" s="7" t="s">
        <v>56</v>
      </c>
      <c r="D230" s="15" t="str">
        <f t="shared" ref="D230:G230" si="218">D225</f>
        <v>07</v>
      </c>
      <c r="E230" s="16" t="str">
        <f t="shared" si="218"/>
        <v>20</v>
      </c>
      <c r="F230" s="16" t="str">
        <f t="shared" si="218"/>
        <v>04</v>
      </c>
      <c r="G230" s="17" t="str">
        <f t="shared" si="218"/>
        <v>11</v>
      </c>
      <c r="H230" s="23" t="str">
        <f>BIN2HEX(H231,2)</f>
        <v>00</v>
      </c>
      <c r="I230" s="25" t="str">
        <f t="shared" ref="I230:L230" si="219">BIN2HEX(I231,2)</f>
        <v>00</v>
      </c>
      <c r="J230" s="24" t="str">
        <f t="shared" si="219"/>
        <v>00</v>
      </c>
      <c r="K230" s="2" t="str">
        <f t="shared" si="219"/>
        <v>00</v>
      </c>
      <c r="L230" s="18" t="str">
        <f t="shared" si="219"/>
        <v>00</v>
      </c>
      <c r="M230" s="3" t="str">
        <f>IF(LEN(M231)&gt;2,MID(M231,2,2),M231)</f>
        <v>3C</v>
      </c>
      <c r="N230" s="8" t="s">
        <v>61</v>
      </c>
      <c r="P230" s="21" t="str">
        <f>MID(H226,5,1)</f>
        <v>0</v>
      </c>
      <c r="Q230" s="26" t="str">
        <f t="shared" si="213"/>
        <v>0</v>
      </c>
      <c r="R230" s="7" t="s">
        <v>71</v>
      </c>
      <c r="S230" s="536"/>
      <c r="T230" s="21" t="str">
        <f>MID(I226,5,1)</f>
        <v>0</v>
      </c>
      <c r="U230" s="26" t="str">
        <f t="shared" si="214"/>
        <v>0</v>
      </c>
      <c r="V230" s="7" t="s">
        <v>71</v>
      </c>
      <c r="W230" s="538"/>
      <c r="X230" s="21" t="str">
        <f>MID(J226,5,1)</f>
        <v>0</v>
      </c>
      <c r="Y230" s="26" t="str">
        <f t="shared" si="215"/>
        <v>0</v>
      </c>
      <c r="Z230" s="7" t="s">
        <v>71</v>
      </c>
      <c r="AA230" s="8" t="s">
        <v>66</v>
      </c>
      <c r="AB230" s="21" t="str">
        <f>MID(K226,5,1)</f>
        <v>0</v>
      </c>
      <c r="AC230" s="26" t="str">
        <f t="shared" si="216"/>
        <v>0</v>
      </c>
      <c r="AD230" s="7" t="s">
        <v>71</v>
      </c>
      <c r="AE230" s="8" t="s">
        <v>66</v>
      </c>
      <c r="AF230" s="21" t="str">
        <f>MID(L226,5,1)</f>
        <v>0</v>
      </c>
      <c r="AG230" s="26" t="str">
        <f t="shared" si="217"/>
        <v>0</v>
      </c>
      <c r="AH230" s="7" t="s">
        <v>71</v>
      </c>
      <c r="AI230" s="8" t="s">
        <v>66</v>
      </c>
      <c r="AJ230" s="400"/>
      <c r="AK230" s="401"/>
    </row>
    <row r="231" spans="3:37" x14ac:dyDescent="0.3">
      <c r="C231" s="7" t="s">
        <v>64</v>
      </c>
      <c r="D231" s="99" t="str">
        <f>HEX2BIN(D230,8)</f>
        <v>00000111</v>
      </c>
      <c r="E231" s="99" t="str">
        <f t="shared" ref="E231:G231" si="220">HEX2BIN(E230,8)</f>
        <v>00100000</v>
      </c>
      <c r="F231" s="99" t="str">
        <f t="shared" si="220"/>
        <v>00000100</v>
      </c>
      <c r="G231" s="99" t="str">
        <f t="shared" si="220"/>
        <v>00010001</v>
      </c>
      <c r="H231" s="29" t="str">
        <f>Q226&amp;Q227&amp;Q228&amp;Q229&amp;Q230&amp;Q231&amp;Q232&amp;Q233</f>
        <v>00000000</v>
      </c>
      <c r="I231" s="99" t="str">
        <f>U226&amp;U227&amp;U228&amp;U229&amp;U230&amp;U231&amp;U232&amp;U233</f>
        <v>00000000</v>
      </c>
      <c r="J231" s="29" t="str">
        <f>Y226&amp;Y227&amp;Y228&amp;Y229&amp;Y230&amp;Y231&amp;Y232&amp;Y233</f>
        <v>00000000</v>
      </c>
      <c r="K231" s="29" t="str">
        <f>AC226&amp;AC227&amp;AC228&amp;AC229&amp;AC230&amp;AC231&amp;AC232&amp;AC233</f>
        <v>00000000</v>
      </c>
      <c r="L231" s="99" t="str">
        <f>AG226&amp;AG227&amp;AG228&amp;AG229&amp;AG230&amp;AG231&amp;AG232&amp;AG233</f>
        <v>00000000</v>
      </c>
      <c r="M231" s="99" t="str">
        <f>DEC2HEX(M232)</f>
        <v>3C</v>
      </c>
      <c r="N231" s="8"/>
      <c r="P231" s="21" t="str">
        <f>MID(H226,6,1)</f>
        <v>0</v>
      </c>
      <c r="Q231" s="26" t="str">
        <f t="shared" si="213"/>
        <v>0</v>
      </c>
      <c r="R231" s="7" t="s">
        <v>72</v>
      </c>
      <c r="S231" s="536"/>
      <c r="T231" s="21" t="str">
        <f>MID(I226,6,1)</f>
        <v>0</v>
      </c>
      <c r="U231" s="26" t="str">
        <f t="shared" si="214"/>
        <v>0</v>
      </c>
      <c r="V231" s="7" t="s">
        <v>72</v>
      </c>
      <c r="W231" s="538"/>
      <c r="X231" s="21" t="str">
        <f>MID(J226,6,1)</f>
        <v>0</v>
      </c>
      <c r="Y231" s="26" t="str">
        <f t="shared" si="215"/>
        <v>0</v>
      </c>
      <c r="Z231" s="7" t="s">
        <v>72</v>
      </c>
      <c r="AA231" s="8" t="s">
        <v>66</v>
      </c>
      <c r="AB231" s="21" t="str">
        <f>MID(K226,6,1)</f>
        <v>0</v>
      </c>
      <c r="AC231" s="26" t="str">
        <f t="shared" si="216"/>
        <v>0</v>
      </c>
      <c r="AD231" s="7" t="s">
        <v>72</v>
      </c>
      <c r="AE231" s="8" t="s">
        <v>66</v>
      </c>
      <c r="AF231" s="21" t="str">
        <f>MID(L226,6,1)</f>
        <v>0</v>
      </c>
      <c r="AG231" s="26" t="str">
        <f t="shared" si="217"/>
        <v>0</v>
      </c>
      <c r="AH231" s="7" t="s">
        <v>72</v>
      </c>
      <c r="AI231" s="8" t="s">
        <v>66</v>
      </c>
      <c r="AJ231" s="400"/>
      <c r="AK231" s="401"/>
    </row>
    <row r="232" spans="3:37" x14ac:dyDescent="0.3">
      <c r="C232" s="7" t="s">
        <v>67</v>
      </c>
      <c r="D232" s="99">
        <f>HEX2DEC(D230)</f>
        <v>7</v>
      </c>
      <c r="E232" s="99">
        <f t="shared" ref="E232:L232" si="221">HEX2DEC(E230)</f>
        <v>32</v>
      </c>
      <c r="F232" s="99">
        <f t="shared" si="221"/>
        <v>4</v>
      </c>
      <c r="G232" s="99">
        <f t="shared" si="221"/>
        <v>17</v>
      </c>
      <c r="H232" s="99">
        <f t="shared" si="221"/>
        <v>0</v>
      </c>
      <c r="I232" s="99">
        <f t="shared" si="221"/>
        <v>0</v>
      </c>
      <c r="J232" s="99">
        <f t="shared" si="221"/>
        <v>0</v>
      </c>
      <c r="K232" s="99">
        <f t="shared" si="221"/>
        <v>0</v>
      </c>
      <c r="L232" s="99">
        <f t="shared" si="221"/>
        <v>0</v>
      </c>
      <c r="M232" s="99">
        <f>SUM(D232:L232)</f>
        <v>60</v>
      </c>
      <c r="N232" s="8"/>
      <c r="P232" s="21" t="str">
        <f>MID(H226,7,1)</f>
        <v>0</v>
      </c>
      <c r="Q232" s="26" t="str">
        <f t="shared" si="213"/>
        <v>0</v>
      </c>
      <c r="R232" s="7" t="s">
        <v>73</v>
      </c>
      <c r="S232" s="536"/>
      <c r="T232" s="21" t="str">
        <f>MID(I226,7,1)</f>
        <v>0</v>
      </c>
      <c r="U232" s="26" t="str">
        <f t="shared" si="214"/>
        <v>0</v>
      </c>
      <c r="V232" s="7" t="s">
        <v>73</v>
      </c>
      <c r="W232" s="538"/>
      <c r="X232" s="21" t="str">
        <f>MID(J226,7,1)</f>
        <v>0</v>
      </c>
      <c r="Y232" s="26" t="str">
        <f t="shared" si="215"/>
        <v>0</v>
      </c>
      <c r="Z232" s="7" t="s">
        <v>73</v>
      </c>
      <c r="AA232" s="8" t="s">
        <v>66</v>
      </c>
      <c r="AB232" s="21" t="str">
        <f>MID(K226,7,1)</f>
        <v>0</v>
      </c>
      <c r="AC232" s="26" t="str">
        <f t="shared" si="216"/>
        <v>0</v>
      </c>
      <c r="AD232" s="7" t="s">
        <v>73</v>
      </c>
      <c r="AE232" s="8" t="s">
        <v>66</v>
      </c>
      <c r="AF232" s="21" t="str">
        <f>MID(L226,7,1)</f>
        <v>0</v>
      </c>
      <c r="AG232" s="26" t="str">
        <f t="shared" si="217"/>
        <v>0</v>
      </c>
      <c r="AH232" s="7" t="s">
        <v>73</v>
      </c>
      <c r="AI232" s="8" t="s">
        <v>66</v>
      </c>
      <c r="AJ232" s="400"/>
      <c r="AK232" s="401"/>
    </row>
    <row r="233" spans="3:37" ht="15" thickBot="1" x14ac:dyDescent="0.35">
      <c r="C233" s="9" t="s">
        <v>1678</v>
      </c>
      <c r="D233" s="334" t="str">
        <f>D228</f>
        <v>07</v>
      </c>
      <c r="E233" s="334" t="str">
        <f t="shared" ref="E233:G233" si="222">E228</f>
        <v>20</v>
      </c>
      <c r="F233" s="334" t="str">
        <f t="shared" si="222"/>
        <v>G4</v>
      </c>
      <c r="G233" s="334" t="str">
        <f t="shared" si="222"/>
        <v>GB</v>
      </c>
      <c r="H233" s="10"/>
      <c r="I233" s="10"/>
      <c r="J233" s="10"/>
      <c r="K233" s="10"/>
      <c r="L233" s="10"/>
      <c r="M233" s="10"/>
      <c r="N233" s="11"/>
      <c r="P233" s="22" t="str">
        <f>MID(H226,8,1)</f>
        <v>0</v>
      </c>
      <c r="Q233" s="55" t="str">
        <f t="shared" si="213"/>
        <v>0</v>
      </c>
      <c r="R233" s="9" t="s">
        <v>74</v>
      </c>
      <c r="S233" s="537"/>
      <c r="T233" s="22" t="str">
        <f>MID(I226,8,1)</f>
        <v>0</v>
      </c>
      <c r="U233" s="55" t="str">
        <f t="shared" si="214"/>
        <v>0</v>
      </c>
      <c r="V233" s="9" t="s">
        <v>74</v>
      </c>
      <c r="W233" s="539"/>
      <c r="X233" s="22" t="str">
        <f>MID(J226,8,1)</f>
        <v>0</v>
      </c>
      <c r="Y233" s="55" t="str">
        <f t="shared" si="215"/>
        <v>0</v>
      </c>
      <c r="Z233" s="9" t="s">
        <v>74</v>
      </c>
      <c r="AA233" s="11" t="s">
        <v>66</v>
      </c>
      <c r="AB233" s="22" t="str">
        <f>MID(K226,8,1)</f>
        <v>0</v>
      </c>
      <c r="AC233" s="55" t="str">
        <f t="shared" si="216"/>
        <v>0</v>
      </c>
      <c r="AD233" s="9" t="s">
        <v>74</v>
      </c>
      <c r="AE233" s="11" t="s">
        <v>66</v>
      </c>
      <c r="AF233" s="22" t="str">
        <f>MID(L226,8,1)</f>
        <v>0</v>
      </c>
      <c r="AG233" s="55" t="str">
        <f t="shared" si="217"/>
        <v>0</v>
      </c>
      <c r="AH233" s="9" t="s">
        <v>74</v>
      </c>
      <c r="AI233" s="11" t="s">
        <v>66</v>
      </c>
      <c r="AJ233" s="402"/>
      <c r="AK233" s="404"/>
    </row>
    <row r="234" spans="3:37" ht="15" thickBot="1" x14ac:dyDescent="0.35">
      <c r="C234" s="4"/>
      <c r="D234" s="5"/>
      <c r="E234" s="5"/>
      <c r="F234" s="5"/>
      <c r="G234" s="5"/>
      <c r="H234" s="5"/>
      <c r="I234" s="5"/>
      <c r="J234" s="5"/>
      <c r="K234" s="5"/>
      <c r="L234" s="5"/>
      <c r="M234" s="5" t="s">
        <v>41</v>
      </c>
      <c r="N234" s="6"/>
      <c r="P234" s="530" t="s">
        <v>422</v>
      </c>
      <c r="Q234" s="530"/>
      <c r="R234" s="530"/>
      <c r="S234" s="530"/>
      <c r="T234" s="530"/>
      <c r="U234" s="530"/>
      <c r="V234" s="530"/>
      <c r="W234" s="530"/>
      <c r="X234" s="530"/>
      <c r="Y234" s="530"/>
      <c r="Z234" s="530"/>
      <c r="AA234" s="530"/>
      <c r="AB234" s="530"/>
      <c r="AC234" s="530"/>
      <c r="AD234" s="530"/>
      <c r="AE234" s="530"/>
      <c r="AF234" s="530"/>
      <c r="AG234" s="530"/>
      <c r="AH234" s="530"/>
      <c r="AI234" s="530"/>
      <c r="AJ234" s="530"/>
      <c r="AK234" s="530"/>
    </row>
    <row r="235" spans="3:37" ht="15" thickBot="1" x14ac:dyDescent="0.35">
      <c r="C235" s="7"/>
      <c r="D235" s="393" t="s">
        <v>1512</v>
      </c>
      <c r="E235" s="393"/>
      <c r="F235" s="393"/>
      <c r="G235" s="393"/>
      <c r="H235" s="99" t="s">
        <v>44</v>
      </c>
      <c r="I235" s="99" t="s">
        <v>45</v>
      </c>
      <c r="J235" s="99" t="s">
        <v>46</v>
      </c>
      <c r="K235" s="99" t="s">
        <v>47</v>
      </c>
      <c r="L235" s="99" t="s">
        <v>48</v>
      </c>
      <c r="M235" s="99" t="s">
        <v>49</v>
      </c>
      <c r="N235" s="8"/>
      <c r="P235" s="394" t="s">
        <v>50</v>
      </c>
      <c r="Q235" s="395"/>
      <c r="R235" s="395"/>
      <c r="S235" s="396"/>
      <c r="T235" s="448" t="s">
        <v>247</v>
      </c>
      <c r="U235" s="407"/>
      <c r="V235" s="407"/>
      <c r="W235" s="408"/>
      <c r="X235" s="448" t="s">
        <v>248</v>
      </c>
      <c r="Y235" s="407"/>
      <c r="Z235" s="407"/>
      <c r="AA235" s="408"/>
      <c r="AB235" s="394" t="s">
        <v>53</v>
      </c>
      <c r="AC235" s="395"/>
      <c r="AD235" s="395"/>
      <c r="AE235" s="396"/>
      <c r="AF235" s="394" t="s">
        <v>97</v>
      </c>
      <c r="AG235" s="395"/>
      <c r="AH235" s="395"/>
      <c r="AI235" s="396"/>
      <c r="AJ235" s="448" t="s">
        <v>55</v>
      </c>
      <c r="AK235" s="408"/>
    </row>
    <row r="236" spans="3:37" ht="15" thickBot="1" x14ac:dyDescent="0.35">
      <c r="C236" s="7" t="s">
        <v>56</v>
      </c>
      <c r="D236" s="12" t="s">
        <v>57</v>
      </c>
      <c r="E236" s="13" t="s">
        <v>130</v>
      </c>
      <c r="F236" s="13" t="s">
        <v>111</v>
      </c>
      <c r="G236" s="14" t="s">
        <v>249</v>
      </c>
      <c r="H236" s="24" t="str" cm="1">
        <f t="array" ref="H236">MID(INDEX($A$3:$A$70,IF(ISNA(MATCH("720G4GC*",$A$3:$A$70,0))=TRUE,MATCH("7200412*",$A$3:$A$70,0),MATCH("720G4GC*",$A$3:$A$70,0))),$AU$8,2)</f>
        <v>00</v>
      </c>
      <c r="I236" s="42" t="str" cm="1">
        <f t="array" ref="I236">MID(INDEX($A$3:$A$70,IF(ISNA(MATCH("720G4GC*",$A$3:$A$70,0))=TRUE,MATCH("7200412*",$A$3:$A$70,0),MATCH("720G4GC*",$A$3:$A$70,0))),$AV$8,2)</f>
        <v>00</v>
      </c>
      <c r="J236" s="42" t="str" cm="1">
        <f t="array" ref="J236">MID(INDEX($A$3:$A$70,IF(ISNA(MATCH("720G4GC*",$A$3:$A$70,0))=TRUE,MATCH("7200412*",$A$3:$A$70,0),MATCH("720G4GC*",$A$3:$A$70,0))),$AW$8,2)</f>
        <v>00</v>
      </c>
      <c r="K236" s="43" t="str" cm="1">
        <f t="array" ref="K236">MID(INDEX($A$3:$A$70,IF(ISNA(MATCH("720G4GC*",$A$3:$A$70,0))=TRUE,MATCH("7200412*",$A$3:$A$70,0),MATCH("720G4GC*",$A$3:$A$70,0))),$AX$8,2)</f>
        <v>00</v>
      </c>
      <c r="L236" s="43" t="str" cm="1">
        <f t="array" ref="L236">MID(INDEX($A$3:$A$70,IF(ISNA(MATCH("720G4GC*",$A$3:$A$70,0))=TRUE,MATCH("7200412*",$A$3:$A$70,0),MATCH("720G4GC*",$A$3:$A$70,0))),$AY$8,2)</f>
        <v>00</v>
      </c>
      <c r="M236" s="44" t="str" cm="1">
        <f t="array" ref="M236">MID(INDEX($A$3:$A$70,IF(ISNA(MATCH("720G4GC*",$A$3:$A$70,0))=TRUE,MATCH("7200412*",$A$3:$A$70,0),MATCH("720G4GC*",$A$3:$A$70,0))),$AZ$8,2)</f>
        <v>3D</v>
      </c>
      <c r="N236" s="8" t="s">
        <v>60</v>
      </c>
      <c r="P236" s="19" t="s">
        <v>60</v>
      </c>
      <c r="Q236" s="20" t="s">
        <v>61</v>
      </c>
      <c r="R236" t="s">
        <v>62</v>
      </c>
      <c r="S236" s="8"/>
      <c r="T236" s="394"/>
      <c r="U236" s="395"/>
      <c r="V236" s="395"/>
      <c r="W236" s="396"/>
      <c r="X236" s="394"/>
      <c r="Y236" s="395"/>
      <c r="Z236" s="395"/>
      <c r="AA236" s="396"/>
      <c r="AB236" s="19" t="s">
        <v>60</v>
      </c>
      <c r="AC236" s="20" t="s">
        <v>61</v>
      </c>
      <c r="AD236" t="s">
        <v>62</v>
      </c>
      <c r="AE236" s="8"/>
      <c r="AF236" s="19" t="s">
        <v>60</v>
      </c>
      <c r="AG236" s="20" t="s">
        <v>61</v>
      </c>
      <c r="AH236" t="s">
        <v>62</v>
      </c>
      <c r="AJ236" s="394" t="s">
        <v>63</v>
      </c>
      <c r="AK236" s="396"/>
    </row>
    <row r="237" spans="3:37" x14ac:dyDescent="0.3">
      <c r="C237" s="7" t="s">
        <v>64</v>
      </c>
      <c r="D237" s="99" t="str">
        <f>HEX2BIN(D236,8)</f>
        <v>00000111</v>
      </c>
      <c r="E237" s="99" t="str">
        <f t="shared" ref="E237:L237" si="223">HEX2BIN(E236,8)</f>
        <v>00100000</v>
      </c>
      <c r="F237" s="99" t="str">
        <f t="shared" si="223"/>
        <v>00000100</v>
      </c>
      <c r="G237" s="99" t="str">
        <f t="shared" si="223"/>
        <v>00010010</v>
      </c>
      <c r="H237" s="99" t="str">
        <f t="shared" si="223"/>
        <v>00000000</v>
      </c>
      <c r="I237" s="99" t="str">
        <f t="shared" si="223"/>
        <v>00000000</v>
      </c>
      <c r="J237" s="99" t="str">
        <f t="shared" si="223"/>
        <v>00000000</v>
      </c>
      <c r="K237" s="99" t="str">
        <f t="shared" si="223"/>
        <v>00000000</v>
      </c>
      <c r="L237" s="99" t="str">
        <f t="shared" si="223"/>
        <v>00000000</v>
      </c>
      <c r="N237" s="8"/>
      <c r="P237" s="21" t="str">
        <f>MID(H237,1,1)</f>
        <v>0</v>
      </c>
      <c r="Q237" s="26" t="str">
        <f>P237</f>
        <v>0</v>
      </c>
      <c r="R237" s="7" t="s">
        <v>65</v>
      </c>
      <c r="S237" s="8" t="s">
        <v>66</v>
      </c>
      <c r="T237" s="400"/>
      <c r="U237" s="381"/>
      <c r="V237" s="381"/>
      <c r="W237" s="401"/>
      <c r="X237" s="400"/>
      <c r="Y237" s="381"/>
      <c r="Z237" s="381"/>
      <c r="AA237" s="401"/>
      <c r="AB237" s="21" t="str">
        <f>MID(K237,1,1)</f>
        <v>0</v>
      </c>
      <c r="AC237" s="26" t="str">
        <f>AB237</f>
        <v>0</v>
      </c>
      <c r="AD237" s="7" t="s">
        <v>65</v>
      </c>
      <c r="AE237" s="8" t="s">
        <v>66</v>
      </c>
      <c r="AF237" s="21" t="str">
        <f>MID(L237,1,1)</f>
        <v>0</v>
      </c>
      <c r="AG237" s="26" t="str">
        <f>AF237</f>
        <v>0</v>
      </c>
      <c r="AH237" s="7" t="s">
        <v>65</v>
      </c>
      <c r="AI237" s="285" t="s">
        <v>1351</v>
      </c>
      <c r="AJ237" s="400"/>
      <c r="AK237" s="401"/>
    </row>
    <row r="238" spans="3:37" x14ac:dyDescent="0.3">
      <c r="C238" s="7" t="s">
        <v>67</v>
      </c>
      <c r="D238" s="99">
        <f>HEX2DEC(D236)</f>
        <v>7</v>
      </c>
      <c r="E238" s="99">
        <f t="shared" ref="E238:L238" si="224">HEX2DEC(E236)</f>
        <v>32</v>
      </c>
      <c r="F238" s="99">
        <f t="shared" si="224"/>
        <v>4</v>
      </c>
      <c r="G238" s="99">
        <f t="shared" si="224"/>
        <v>18</v>
      </c>
      <c r="H238" s="99">
        <f t="shared" si="224"/>
        <v>0</v>
      </c>
      <c r="I238" s="99">
        <f t="shared" si="224"/>
        <v>0</v>
      </c>
      <c r="J238" s="99">
        <f t="shared" si="224"/>
        <v>0</v>
      </c>
      <c r="K238" s="99">
        <f t="shared" si="224"/>
        <v>0</v>
      </c>
      <c r="L238" s="99">
        <f t="shared" si="224"/>
        <v>0</v>
      </c>
      <c r="M238" s="99">
        <f>SUM(D238:L238)</f>
        <v>61</v>
      </c>
      <c r="N238" s="8"/>
      <c r="P238" s="21" t="str">
        <f>MID(H237,2,1)</f>
        <v>0</v>
      </c>
      <c r="Q238" s="26" t="str">
        <f t="shared" ref="Q238:Q244" si="225">P238</f>
        <v>0</v>
      </c>
      <c r="R238" s="7" t="s">
        <v>68</v>
      </c>
      <c r="S238" s="8" t="s">
        <v>66</v>
      </c>
      <c r="T238" s="400"/>
      <c r="U238" s="381"/>
      <c r="V238" s="381"/>
      <c r="W238" s="401"/>
      <c r="X238" s="400"/>
      <c r="Y238" s="381"/>
      <c r="Z238" s="381"/>
      <c r="AA238" s="401"/>
      <c r="AB238" s="21" t="str">
        <f>MID(K237,2,1)</f>
        <v>0</v>
      </c>
      <c r="AC238" s="26" t="str">
        <f t="shared" ref="AC238:AC244" si="226">AB238</f>
        <v>0</v>
      </c>
      <c r="AD238" s="7" t="s">
        <v>68</v>
      </c>
      <c r="AE238" s="8" t="s">
        <v>66</v>
      </c>
      <c r="AF238" s="21" t="str">
        <f>MID(L237,2,1)</f>
        <v>0</v>
      </c>
      <c r="AG238" s="26" t="str">
        <f t="shared" ref="AG238:AG244" si="227">AF238</f>
        <v>0</v>
      </c>
      <c r="AH238" s="7" t="s">
        <v>68</v>
      </c>
      <c r="AI238" s="8" t="s">
        <v>66</v>
      </c>
      <c r="AJ238" s="400"/>
      <c r="AK238" s="401"/>
    </row>
    <row r="239" spans="3:37" x14ac:dyDescent="0.3">
      <c r="C239" s="7" t="s">
        <v>1678</v>
      </c>
      <c r="D239" s="333" t="str">
        <f>D236</f>
        <v>07</v>
      </c>
      <c r="E239" s="333" t="str">
        <f>E236</f>
        <v>20</v>
      </c>
      <c r="F239" s="99" t="str">
        <f>MID(INDEX($A$3:$A$70,IF(ISNA(MATCH("720G4GC*",$A$3:$A$70,0))=TRUE,MATCH("7200412*",$A$3:$A$70,0),MATCH("720G4GC*",$A$3:$A$70,0))),$AS$8,2)</f>
        <v>G4</v>
      </c>
      <c r="G239" s="99" t="str">
        <f>MID(INDEX($A$3:$A$70,IF(ISNA(MATCH("720G4GC*",$A$3:$A$70,0))=TRUE,MATCH("7200412*",$A$3:$A$70,0),MATCH("720G4GC*",$A$3:$A$70,0))),$AT$8,2)</f>
        <v>GC</v>
      </c>
      <c r="N239" s="8"/>
      <c r="P239" s="21" t="str">
        <f>MID(H237,3,1)</f>
        <v>0</v>
      </c>
      <c r="Q239" s="26" t="str">
        <f t="shared" si="225"/>
        <v>0</v>
      </c>
      <c r="R239" s="7" t="s">
        <v>69</v>
      </c>
      <c r="S239" s="8" t="s">
        <v>66</v>
      </c>
      <c r="T239" s="400"/>
      <c r="U239" s="381"/>
      <c r="V239" s="381"/>
      <c r="W239" s="401"/>
      <c r="X239" s="400"/>
      <c r="Y239" s="381"/>
      <c r="Z239" s="381"/>
      <c r="AA239" s="401"/>
      <c r="AB239" s="21" t="str">
        <f>MID(K237,3,1)</f>
        <v>0</v>
      </c>
      <c r="AC239" s="26" t="str">
        <f t="shared" si="226"/>
        <v>0</v>
      </c>
      <c r="AD239" s="7" t="s">
        <v>69</v>
      </c>
      <c r="AE239" s="8" t="s">
        <v>66</v>
      </c>
      <c r="AF239" s="21" t="str">
        <f>MID(L237,3,1)</f>
        <v>0</v>
      </c>
      <c r="AG239" s="26" t="str">
        <f t="shared" si="227"/>
        <v>0</v>
      </c>
      <c r="AH239" s="7" t="s">
        <v>69</v>
      </c>
      <c r="AI239" s="8" t="s">
        <v>66</v>
      </c>
      <c r="AJ239" s="400"/>
      <c r="AK239" s="401"/>
    </row>
    <row r="240" spans="3:37" ht="15" thickBot="1" x14ac:dyDescent="0.35">
      <c r="C240" s="7"/>
      <c r="N240" s="8"/>
      <c r="P240" s="21" t="str">
        <f>MID(H237,4,1)</f>
        <v>0</v>
      </c>
      <c r="Q240" s="26" t="str">
        <f t="shared" si="225"/>
        <v>0</v>
      </c>
      <c r="R240" s="7" t="s">
        <v>70</v>
      </c>
      <c r="S240" s="8" t="s">
        <v>66</v>
      </c>
      <c r="T240" s="400"/>
      <c r="U240" s="381"/>
      <c r="V240" s="381"/>
      <c r="W240" s="401"/>
      <c r="X240" s="400"/>
      <c r="Y240" s="381"/>
      <c r="Z240" s="381"/>
      <c r="AA240" s="401"/>
      <c r="AB240" s="21" t="str">
        <f>MID(K237,4,1)</f>
        <v>0</v>
      </c>
      <c r="AC240" s="26" t="str">
        <f t="shared" si="226"/>
        <v>0</v>
      </c>
      <c r="AD240" s="7" t="s">
        <v>70</v>
      </c>
      <c r="AE240" s="8" t="s">
        <v>66</v>
      </c>
      <c r="AF240" s="21" t="str">
        <f>MID(L237,4,1)</f>
        <v>0</v>
      </c>
      <c r="AG240" s="26" t="str">
        <f t="shared" si="227"/>
        <v>0</v>
      </c>
      <c r="AH240" s="7" t="s">
        <v>70</v>
      </c>
      <c r="AI240" s="8" t="s">
        <v>66</v>
      </c>
      <c r="AJ240" s="400"/>
      <c r="AK240" s="401"/>
    </row>
    <row r="241" spans="3:37" ht="15" thickBot="1" x14ac:dyDescent="0.35">
      <c r="C241" s="7" t="s">
        <v>56</v>
      </c>
      <c r="D241" s="15" t="str">
        <f t="shared" ref="D241:G241" si="228">D236</f>
        <v>07</v>
      </c>
      <c r="E241" s="16" t="str">
        <f t="shared" si="228"/>
        <v>20</v>
      </c>
      <c r="F241" s="16" t="str">
        <f t="shared" si="228"/>
        <v>04</v>
      </c>
      <c r="G241" s="17" t="str">
        <f t="shared" si="228"/>
        <v>12</v>
      </c>
      <c r="H241" s="23" t="str">
        <f>BIN2HEX(H242,2)</f>
        <v>00</v>
      </c>
      <c r="I241" s="47" t="str">
        <f>I236</f>
        <v>00</v>
      </c>
      <c r="J241" s="48" t="str">
        <f>J236</f>
        <v>00</v>
      </c>
      <c r="K241" s="2" t="str">
        <f t="shared" ref="K241:L241" si="229">BIN2HEX(K242,2)</f>
        <v>00</v>
      </c>
      <c r="L241" s="18" t="str">
        <f t="shared" si="229"/>
        <v>00</v>
      </c>
      <c r="M241" s="3" t="str">
        <f>IF(LEN(M242)&gt;2,MID(M242,2,2),M242)</f>
        <v>3D</v>
      </c>
      <c r="N241" s="8" t="s">
        <v>61</v>
      </c>
      <c r="P241" s="21" t="str">
        <f>MID(H237,5,1)</f>
        <v>0</v>
      </c>
      <c r="Q241" s="26" t="str">
        <f t="shared" si="225"/>
        <v>0</v>
      </c>
      <c r="R241" s="7" t="s">
        <v>71</v>
      </c>
      <c r="S241" s="8" t="s">
        <v>66</v>
      </c>
      <c r="T241" s="400"/>
      <c r="U241" s="381"/>
      <c r="V241" s="381"/>
      <c r="W241" s="401"/>
      <c r="X241" s="400"/>
      <c r="Y241" s="381"/>
      <c r="Z241" s="381"/>
      <c r="AA241" s="401"/>
      <c r="AB241" s="21" t="str">
        <f>MID(K237,5,1)</f>
        <v>0</v>
      </c>
      <c r="AC241" s="26" t="str">
        <f t="shared" si="226"/>
        <v>0</v>
      </c>
      <c r="AD241" s="7" t="s">
        <v>71</v>
      </c>
      <c r="AE241" s="8" t="s">
        <v>66</v>
      </c>
      <c r="AF241" s="21" t="str">
        <f>MID(L237,5,1)</f>
        <v>0</v>
      </c>
      <c r="AG241" s="26" t="str">
        <f t="shared" si="227"/>
        <v>0</v>
      </c>
      <c r="AH241" s="7" t="s">
        <v>71</v>
      </c>
      <c r="AI241" s="8" t="s">
        <v>66</v>
      </c>
      <c r="AJ241" s="400"/>
      <c r="AK241" s="401"/>
    </row>
    <row r="242" spans="3:37" x14ac:dyDescent="0.3">
      <c r="C242" s="7" t="s">
        <v>64</v>
      </c>
      <c r="D242" s="99" t="str">
        <f>HEX2BIN(D241,8)</f>
        <v>00000111</v>
      </c>
      <c r="E242" s="99" t="str">
        <f t="shared" ref="E242:G242" si="230">HEX2BIN(E241,8)</f>
        <v>00100000</v>
      </c>
      <c r="F242" s="99" t="str">
        <f t="shared" si="230"/>
        <v>00000100</v>
      </c>
      <c r="G242" s="99" t="str">
        <f t="shared" si="230"/>
        <v>00010010</v>
      </c>
      <c r="H242" s="29" t="str">
        <f>Q237&amp;Q238&amp;Q239&amp;Q240&amp;Q241&amp;Q242&amp;Q243&amp;Q244</f>
        <v>00000000</v>
      </c>
      <c r="I242" s="99"/>
      <c r="J242" s="29"/>
      <c r="K242" s="29" t="str">
        <f>AC237&amp;AC238&amp;AC239&amp;AC240&amp;AC241&amp;AC242&amp;AC243&amp;AC244</f>
        <v>00000000</v>
      </c>
      <c r="L242" s="99" t="str">
        <f>AG237&amp;AG238&amp;AG239&amp;AG240&amp;AG241&amp;AG242&amp;AG243&amp;AG244</f>
        <v>00000000</v>
      </c>
      <c r="M242" s="99" t="str">
        <f>DEC2HEX(M243)</f>
        <v>3D</v>
      </c>
      <c r="N242" s="8"/>
      <c r="P242" s="21" t="str">
        <f>MID(H237,6,1)</f>
        <v>0</v>
      </c>
      <c r="Q242" s="26" t="str">
        <f t="shared" si="225"/>
        <v>0</v>
      </c>
      <c r="R242" s="7" t="s">
        <v>72</v>
      </c>
      <c r="S242" s="8" t="s">
        <v>66</v>
      </c>
      <c r="T242" s="400"/>
      <c r="U242" s="381"/>
      <c r="V242" s="381"/>
      <c r="W242" s="401"/>
      <c r="X242" s="400"/>
      <c r="Y242" s="381"/>
      <c r="Z242" s="381"/>
      <c r="AA242" s="401"/>
      <c r="AB242" s="21" t="str">
        <f>MID(K237,6,1)</f>
        <v>0</v>
      </c>
      <c r="AC242" s="26" t="str">
        <f t="shared" si="226"/>
        <v>0</v>
      </c>
      <c r="AD242" s="7" t="s">
        <v>72</v>
      </c>
      <c r="AE242" s="8" t="s">
        <v>66</v>
      </c>
      <c r="AF242" s="21" t="str">
        <f>MID(L237,6,1)</f>
        <v>0</v>
      </c>
      <c r="AG242" s="26" t="str">
        <f t="shared" si="227"/>
        <v>0</v>
      </c>
      <c r="AH242" s="7" t="s">
        <v>72</v>
      </c>
      <c r="AI242" s="8" t="s">
        <v>66</v>
      </c>
      <c r="AJ242" s="400"/>
      <c r="AK242" s="401"/>
    </row>
    <row r="243" spans="3:37" x14ac:dyDescent="0.3">
      <c r="C243" s="7" t="s">
        <v>67</v>
      </c>
      <c r="D243" s="99">
        <f>HEX2DEC(D241)</f>
        <v>7</v>
      </c>
      <c r="E243" s="99">
        <f t="shared" ref="E243:L243" si="231">HEX2DEC(E241)</f>
        <v>32</v>
      </c>
      <c r="F243" s="99">
        <f t="shared" si="231"/>
        <v>4</v>
      </c>
      <c r="G243" s="99">
        <f t="shared" si="231"/>
        <v>18</v>
      </c>
      <c r="H243" s="99">
        <f t="shared" si="231"/>
        <v>0</v>
      </c>
      <c r="I243" s="99">
        <f t="shared" si="231"/>
        <v>0</v>
      </c>
      <c r="J243" s="99">
        <f t="shared" si="231"/>
        <v>0</v>
      </c>
      <c r="K243" s="99">
        <f t="shared" si="231"/>
        <v>0</v>
      </c>
      <c r="L243" s="99">
        <f t="shared" si="231"/>
        <v>0</v>
      </c>
      <c r="M243" s="99">
        <f>SUM(D243:L243)</f>
        <v>61</v>
      </c>
      <c r="N243" s="8"/>
      <c r="P243" s="21" t="str">
        <f>MID(H237,7,1)</f>
        <v>0</v>
      </c>
      <c r="Q243" s="26" t="str">
        <f t="shared" si="225"/>
        <v>0</v>
      </c>
      <c r="R243" s="7" t="s">
        <v>73</v>
      </c>
      <c r="S243" s="8" t="s">
        <v>66</v>
      </c>
      <c r="T243" s="400"/>
      <c r="U243" s="381"/>
      <c r="V243" s="381"/>
      <c r="W243" s="401"/>
      <c r="X243" s="400"/>
      <c r="Y243" s="381"/>
      <c r="Z243" s="381"/>
      <c r="AA243" s="401"/>
      <c r="AB243" s="21" t="str">
        <f>MID(K237,7,1)</f>
        <v>0</v>
      </c>
      <c r="AC243" s="26" t="str">
        <f t="shared" si="226"/>
        <v>0</v>
      </c>
      <c r="AD243" s="7" t="s">
        <v>73</v>
      </c>
      <c r="AE243" s="370" t="s">
        <v>1610</v>
      </c>
      <c r="AF243" s="21" t="str">
        <f>MID(L237,7,1)</f>
        <v>0</v>
      </c>
      <c r="AG243" s="26" t="str">
        <f t="shared" si="227"/>
        <v>0</v>
      </c>
      <c r="AH243" s="7" t="s">
        <v>73</v>
      </c>
      <c r="AI243" s="8" t="s">
        <v>66</v>
      </c>
      <c r="AJ243" s="400"/>
      <c r="AK243" s="401"/>
    </row>
    <row r="244" spans="3:37" ht="15" thickBot="1" x14ac:dyDescent="0.35">
      <c r="C244" s="9" t="s">
        <v>1678</v>
      </c>
      <c r="D244" s="334" t="str">
        <f>D239</f>
        <v>07</v>
      </c>
      <c r="E244" s="334" t="str">
        <f t="shared" ref="E244:G244" si="232">E239</f>
        <v>20</v>
      </c>
      <c r="F244" s="334" t="str">
        <f t="shared" si="232"/>
        <v>G4</v>
      </c>
      <c r="G244" s="334" t="str">
        <f t="shared" si="232"/>
        <v>GC</v>
      </c>
      <c r="H244" s="10"/>
      <c r="I244" s="10"/>
      <c r="J244" s="10"/>
      <c r="K244" s="10"/>
      <c r="L244" s="10"/>
      <c r="M244" s="10"/>
      <c r="N244" s="11"/>
      <c r="P244" s="22" t="str">
        <f>MID(H237,8,1)</f>
        <v>0</v>
      </c>
      <c r="Q244" s="55" t="str">
        <f t="shared" si="225"/>
        <v>0</v>
      </c>
      <c r="R244" s="9" t="s">
        <v>74</v>
      </c>
      <c r="S244" s="11" t="s">
        <v>66</v>
      </c>
      <c r="T244" s="402"/>
      <c r="U244" s="403"/>
      <c r="V244" s="403"/>
      <c r="W244" s="404"/>
      <c r="X244" s="402"/>
      <c r="Y244" s="403"/>
      <c r="Z244" s="403"/>
      <c r="AA244" s="404"/>
      <c r="AB244" s="22" t="str">
        <f>MID(K237,8,1)</f>
        <v>0</v>
      </c>
      <c r="AC244" s="55" t="str">
        <f t="shared" si="226"/>
        <v>0</v>
      </c>
      <c r="AD244" s="9" t="s">
        <v>74</v>
      </c>
      <c r="AE244" s="287" t="s">
        <v>1695</v>
      </c>
      <c r="AF244" s="22" t="str">
        <f>MID(L237,8,1)</f>
        <v>0</v>
      </c>
      <c r="AG244" s="55" t="str">
        <f t="shared" si="227"/>
        <v>0</v>
      </c>
      <c r="AH244" s="9" t="s">
        <v>74</v>
      </c>
      <c r="AI244" s="11" t="s">
        <v>66</v>
      </c>
      <c r="AJ244" s="402"/>
      <c r="AK244" s="404"/>
    </row>
    <row r="245" spans="3:37" ht="15" thickBot="1" x14ac:dyDescent="0.35">
      <c r="C245" s="4"/>
      <c r="D245" s="5"/>
      <c r="E245" s="5"/>
      <c r="F245" s="5"/>
      <c r="G245" s="5"/>
      <c r="H245" s="5"/>
      <c r="I245" s="5"/>
      <c r="J245" s="5"/>
      <c r="K245" s="5"/>
      <c r="L245" s="5"/>
      <c r="M245" s="5" t="s">
        <v>41</v>
      </c>
      <c r="N245" s="6"/>
      <c r="P245" s="530" t="s">
        <v>423</v>
      </c>
      <c r="Q245" s="530"/>
      <c r="R245" s="530"/>
      <c r="S245" s="530"/>
      <c r="T245" s="530"/>
      <c r="U245" s="530"/>
      <c r="V245" s="530"/>
      <c r="W245" s="530"/>
      <c r="X245" s="530"/>
      <c r="Y245" s="530"/>
      <c r="Z245" s="530"/>
      <c r="AA245" s="530"/>
      <c r="AB245" s="530"/>
      <c r="AC245" s="530"/>
      <c r="AD245" s="530"/>
      <c r="AE245" s="530"/>
      <c r="AF245" s="530"/>
      <c r="AG245" s="530"/>
      <c r="AH245" s="530"/>
      <c r="AI245" s="530"/>
      <c r="AJ245" s="530"/>
      <c r="AK245" s="530"/>
    </row>
    <row r="246" spans="3:37" ht="15" thickBot="1" x14ac:dyDescent="0.35">
      <c r="C246" s="7"/>
      <c r="D246" s="393" t="s">
        <v>1513</v>
      </c>
      <c r="E246" s="393"/>
      <c r="F246" s="393"/>
      <c r="G246" s="393"/>
      <c r="H246" s="99" t="s">
        <v>44</v>
      </c>
      <c r="I246" s="99" t="s">
        <v>45</v>
      </c>
      <c r="J246" s="99" t="s">
        <v>46</v>
      </c>
      <c r="K246" s="99" t="s">
        <v>47</v>
      </c>
      <c r="L246" s="99" t="s">
        <v>48</v>
      </c>
      <c r="M246" s="99" t="s">
        <v>49</v>
      </c>
      <c r="N246" s="8"/>
      <c r="P246" s="394" t="s">
        <v>50</v>
      </c>
      <c r="Q246" s="395"/>
      <c r="R246" s="395"/>
      <c r="S246" s="396"/>
      <c r="T246" s="394" t="s">
        <v>51</v>
      </c>
      <c r="U246" s="395"/>
      <c r="V246" s="395"/>
      <c r="W246" s="396"/>
      <c r="X246" s="394" t="s">
        <v>52</v>
      </c>
      <c r="Y246" s="395"/>
      <c r="Z246" s="395"/>
      <c r="AA246" s="396"/>
      <c r="AB246" s="394" t="s">
        <v>53</v>
      </c>
      <c r="AC246" s="395"/>
      <c r="AD246" s="395"/>
      <c r="AE246" s="396"/>
      <c r="AF246" s="448" t="s">
        <v>250</v>
      </c>
      <c r="AG246" s="407"/>
      <c r="AH246" s="407"/>
      <c r="AI246" s="408"/>
      <c r="AJ246" s="448" t="s">
        <v>55</v>
      </c>
      <c r="AK246" s="408"/>
    </row>
    <row r="247" spans="3:37" ht="15" thickBot="1" x14ac:dyDescent="0.35">
      <c r="C247" s="7" t="s">
        <v>56</v>
      </c>
      <c r="D247" s="12" t="s">
        <v>57</v>
      </c>
      <c r="E247" s="13" t="s">
        <v>130</v>
      </c>
      <c r="F247" s="13" t="s">
        <v>111</v>
      </c>
      <c r="G247" s="14" t="s">
        <v>251</v>
      </c>
      <c r="H247" s="41" t="str" cm="1">
        <f t="array" ref="H247">MID(INDEX($A$3:$A$70,IF(ISNA(MATCH("720G4GD*",$A$3:$A$70,0))=TRUE,MATCH("7200413*",$A$3:$A$70,0),MATCH("720G4GD*",$A$3:$A$70,0))),$AU$8,2)</f>
        <v>00</v>
      </c>
      <c r="I247" s="42" t="str" cm="1">
        <f t="array" ref="I247">MID(INDEX($A$3:$A$70,IF(ISNA(MATCH("720G4GD*",$A$3:$A$70,0))=TRUE,MATCH("7200413*",$A$3:$A$70,0),MATCH("720G4GD*",$A$3:$A$70,0))),$AV$8,2)</f>
        <v>00</v>
      </c>
      <c r="J247" s="24" t="str" cm="1">
        <f t="array" ref="J247">MID(INDEX($A$3:$A$70,IF(ISNA(MATCH("720G4GD*",$A$3:$A$70,0))=TRUE,MATCH("7200413*",$A$3:$A$70,0),MATCH("720G4GD*",$A$3:$A$70,0))),$AW$8,2)</f>
        <v>00</v>
      </c>
      <c r="K247" s="42" t="str" cm="1">
        <f t="array" ref="K247">MID(INDEX($A$3:$A$70,IF(ISNA(MATCH("720G4GD*",$A$3:$A$70,0))=TRUE,MATCH("7200413*",$A$3:$A$70,0),MATCH("720G4GD*",$A$3:$A$70,0))),$AX$8,2)</f>
        <v>00</v>
      </c>
      <c r="L247" s="43" t="str" cm="1">
        <f t="array" ref="L247">MID(INDEX($A$3:$A$70,IF(ISNA(MATCH("720G4GD*",$A$3:$A$70,0))=TRUE,MATCH("7200413*",$A$3:$A$70,0),MATCH("720G4GD*",$A$3:$A$70,0))),$AY$8,2)</f>
        <v>00</v>
      </c>
      <c r="M247" s="44" t="str" cm="1">
        <f t="array" ref="M247">MID(INDEX($A$3:$A$70,IF(ISNA(MATCH("720G4GD*",$A$3:$A$70,0))=TRUE,MATCH("7200413*",$A$3:$A$70,0),MATCH("720G4GD*",$A$3:$A$70,0))),$AZ$8,2)</f>
        <v>3E</v>
      </c>
      <c r="N247" s="8" t="s">
        <v>60</v>
      </c>
      <c r="P247" s="19" t="s">
        <v>60</v>
      </c>
      <c r="Q247" s="20" t="s">
        <v>61</v>
      </c>
      <c r="R247" t="s">
        <v>62</v>
      </c>
      <c r="S247" s="8"/>
      <c r="T247" s="19" t="s">
        <v>60</v>
      </c>
      <c r="U247" s="20" t="s">
        <v>61</v>
      </c>
      <c r="V247" t="s">
        <v>62</v>
      </c>
      <c r="W247" s="8"/>
      <c r="X247" s="19" t="s">
        <v>60</v>
      </c>
      <c r="Y247" s="20" t="s">
        <v>61</v>
      </c>
      <c r="Z247" t="s">
        <v>62</v>
      </c>
      <c r="AA247" s="8"/>
      <c r="AB247" s="19" t="s">
        <v>60</v>
      </c>
      <c r="AC247" s="20" t="s">
        <v>61</v>
      </c>
      <c r="AD247" t="s">
        <v>62</v>
      </c>
      <c r="AE247" s="8"/>
      <c r="AF247" s="394"/>
      <c r="AG247" s="395"/>
      <c r="AH247" s="395"/>
      <c r="AI247" s="396"/>
      <c r="AJ247" s="394" t="s">
        <v>63</v>
      </c>
      <c r="AK247" s="396"/>
    </row>
    <row r="248" spans="3:37" x14ac:dyDescent="0.3">
      <c r="C248" s="7" t="s">
        <v>64</v>
      </c>
      <c r="D248" s="99" t="str">
        <f>HEX2BIN(D247,8)</f>
        <v>00000111</v>
      </c>
      <c r="E248" s="99" t="str">
        <f t="shared" ref="E248:L248" si="233">HEX2BIN(E247,8)</f>
        <v>00100000</v>
      </c>
      <c r="F248" s="99" t="str">
        <f t="shared" si="233"/>
        <v>00000100</v>
      </c>
      <c r="G248" s="99" t="str">
        <f t="shared" si="233"/>
        <v>00010011</v>
      </c>
      <c r="H248" s="99" t="str">
        <f t="shared" si="233"/>
        <v>00000000</v>
      </c>
      <c r="I248" s="99" t="str">
        <f t="shared" si="233"/>
        <v>00000000</v>
      </c>
      <c r="J248" s="99" t="str">
        <f t="shared" si="233"/>
        <v>00000000</v>
      </c>
      <c r="K248" s="99" t="str">
        <f t="shared" si="233"/>
        <v>00000000</v>
      </c>
      <c r="L248" s="99" t="str">
        <f t="shared" si="233"/>
        <v>00000000</v>
      </c>
      <c r="N248" s="8"/>
      <c r="P248" s="21" t="str">
        <f>MID(H248,1,1)</f>
        <v>0</v>
      </c>
      <c r="Q248" s="26" t="str">
        <f>P248</f>
        <v>0</v>
      </c>
      <c r="R248" s="7" t="s">
        <v>65</v>
      </c>
      <c r="S248" s="8" t="s">
        <v>66</v>
      </c>
      <c r="T248" s="21" t="str">
        <f>MID(I248,1,1)</f>
        <v>0</v>
      </c>
      <c r="U248" s="26" t="str">
        <f>T248</f>
        <v>0</v>
      </c>
      <c r="V248" s="7" t="s">
        <v>65</v>
      </c>
      <c r="W248" s="8" t="s">
        <v>66</v>
      </c>
      <c r="X248" s="21" t="str">
        <f>MID(J248,1,1)</f>
        <v>0</v>
      </c>
      <c r="Y248" s="26" t="str">
        <f>X248</f>
        <v>0</v>
      </c>
      <c r="Z248" s="7" t="s">
        <v>65</v>
      </c>
      <c r="AA248" s="8" t="s">
        <v>66</v>
      </c>
      <c r="AB248" s="21" t="str">
        <f>MID(K248,1,1)</f>
        <v>0</v>
      </c>
      <c r="AC248" s="26" t="str">
        <f>AB248</f>
        <v>0</v>
      </c>
      <c r="AD248" s="7" t="s">
        <v>65</v>
      </c>
      <c r="AE248" s="8" t="s">
        <v>66</v>
      </c>
      <c r="AF248" s="400"/>
      <c r="AG248" s="381"/>
      <c r="AH248" s="381"/>
      <c r="AI248" s="401"/>
      <c r="AJ248" s="400"/>
      <c r="AK248" s="401"/>
    </row>
    <row r="249" spans="3:37" x14ac:dyDescent="0.3">
      <c r="C249" s="7" t="s">
        <v>67</v>
      </c>
      <c r="D249" s="99">
        <f>HEX2DEC(D247)</f>
        <v>7</v>
      </c>
      <c r="E249" s="99">
        <f t="shared" ref="E249:L249" si="234">HEX2DEC(E247)</f>
        <v>32</v>
      </c>
      <c r="F249" s="99">
        <f t="shared" si="234"/>
        <v>4</v>
      </c>
      <c r="G249" s="99">
        <f t="shared" si="234"/>
        <v>19</v>
      </c>
      <c r="H249" s="99">
        <f t="shared" si="234"/>
        <v>0</v>
      </c>
      <c r="I249" s="99">
        <f t="shared" si="234"/>
        <v>0</v>
      </c>
      <c r="J249" s="99">
        <f t="shared" si="234"/>
        <v>0</v>
      </c>
      <c r="K249" s="99">
        <f t="shared" si="234"/>
        <v>0</v>
      </c>
      <c r="L249" s="99">
        <f t="shared" si="234"/>
        <v>0</v>
      </c>
      <c r="M249" s="99">
        <f>SUM(D249:L249)</f>
        <v>62</v>
      </c>
      <c r="N249" s="8"/>
      <c r="P249" s="21" t="str">
        <f>MID(H248,2,1)</f>
        <v>0</v>
      </c>
      <c r="Q249" s="26" t="str">
        <f t="shared" ref="Q249:Q255" si="235">P249</f>
        <v>0</v>
      </c>
      <c r="R249" s="7" t="s">
        <v>68</v>
      </c>
      <c r="S249" s="8" t="s">
        <v>66</v>
      </c>
      <c r="T249" s="21" t="str">
        <f>MID(I248,2,1)</f>
        <v>0</v>
      </c>
      <c r="U249" s="26" t="str">
        <f t="shared" ref="U249:U255" si="236">T249</f>
        <v>0</v>
      </c>
      <c r="V249" s="7" t="s">
        <v>68</v>
      </c>
      <c r="W249" s="8" t="s">
        <v>66</v>
      </c>
      <c r="X249" s="21" t="str">
        <f>MID(J248,2,1)</f>
        <v>0</v>
      </c>
      <c r="Y249" s="26" t="str">
        <f t="shared" ref="Y249:Y255" si="237">X249</f>
        <v>0</v>
      </c>
      <c r="Z249" s="7" t="s">
        <v>68</v>
      </c>
      <c r="AA249" s="8" t="s">
        <v>66</v>
      </c>
      <c r="AB249" s="21" t="str">
        <f>MID(K248,2,1)</f>
        <v>0</v>
      </c>
      <c r="AC249" s="26" t="str">
        <f t="shared" ref="AC249:AC255" si="238">AB249</f>
        <v>0</v>
      </c>
      <c r="AD249" s="7" t="s">
        <v>68</v>
      </c>
      <c r="AE249" s="8" t="s">
        <v>66</v>
      </c>
      <c r="AF249" s="400"/>
      <c r="AG249" s="381"/>
      <c r="AH249" s="381"/>
      <c r="AI249" s="401"/>
      <c r="AJ249" s="400"/>
      <c r="AK249" s="401"/>
    </row>
    <row r="250" spans="3:37" x14ac:dyDescent="0.3">
      <c r="C250" s="7" t="s">
        <v>1678</v>
      </c>
      <c r="D250" s="333" t="str">
        <f>D247</f>
        <v>07</v>
      </c>
      <c r="E250" s="333" t="str">
        <f>E247</f>
        <v>20</v>
      </c>
      <c r="F250" s="99" t="str">
        <f>MID(INDEX($A$3:$A$70,IF(ISNA(MATCH("720G4GD*",$A$3:$A$70,0))=TRUE,MATCH("7200413*",$A$3:$A$70,0),MATCH("720G4GD*",$A$3:$A$70,0))),$AS$8,2)</f>
        <v>G4</v>
      </c>
      <c r="G250" s="99" t="str">
        <f>MID(INDEX($A$3:$A$70,IF(ISNA(MATCH("720G4GD*",$A$3:$A$70,0))=TRUE,MATCH("7200413*",$A$3:$A$70,0),MATCH("720G4GD*",$A$3:$A$70,0))),$AT$8,2)</f>
        <v>GD</v>
      </c>
      <c r="N250" s="8"/>
      <c r="P250" s="21" t="str">
        <f>MID(H248,3,1)</f>
        <v>0</v>
      </c>
      <c r="Q250" s="26" t="str">
        <f t="shared" si="235"/>
        <v>0</v>
      </c>
      <c r="R250" s="7" t="s">
        <v>69</v>
      </c>
      <c r="S250" s="8" t="s">
        <v>66</v>
      </c>
      <c r="T250" s="21" t="str">
        <f>MID(I248,3,1)</f>
        <v>0</v>
      </c>
      <c r="U250" s="26" t="str">
        <f t="shared" si="236"/>
        <v>0</v>
      </c>
      <c r="V250" s="7" t="s">
        <v>69</v>
      </c>
      <c r="W250" s="8" t="s">
        <v>66</v>
      </c>
      <c r="X250" s="21" t="str">
        <f>MID(J248,3,1)</f>
        <v>0</v>
      </c>
      <c r="Y250" s="26" t="str">
        <f t="shared" si="237"/>
        <v>0</v>
      </c>
      <c r="Z250" s="7" t="s">
        <v>69</v>
      </c>
      <c r="AA250" s="8" t="s">
        <v>66</v>
      </c>
      <c r="AB250" s="21" t="str">
        <f>MID(K248,3,1)</f>
        <v>0</v>
      </c>
      <c r="AC250" s="26" t="str">
        <f t="shared" si="238"/>
        <v>0</v>
      </c>
      <c r="AD250" s="7" t="s">
        <v>69</v>
      </c>
      <c r="AE250" s="8" t="s">
        <v>66</v>
      </c>
      <c r="AF250" s="400"/>
      <c r="AG250" s="381"/>
      <c r="AH250" s="381"/>
      <c r="AI250" s="401"/>
      <c r="AJ250" s="400"/>
      <c r="AK250" s="401"/>
    </row>
    <row r="251" spans="3:37" ht="15" thickBot="1" x14ac:dyDescent="0.35">
      <c r="C251" s="7"/>
      <c r="N251" s="8"/>
      <c r="P251" s="21" t="str">
        <f>MID(H248,4,1)</f>
        <v>0</v>
      </c>
      <c r="Q251" s="26" t="str">
        <f t="shared" si="235"/>
        <v>0</v>
      </c>
      <c r="R251" s="7" t="s">
        <v>70</v>
      </c>
      <c r="S251" s="8" t="s">
        <v>66</v>
      </c>
      <c r="T251" s="21" t="str">
        <f>MID(I248,4,1)</f>
        <v>0</v>
      </c>
      <c r="U251" s="26" t="str">
        <f t="shared" si="236"/>
        <v>0</v>
      </c>
      <c r="V251" s="7" t="s">
        <v>70</v>
      </c>
      <c r="W251" s="8" t="s">
        <v>66</v>
      </c>
      <c r="X251" s="21" t="str">
        <f>MID(J248,4,1)</f>
        <v>0</v>
      </c>
      <c r="Y251" s="26" t="str">
        <f t="shared" si="237"/>
        <v>0</v>
      </c>
      <c r="Z251" s="7" t="s">
        <v>70</v>
      </c>
      <c r="AA251" s="8" t="s">
        <v>66</v>
      </c>
      <c r="AB251" s="21" t="str">
        <f>MID(K248,4,1)</f>
        <v>0</v>
      </c>
      <c r="AC251" s="26" t="str">
        <f t="shared" si="238"/>
        <v>0</v>
      </c>
      <c r="AD251" s="7" t="s">
        <v>70</v>
      </c>
      <c r="AE251" s="8" t="s">
        <v>66</v>
      </c>
      <c r="AF251" s="400"/>
      <c r="AG251" s="381"/>
      <c r="AH251" s="381"/>
      <c r="AI251" s="401"/>
      <c r="AJ251" s="400"/>
      <c r="AK251" s="401"/>
    </row>
    <row r="252" spans="3:37" ht="15" thickBot="1" x14ac:dyDescent="0.35">
      <c r="C252" s="7" t="s">
        <v>56</v>
      </c>
      <c r="D252" s="15" t="str">
        <f>D247</f>
        <v>07</v>
      </c>
      <c r="E252" s="16" t="str">
        <f>E247</f>
        <v>20</v>
      </c>
      <c r="F252" s="16" t="str">
        <f>F247</f>
        <v>04</v>
      </c>
      <c r="G252" s="17" t="str">
        <f>G247</f>
        <v>13</v>
      </c>
      <c r="H252" s="23" t="str">
        <f>BIN2HEX(H253,2)</f>
        <v>00</v>
      </c>
      <c r="I252" s="25" t="str">
        <f t="shared" ref="I252:K252" si="239">BIN2HEX(I253,2)</f>
        <v>00</v>
      </c>
      <c r="J252" s="24" t="str">
        <f t="shared" si="239"/>
        <v>00</v>
      </c>
      <c r="K252" s="2" t="str">
        <f t="shared" si="239"/>
        <v>00</v>
      </c>
      <c r="L252" s="49" t="str">
        <f>L247</f>
        <v>00</v>
      </c>
      <c r="M252" s="3" t="str">
        <f>IF(LEN(M253)&gt;2,MID(M253,2,2),M253)</f>
        <v>3E</v>
      </c>
      <c r="N252" s="8" t="s">
        <v>61</v>
      </c>
      <c r="P252" s="21" t="str">
        <f>MID(H248,5,1)</f>
        <v>0</v>
      </c>
      <c r="Q252" s="26" t="str">
        <f t="shared" si="235"/>
        <v>0</v>
      </c>
      <c r="R252" s="7" t="s">
        <v>71</v>
      </c>
      <c r="S252" s="8" t="s">
        <v>66</v>
      </c>
      <c r="T252" s="21" t="str">
        <f>MID(I248,5,1)</f>
        <v>0</v>
      </c>
      <c r="U252" s="26" t="str">
        <f t="shared" si="236"/>
        <v>0</v>
      </c>
      <c r="V252" s="7" t="s">
        <v>71</v>
      </c>
      <c r="W252" s="8" t="s">
        <v>66</v>
      </c>
      <c r="X252" s="21" t="str">
        <f>MID(J248,5,1)</f>
        <v>0</v>
      </c>
      <c r="Y252" s="26" t="str">
        <f t="shared" si="237"/>
        <v>0</v>
      </c>
      <c r="Z252" s="7" t="s">
        <v>71</v>
      </c>
      <c r="AA252" s="8" t="s">
        <v>66</v>
      </c>
      <c r="AB252" s="21" t="str">
        <f>MID(K248,5,1)</f>
        <v>0</v>
      </c>
      <c r="AC252" s="26" t="str">
        <f t="shared" si="238"/>
        <v>0</v>
      </c>
      <c r="AD252" s="7" t="s">
        <v>71</v>
      </c>
      <c r="AE252" s="8" t="s">
        <v>66</v>
      </c>
      <c r="AF252" s="400"/>
      <c r="AG252" s="381"/>
      <c r="AH252" s="381"/>
      <c r="AI252" s="401"/>
      <c r="AJ252" s="400"/>
      <c r="AK252" s="401"/>
    </row>
    <row r="253" spans="3:37" x14ac:dyDescent="0.3">
      <c r="C253" s="7" t="s">
        <v>64</v>
      </c>
      <c r="D253" s="99" t="str">
        <f>HEX2BIN(D252,8)</f>
        <v>00000111</v>
      </c>
      <c r="E253" s="99" t="str">
        <f t="shared" ref="E253:G253" si="240">HEX2BIN(E252,8)</f>
        <v>00100000</v>
      </c>
      <c r="F253" s="99" t="str">
        <f t="shared" si="240"/>
        <v>00000100</v>
      </c>
      <c r="G253" s="99" t="str">
        <f t="shared" si="240"/>
        <v>00010011</v>
      </c>
      <c r="H253" s="29" t="str">
        <f>Q248&amp;Q249&amp;Q250&amp;Q251&amp;Q252&amp;Q253&amp;Q254&amp;Q255</f>
        <v>00000000</v>
      </c>
      <c r="I253" s="99" t="str">
        <f>U248&amp;U249&amp;U250&amp;U251&amp;U252&amp;U253&amp;U254&amp;U255</f>
        <v>00000000</v>
      </c>
      <c r="J253" s="29" t="str">
        <f>Y248&amp;Y249&amp;Y250&amp;Y251&amp;Y252&amp;Y253&amp;Y254&amp;Y255</f>
        <v>00000000</v>
      </c>
      <c r="K253" s="29" t="str">
        <f>AC248&amp;AC249&amp;AC250&amp;AC251&amp;AC252&amp;AC253&amp;AC254&amp;AC255</f>
        <v>00000000</v>
      </c>
      <c r="L253" s="99"/>
      <c r="M253" s="99" t="str">
        <f>DEC2HEX(M254)</f>
        <v>3E</v>
      </c>
      <c r="N253" s="8"/>
      <c r="P253" s="21" t="str">
        <f>MID(H248,6,1)</f>
        <v>0</v>
      </c>
      <c r="Q253" s="26" t="str">
        <f t="shared" si="235"/>
        <v>0</v>
      </c>
      <c r="R253" s="7" t="s">
        <v>72</v>
      </c>
      <c r="S253" s="8" t="s">
        <v>66</v>
      </c>
      <c r="T253" s="21" t="str">
        <f>MID(I248,6,1)</f>
        <v>0</v>
      </c>
      <c r="U253" s="26" t="str">
        <f t="shared" si="236"/>
        <v>0</v>
      </c>
      <c r="V253" s="7" t="s">
        <v>72</v>
      </c>
      <c r="W253" s="8" t="s">
        <v>66</v>
      </c>
      <c r="X253" s="21" t="str">
        <f>MID(J248,6,1)</f>
        <v>0</v>
      </c>
      <c r="Y253" s="26" t="str">
        <f t="shared" si="237"/>
        <v>0</v>
      </c>
      <c r="Z253" s="7" t="s">
        <v>72</v>
      </c>
      <c r="AA253" s="8" t="s">
        <v>66</v>
      </c>
      <c r="AB253" s="21" t="str">
        <f>MID(K248,6,1)</f>
        <v>0</v>
      </c>
      <c r="AC253" s="26" t="str">
        <f t="shared" si="238"/>
        <v>0</v>
      </c>
      <c r="AD253" s="7" t="s">
        <v>72</v>
      </c>
      <c r="AE253" s="8" t="s">
        <v>66</v>
      </c>
      <c r="AF253" s="400"/>
      <c r="AG253" s="381"/>
      <c r="AH253" s="381"/>
      <c r="AI253" s="401"/>
      <c r="AJ253" s="400"/>
      <c r="AK253" s="401"/>
    </row>
    <row r="254" spans="3:37" x14ac:dyDescent="0.3">
      <c r="C254" s="7" t="s">
        <v>67</v>
      </c>
      <c r="D254" s="99">
        <f>HEX2DEC(D252)</f>
        <v>7</v>
      </c>
      <c r="E254" s="99">
        <f t="shared" ref="E254:L254" si="241">HEX2DEC(E252)</f>
        <v>32</v>
      </c>
      <c r="F254" s="99">
        <f t="shared" si="241"/>
        <v>4</v>
      </c>
      <c r="G254" s="99">
        <f t="shared" si="241"/>
        <v>19</v>
      </c>
      <c r="H254" s="99">
        <f t="shared" si="241"/>
        <v>0</v>
      </c>
      <c r="I254" s="99">
        <f t="shared" si="241"/>
        <v>0</v>
      </c>
      <c r="J254" s="99">
        <f t="shared" si="241"/>
        <v>0</v>
      </c>
      <c r="K254" s="99">
        <f t="shared" si="241"/>
        <v>0</v>
      </c>
      <c r="L254" s="99">
        <f t="shared" si="241"/>
        <v>0</v>
      </c>
      <c r="M254" s="99">
        <f>SUM(D254:L254)</f>
        <v>62</v>
      </c>
      <c r="N254" s="8"/>
      <c r="P254" s="21" t="str">
        <f>MID(H248,7,1)</f>
        <v>0</v>
      </c>
      <c r="Q254" s="26" t="str">
        <f t="shared" si="235"/>
        <v>0</v>
      </c>
      <c r="R254" s="7" t="s">
        <v>73</v>
      </c>
      <c r="S254" s="8" t="s">
        <v>66</v>
      </c>
      <c r="T254" s="21" t="str">
        <f>MID(I248,7,1)</f>
        <v>0</v>
      </c>
      <c r="U254" s="26" t="str">
        <f t="shared" si="236"/>
        <v>0</v>
      </c>
      <c r="V254" s="7" t="s">
        <v>73</v>
      </c>
      <c r="W254" s="8" t="s">
        <v>66</v>
      </c>
      <c r="X254" s="21" t="str">
        <f>MID(J248,7,1)</f>
        <v>0</v>
      </c>
      <c r="Y254" s="26" t="str">
        <f t="shared" si="237"/>
        <v>0</v>
      </c>
      <c r="Z254" s="7" t="s">
        <v>73</v>
      </c>
      <c r="AA254" s="8" t="s">
        <v>66</v>
      </c>
      <c r="AB254" s="21" t="str">
        <f>MID(K248,7,1)</f>
        <v>0</v>
      </c>
      <c r="AC254" s="26" t="str">
        <f t="shared" si="238"/>
        <v>0</v>
      </c>
      <c r="AD254" s="7" t="s">
        <v>73</v>
      </c>
      <c r="AE254" s="95" t="s">
        <v>252</v>
      </c>
      <c r="AF254" s="400"/>
      <c r="AG254" s="381"/>
      <c r="AH254" s="381"/>
      <c r="AI254" s="401"/>
      <c r="AJ254" s="400"/>
      <c r="AK254" s="401"/>
    </row>
    <row r="255" spans="3:37" ht="15" thickBot="1" x14ac:dyDescent="0.35">
      <c r="C255" s="9" t="s">
        <v>1678</v>
      </c>
      <c r="D255" s="334" t="str">
        <f>D250</f>
        <v>07</v>
      </c>
      <c r="E255" s="334" t="str">
        <f t="shared" ref="E255:G255" si="242">E250</f>
        <v>20</v>
      </c>
      <c r="F255" s="334" t="str">
        <f t="shared" si="242"/>
        <v>G4</v>
      </c>
      <c r="G255" s="334" t="str">
        <f t="shared" si="242"/>
        <v>GD</v>
      </c>
      <c r="H255" s="10"/>
      <c r="I255" s="10"/>
      <c r="J255" s="10"/>
      <c r="K255" s="10"/>
      <c r="L255" s="10"/>
      <c r="M255" s="10"/>
      <c r="N255" s="11"/>
      <c r="P255" s="22" t="str">
        <f>MID(H248,8,1)</f>
        <v>0</v>
      </c>
      <c r="Q255" s="55" t="str">
        <f t="shared" si="235"/>
        <v>0</v>
      </c>
      <c r="R255" s="9" t="s">
        <v>74</v>
      </c>
      <c r="S255" s="11" t="s">
        <v>66</v>
      </c>
      <c r="T255" s="22" t="str">
        <f>MID(I248,8,1)</f>
        <v>0</v>
      </c>
      <c r="U255" s="55" t="str">
        <f t="shared" si="236"/>
        <v>0</v>
      </c>
      <c r="V255" s="9" t="s">
        <v>74</v>
      </c>
      <c r="W255" s="11" t="s">
        <v>66</v>
      </c>
      <c r="X255" s="22" t="str">
        <f>MID(J248,8,1)</f>
        <v>0</v>
      </c>
      <c r="Y255" s="55" t="str">
        <f t="shared" si="237"/>
        <v>0</v>
      </c>
      <c r="Z255" s="9" t="s">
        <v>74</v>
      </c>
      <c r="AA255" s="11" t="s">
        <v>66</v>
      </c>
      <c r="AB255" s="22" t="str">
        <f>MID(K248,8,1)</f>
        <v>0</v>
      </c>
      <c r="AC255" s="55" t="str">
        <f t="shared" si="238"/>
        <v>0</v>
      </c>
      <c r="AD255" s="9" t="s">
        <v>74</v>
      </c>
      <c r="AE255" s="11" t="s">
        <v>66</v>
      </c>
      <c r="AF255" s="402"/>
      <c r="AG255" s="403"/>
      <c r="AH255" s="403"/>
      <c r="AI255" s="404"/>
      <c r="AJ255" s="402"/>
      <c r="AK255" s="404"/>
    </row>
    <row r="256" spans="3:37" ht="15" thickBot="1" x14ac:dyDescent="0.35">
      <c r="C256" s="4"/>
      <c r="D256" s="5"/>
      <c r="E256" s="5"/>
      <c r="F256" s="5"/>
      <c r="G256" s="5"/>
      <c r="H256" s="5"/>
      <c r="I256" s="5"/>
      <c r="J256" s="5"/>
      <c r="K256" s="5"/>
      <c r="L256" s="5"/>
      <c r="M256" s="5" t="s">
        <v>41</v>
      </c>
      <c r="N256" s="6"/>
      <c r="P256" s="530" t="s">
        <v>424</v>
      </c>
      <c r="Q256" s="530"/>
      <c r="R256" s="530"/>
      <c r="S256" s="530"/>
      <c r="T256" s="530"/>
      <c r="U256" s="530"/>
      <c r="V256" s="530"/>
      <c r="W256" s="530"/>
      <c r="X256" s="530"/>
      <c r="Y256" s="530"/>
      <c r="Z256" s="530"/>
      <c r="AA256" s="530"/>
      <c r="AB256" s="530"/>
      <c r="AC256" s="530"/>
      <c r="AD256" s="530"/>
      <c r="AE256" s="530"/>
      <c r="AF256" s="530"/>
      <c r="AG256" s="530"/>
      <c r="AH256" s="530"/>
      <c r="AI256" s="530"/>
      <c r="AJ256" s="530"/>
      <c r="AK256" s="530"/>
    </row>
    <row r="257" spans="3:37" ht="15" thickBot="1" x14ac:dyDescent="0.35">
      <c r="C257" s="7"/>
      <c r="D257" s="393" t="s">
        <v>1560</v>
      </c>
      <c r="E257" s="393"/>
      <c r="F257" s="393"/>
      <c r="G257" s="393"/>
      <c r="H257" s="99" t="s">
        <v>44</v>
      </c>
      <c r="I257" s="99" t="s">
        <v>45</v>
      </c>
      <c r="J257" s="99" t="s">
        <v>46</v>
      </c>
      <c r="K257" s="99" t="s">
        <v>47</v>
      </c>
      <c r="L257" s="99" t="s">
        <v>48</v>
      </c>
      <c r="M257" s="99" t="s">
        <v>49</v>
      </c>
      <c r="N257" s="8"/>
      <c r="P257" s="448" t="s">
        <v>253</v>
      </c>
      <c r="Q257" s="407"/>
      <c r="R257" s="407"/>
      <c r="S257" s="408"/>
      <c r="T257" s="394" t="s">
        <v>51</v>
      </c>
      <c r="U257" s="395"/>
      <c r="V257" s="395"/>
      <c r="W257" s="396"/>
      <c r="X257" s="394" t="s">
        <v>52</v>
      </c>
      <c r="Y257" s="395"/>
      <c r="Z257" s="395"/>
      <c r="AA257" s="396"/>
      <c r="AB257" s="394" t="s">
        <v>53</v>
      </c>
      <c r="AC257" s="395"/>
      <c r="AD257" s="395"/>
      <c r="AE257" s="396"/>
      <c r="AF257" s="394" t="s">
        <v>97</v>
      </c>
      <c r="AG257" s="395"/>
      <c r="AH257" s="395"/>
      <c r="AI257" s="396"/>
      <c r="AJ257" s="448" t="s">
        <v>55</v>
      </c>
      <c r="AK257" s="408"/>
    </row>
    <row r="258" spans="3:37" ht="15" thickBot="1" x14ac:dyDescent="0.35">
      <c r="C258" s="7" t="s">
        <v>56</v>
      </c>
      <c r="D258" s="12" t="s">
        <v>57</v>
      </c>
      <c r="E258" s="13" t="s">
        <v>130</v>
      </c>
      <c r="F258" s="13" t="s">
        <v>111</v>
      </c>
      <c r="G258" s="14" t="s">
        <v>254</v>
      </c>
      <c r="H258" s="41" t="str" cm="1">
        <f t="array" ref="H258">MID(INDEX($A$3:$A$70,IF(ISNA(MATCH("720G4GE*",$A$3:$A$70,0))=TRUE,MATCH("7200414*",$A$3:$A$70,0),MATCH("720G4GE*",$A$3:$A$70,0))),$AU$8,2)</f>
        <v>00</v>
      </c>
      <c r="I258" s="42" t="str" cm="1">
        <f t="array" ref="I258">MID(INDEX($A$3:$A$70,IF(ISNA(MATCH("720G4GE*",$A$3:$A$70,0))=TRUE,MATCH("7200414*",$A$3:$A$70,0),MATCH("720G4GE*",$A$3:$A$70,0))),$AV$8,2)</f>
        <v>00</v>
      </c>
      <c r="J258" s="24" t="str" cm="1">
        <f t="array" ref="J258">MID(INDEX($A$3:$A$70,IF(ISNA(MATCH("720G4GE*",$A$3:$A$70,0))=TRUE,MATCH("7200414*",$A$3:$A$70,0),MATCH("720G4GE*",$A$3:$A$70,0))),$AW$8,2)</f>
        <v>00</v>
      </c>
      <c r="K258" s="42" t="str" cm="1">
        <f t="array" ref="K258">MID(INDEX($A$3:$A$70,IF(ISNA(MATCH("720G4GE*",$A$3:$A$70,0))=TRUE,MATCH("7200414*",$A$3:$A$70,0),MATCH("720G4GE*",$A$3:$A$70,0))),$AX$8,2)</f>
        <v>00</v>
      </c>
      <c r="L258" s="43" t="str" cm="1">
        <f t="array" ref="L258">MID(INDEX($A$3:$A$70,IF(ISNA(MATCH("720G4GE*",$A$3:$A$70,0))=TRUE,MATCH("7200414*",$A$3:$A$70,0),MATCH("720G4GE*",$A$3:$A$70,0))),$AY$8,2)</f>
        <v>00</v>
      </c>
      <c r="M258" s="44" t="str" cm="1">
        <f t="array" ref="M258">MID(INDEX($A$3:$A$70,IF(ISNA(MATCH("720G4GE*",$A$3:$A$70,0))=TRUE,MATCH("7200414*",$A$3:$A$70,0),MATCH("720G4GE*",$A$3:$A$70,0))),$AZ$8,2)</f>
        <v>3F</v>
      </c>
      <c r="N258" s="8" t="s">
        <v>60</v>
      </c>
      <c r="P258" s="394"/>
      <c r="Q258" s="395"/>
      <c r="R258" s="395"/>
      <c r="S258" s="396"/>
      <c r="T258" s="19" t="s">
        <v>60</v>
      </c>
      <c r="U258" s="20" t="s">
        <v>61</v>
      </c>
      <c r="V258" t="s">
        <v>62</v>
      </c>
      <c r="W258" s="8"/>
      <c r="X258" s="19" t="s">
        <v>60</v>
      </c>
      <c r="Y258" s="20" t="s">
        <v>61</v>
      </c>
      <c r="Z258" t="s">
        <v>62</v>
      </c>
      <c r="AA258" s="8"/>
      <c r="AB258" s="19" t="s">
        <v>60</v>
      </c>
      <c r="AC258" s="20" t="s">
        <v>61</v>
      </c>
      <c r="AD258" t="s">
        <v>62</v>
      </c>
      <c r="AE258" s="8"/>
      <c r="AF258" s="19" t="s">
        <v>60</v>
      </c>
      <c r="AG258" s="20" t="s">
        <v>61</v>
      </c>
      <c r="AH258" t="s">
        <v>62</v>
      </c>
      <c r="AJ258" s="394" t="s">
        <v>63</v>
      </c>
      <c r="AK258" s="396"/>
    </row>
    <row r="259" spans="3:37" x14ac:dyDescent="0.3">
      <c r="C259" s="7" t="s">
        <v>64</v>
      </c>
      <c r="D259" s="99" t="str">
        <f t="shared" ref="D259:E259" si="243">HEX2BIN(D258,8)</f>
        <v>00000111</v>
      </c>
      <c r="E259" s="99" t="str">
        <f t="shared" si="243"/>
        <v>00100000</v>
      </c>
      <c r="F259" s="99" t="str">
        <f>HEX2BIN(F258,8)</f>
        <v>00000100</v>
      </c>
      <c r="G259" s="99" t="str">
        <f t="shared" ref="G259:L259" si="244">HEX2BIN(G258,8)</f>
        <v>00010100</v>
      </c>
      <c r="H259" s="99" t="str">
        <f t="shared" si="244"/>
        <v>00000000</v>
      </c>
      <c r="I259" s="99" t="str">
        <f t="shared" si="244"/>
        <v>00000000</v>
      </c>
      <c r="J259" s="99" t="str">
        <f t="shared" si="244"/>
        <v>00000000</v>
      </c>
      <c r="K259" s="99" t="str">
        <f t="shared" si="244"/>
        <v>00000000</v>
      </c>
      <c r="L259" s="99" t="str">
        <f t="shared" si="244"/>
        <v>00000000</v>
      </c>
      <c r="M259" s="99"/>
      <c r="N259" s="8"/>
      <c r="P259" s="400"/>
      <c r="Q259" s="381"/>
      <c r="R259" s="381"/>
      <c r="S259" s="401"/>
      <c r="T259" s="21" t="str">
        <f>MID(I259,1,1)</f>
        <v>0</v>
      </c>
      <c r="U259" s="26" t="str">
        <f>T259</f>
        <v>0</v>
      </c>
      <c r="V259" s="7" t="s">
        <v>65</v>
      </c>
      <c r="W259" s="8" t="s">
        <v>66</v>
      </c>
      <c r="X259" s="21" t="str">
        <f>MID(J259,1,1)</f>
        <v>0</v>
      </c>
      <c r="Y259" s="26" t="str">
        <f>X259</f>
        <v>0</v>
      </c>
      <c r="Z259" s="7" t="s">
        <v>65</v>
      </c>
      <c r="AA259" s="8" t="s">
        <v>66</v>
      </c>
      <c r="AB259" s="21" t="str">
        <f>MID(K259,1,1)</f>
        <v>0</v>
      </c>
      <c r="AC259" s="26" t="str">
        <f>AB259</f>
        <v>0</v>
      </c>
      <c r="AD259" s="7" t="s">
        <v>65</v>
      </c>
      <c r="AE259" s="8" t="s">
        <v>66</v>
      </c>
      <c r="AF259" s="21" t="str">
        <f>MID(L259,1,1)</f>
        <v>0</v>
      </c>
      <c r="AG259" s="26" t="str">
        <f>AF259</f>
        <v>0</v>
      </c>
      <c r="AH259" s="7" t="s">
        <v>65</v>
      </c>
      <c r="AI259" s="8" t="s">
        <v>66</v>
      </c>
      <c r="AJ259" s="400"/>
      <c r="AK259" s="401"/>
    </row>
    <row r="260" spans="3:37" ht="15" customHeight="1" x14ac:dyDescent="0.3">
      <c r="C260" s="7" t="s">
        <v>67</v>
      </c>
      <c r="D260" s="99">
        <f>HEX2DEC(D258)</f>
        <v>7</v>
      </c>
      <c r="E260" s="99">
        <f t="shared" ref="E260:L260" si="245">HEX2DEC(E258)</f>
        <v>32</v>
      </c>
      <c r="F260" s="99">
        <f t="shared" si="245"/>
        <v>4</v>
      </c>
      <c r="G260" s="99">
        <f t="shared" si="245"/>
        <v>20</v>
      </c>
      <c r="H260" s="99">
        <f t="shared" si="245"/>
        <v>0</v>
      </c>
      <c r="I260" s="99">
        <f t="shared" si="245"/>
        <v>0</v>
      </c>
      <c r="J260" s="99">
        <f t="shared" si="245"/>
        <v>0</v>
      </c>
      <c r="K260" s="99">
        <f t="shared" si="245"/>
        <v>0</v>
      </c>
      <c r="L260" s="99">
        <f t="shared" si="245"/>
        <v>0</v>
      </c>
      <c r="M260" s="99">
        <f>SUM(D260:L260)</f>
        <v>63</v>
      </c>
      <c r="N260" s="8"/>
      <c r="P260" s="400"/>
      <c r="Q260" s="381"/>
      <c r="R260" s="381"/>
      <c r="S260" s="401"/>
      <c r="T260" s="21" t="str">
        <f>MID(I259,2,1)</f>
        <v>0</v>
      </c>
      <c r="U260" s="26" t="str">
        <f t="shared" ref="U260:U266" si="246">T260</f>
        <v>0</v>
      </c>
      <c r="V260" s="7" t="s">
        <v>68</v>
      </c>
      <c r="W260" s="465" t="s">
        <v>1621</v>
      </c>
      <c r="X260" s="21" t="str">
        <f>MID(J259,2,1)</f>
        <v>0</v>
      </c>
      <c r="Y260" s="26" t="str">
        <f t="shared" ref="Y260:Y266" si="247">X260</f>
        <v>0</v>
      </c>
      <c r="Z260" s="7" t="s">
        <v>68</v>
      </c>
      <c r="AA260" s="8" t="s">
        <v>66</v>
      </c>
      <c r="AB260" s="21" t="str">
        <f>MID(K259,2,1)</f>
        <v>0</v>
      </c>
      <c r="AC260" s="26" t="str">
        <f t="shared" ref="AC260:AC266" si="248">AB260</f>
        <v>0</v>
      </c>
      <c r="AD260" s="7" t="s">
        <v>68</v>
      </c>
      <c r="AE260" s="8" t="s">
        <v>66</v>
      </c>
      <c r="AF260" s="21" t="str">
        <f>MID(L259,2,1)</f>
        <v>0</v>
      </c>
      <c r="AG260" s="26" t="str">
        <f t="shared" ref="AG260:AG266" si="249">AF260</f>
        <v>0</v>
      </c>
      <c r="AH260" s="7" t="s">
        <v>68</v>
      </c>
      <c r="AI260" s="8" t="s">
        <v>66</v>
      </c>
      <c r="AJ260" s="400"/>
      <c r="AK260" s="401"/>
    </row>
    <row r="261" spans="3:37" ht="15" customHeight="1" x14ac:dyDescent="0.3">
      <c r="C261" s="7" t="s">
        <v>1678</v>
      </c>
      <c r="D261" s="333" t="str">
        <f>D258</f>
        <v>07</v>
      </c>
      <c r="E261" s="333" t="str">
        <f>E258</f>
        <v>20</v>
      </c>
      <c r="F261" s="99" t="str">
        <f>MID(INDEX($A$3:$A$70,IF(ISNA(MATCH("720G4GE*",$A$3:$A$70,0))=TRUE,MATCH("7200414*",$A$3:$A$70,0),MATCH("720G4GE*",$A$3:$A$70,0))),$AS$8,2)</f>
        <v>G4</v>
      </c>
      <c r="G261" s="99" t="str">
        <f>MID(INDEX($A$3:$A$70,IF(ISNA(MATCH("720G4GE*",$A$3:$A$70,0))=TRUE,MATCH("7200414*",$A$3:$A$70,0),MATCH("720G4GE*",$A$3:$A$70,0))),$AT$8,2)</f>
        <v>GE</v>
      </c>
      <c r="N261" s="8"/>
      <c r="P261" s="400"/>
      <c r="Q261" s="381"/>
      <c r="R261" s="381"/>
      <c r="S261" s="401"/>
      <c r="T261" s="21" t="str">
        <f>MID(I259,3,1)</f>
        <v>0</v>
      </c>
      <c r="U261" s="26" t="str">
        <f t="shared" si="246"/>
        <v>0</v>
      </c>
      <c r="V261" s="7" t="s">
        <v>69</v>
      </c>
      <c r="W261" s="540"/>
      <c r="X261" s="21" t="str">
        <f>MID(J259,3,1)</f>
        <v>0</v>
      </c>
      <c r="Y261" s="26" t="str">
        <f t="shared" si="247"/>
        <v>0</v>
      </c>
      <c r="Z261" s="7" t="s">
        <v>69</v>
      </c>
      <c r="AA261" s="8" t="s">
        <v>66</v>
      </c>
      <c r="AB261" s="21" t="str">
        <f>MID(K259,3,1)</f>
        <v>0</v>
      </c>
      <c r="AC261" s="26" t="str">
        <f t="shared" si="248"/>
        <v>0</v>
      </c>
      <c r="AD261" s="7" t="s">
        <v>69</v>
      </c>
      <c r="AE261" s="8" t="s">
        <v>66</v>
      </c>
      <c r="AF261" s="21" t="str">
        <f>MID(L259,3,1)</f>
        <v>0</v>
      </c>
      <c r="AG261" s="26" t="str">
        <f t="shared" si="249"/>
        <v>0</v>
      </c>
      <c r="AH261" s="7" t="s">
        <v>69</v>
      </c>
      <c r="AI261" s="285" t="s">
        <v>1352</v>
      </c>
      <c r="AJ261" s="400"/>
      <c r="AK261" s="401"/>
    </row>
    <row r="262" spans="3:37" ht="15" thickBot="1" x14ac:dyDescent="0.35">
      <c r="C262" s="7"/>
      <c r="N262" s="8"/>
      <c r="P262" s="400"/>
      <c r="Q262" s="381"/>
      <c r="R262" s="381"/>
      <c r="S262" s="401"/>
      <c r="T262" s="21" t="str">
        <f>MID(I259,4,1)</f>
        <v>0</v>
      </c>
      <c r="U262" s="26" t="str">
        <f t="shared" si="246"/>
        <v>0</v>
      </c>
      <c r="V262" s="7" t="s">
        <v>70</v>
      </c>
      <c r="W262" s="541"/>
      <c r="X262" s="21" t="str">
        <f>MID(J259,4,1)</f>
        <v>0</v>
      </c>
      <c r="Y262" s="26" t="str">
        <f t="shared" si="247"/>
        <v>0</v>
      </c>
      <c r="Z262" s="7" t="s">
        <v>70</v>
      </c>
      <c r="AA262" s="8" t="s">
        <v>66</v>
      </c>
      <c r="AB262" s="21" t="str">
        <f>MID(K259,4,1)</f>
        <v>0</v>
      </c>
      <c r="AC262" s="26" t="str">
        <f t="shared" si="248"/>
        <v>0</v>
      </c>
      <c r="AD262" s="7" t="s">
        <v>70</v>
      </c>
      <c r="AE262" s="8" t="s">
        <v>66</v>
      </c>
      <c r="AF262" s="21" t="str">
        <f>MID(L259,4,1)</f>
        <v>0</v>
      </c>
      <c r="AG262" s="26" t="str">
        <f t="shared" si="249"/>
        <v>0</v>
      </c>
      <c r="AH262" s="7" t="s">
        <v>70</v>
      </c>
      <c r="AI262" s="8" t="s">
        <v>66</v>
      </c>
      <c r="AJ262" s="400"/>
      <c r="AK262" s="401"/>
    </row>
    <row r="263" spans="3:37" ht="15" thickBot="1" x14ac:dyDescent="0.35">
      <c r="C263" s="7" t="s">
        <v>56</v>
      </c>
      <c r="D263" s="15" t="str">
        <f>D258</f>
        <v>07</v>
      </c>
      <c r="E263" s="16" t="str">
        <f>E258</f>
        <v>20</v>
      </c>
      <c r="F263" s="16" t="str">
        <f>F258</f>
        <v>04</v>
      </c>
      <c r="G263" s="17" t="str">
        <f>G258</f>
        <v>14</v>
      </c>
      <c r="H263" s="50" t="str">
        <f>H258</f>
        <v>00</v>
      </c>
      <c r="I263" s="25" t="str">
        <f t="shared" ref="I263:L263" si="250">BIN2HEX(I264,2)</f>
        <v>00</v>
      </c>
      <c r="J263" s="24" t="str">
        <f t="shared" si="250"/>
        <v>00</v>
      </c>
      <c r="K263" s="2" t="str">
        <f t="shared" si="250"/>
        <v>00</v>
      </c>
      <c r="L263" s="18" t="str">
        <f t="shared" si="250"/>
        <v>00</v>
      </c>
      <c r="M263" s="3" t="str">
        <f>IF(LEN(M264)&gt;2,MID(M264,2,2),M264)</f>
        <v>3F</v>
      </c>
      <c r="N263" s="8" t="s">
        <v>61</v>
      </c>
      <c r="P263" s="400"/>
      <c r="Q263" s="381"/>
      <c r="R263" s="381"/>
      <c r="S263" s="401"/>
      <c r="T263" s="21" t="str">
        <f>MID(I259,5,1)</f>
        <v>0</v>
      </c>
      <c r="U263" s="26" t="str">
        <f t="shared" si="246"/>
        <v>0</v>
      </c>
      <c r="V263" s="7" t="s">
        <v>71</v>
      </c>
      <c r="W263" s="8" t="s">
        <v>66</v>
      </c>
      <c r="X263" s="21" t="str">
        <f>MID(J259,5,1)</f>
        <v>0</v>
      </c>
      <c r="Y263" s="26" t="str">
        <f t="shared" si="247"/>
        <v>0</v>
      </c>
      <c r="Z263" s="7" t="s">
        <v>71</v>
      </c>
      <c r="AA263" s="8" t="s">
        <v>66</v>
      </c>
      <c r="AB263" s="21" t="str">
        <f>MID(K259,5,1)</f>
        <v>0</v>
      </c>
      <c r="AC263" s="26" t="str">
        <f t="shared" si="248"/>
        <v>0</v>
      </c>
      <c r="AD263" s="7" t="s">
        <v>71</v>
      </c>
      <c r="AE263" s="8" t="s">
        <v>66</v>
      </c>
      <c r="AF263" s="21" t="str">
        <f>MID(L259,5,1)</f>
        <v>0</v>
      </c>
      <c r="AG263" s="26" t="str">
        <f t="shared" si="249"/>
        <v>0</v>
      </c>
      <c r="AH263" s="7" t="s">
        <v>71</v>
      </c>
      <c r="AI263" s="285" t="s">
        <v>1353</v>
      </c>
      <c r="AJ263" s="400"/>
      <c r="AK263" s="401"/>
    </row>
    <row r="264" spans="3:37" x14ac:dyDescent="0.3">
      <c r="C264" s="7" t="s">
        <v>64</v>
      </c>
      <c r="D264" s="99" t="str">
        <f>HEX2BIN(D263,8)</f>
        <v>00000111</v>
      </c>
      <c r="E264" s="99" t="str">
        <f t="shared" ref="E264:G264" si="251">HEX2BIN(E263,8)</f>
        <v>00100000</v>
      </c>
      <c r="F264" s="99" t="str">
        <f t="shared" si="251"/>
        <v>00000100</v>
      </c>
      <c r="G264" s="99" t="str">
        <f t="shared" si="251"/>
        <v>00010100</v>
      </c>
      <c r="H264" s="29"/>
      <c r="I264" s="99" t="str">
        <f>U259&amp;U260&amp;U261&amp;U262&amp;U263&amp;U264&amp;U265&amp;U266</f>
        <v>00000000</v>
      </c>
      <c r="J264" s="29" t="str">
        <f>Y259&amp;Y260&amp;Y261&amp;Y262&amp;Y263&amp;Y264&amp;Y265&amp;Y266</f>
        <v>00000000</v>
      </c>
      <c r="K264" s="29" t="str">
        <f>AC259&amp;AC260&amp;AC261&amp;AC262&amp;AC263&amp;AC264&amp;AC265&amp;AC266</f>
        <v>00000000</v>
      </c>
      <c r="L264" s="99" t="str">
        <f>AG259&amp;AG260&amp;AG261&amp;AG262&amp;AG263&amp;AG264&amp;AG265&amp;AG266</f>
        <v>00000000</v>
      </c>
      <c r="M264" s="99" t="str">
        <f>DEC2HEX(M265)</f>
        <v>3F</v>
      </c>
      <c r="N264" s="8"/>
      <c r="P264" s="400"/>
      <c r="Q264" s="381"/>
      <c r="R264" s="381"/>
      <c r="S264" s="401"/>
      <c r="T264" s="21" t="str">
        <f>MID(I259,6,1)</f>
        <v>0</v>
      </c>
      <c r="U264" s="26" t="str">
        <f t="shared" si="246"/>
        <v>0</v>
      </c>
      <c r="V264" s="7" t="s">
        <v>72</v>
      </c>
      <c r="W264" s="8" t="s">
        <v>66</v>
      </c>
      <c r="X264" s="21" t="str">
        <f>MID(J259,6,1)</f>
        <v>0</v>
      </c>
      <c r="Y264" s="26" t="str">
        <f t="shared" si="247"/>
        <v>0</v>
      </c>
      <c r="Z264" s="7" t="s">
        <v>72</v>
      </c>
      <c r="AA264" s="8" t="s">
        <v>66</v>
      </c>
      <c r="AB264" s="21" t="str">
        <f>MID(K259,6,1)</f>
        <v>0</v>
      </c>
      <c r="AC264" s="26" t="str">
        <f t="shared" si="248"/>
        <v>0</v>
      </c>
      <c r="AD264" s="7" t="s">
        <v>72</v>
      </c>
      <c r="AE264" s="8" t="s">
        <v>66</v>
      </c>
      <c r="AF264" s="21" t="str">
        <f>MID(L259,6,1)</f>
        <v>0</v>
      </c>
      <c r="AG264" s="26" t="str">
        <f t="shared" si="249"/>
        <v>0</v>
      </c>
      <c r="AH264" s="7" t="s">
        <v>72</v>
      </c>
      <c r="AI264" s="8" t="s">
        <v>66</v>
      </c>
      <c r="AJ264" s="400"/>
      <c r="AK264" s="401"/>
    </row>
    <row r="265" spans="3:37" ht="15" customHeight="1" x14ac:dyDescent="0.3">
      <c r="C265" s="7" t="s">
        <v>67</v>
      </c>
      <c r="D265" s="99">
        <f>HEX2DEC(D263)</f>
        <v>7</v>
      </c>
      <c r="E265" s="99">
        <f t="shared" ref="E265:H265" si="252">HEX2DEC(E263)</f>
        <v>32</v>
      </c>
      <c r="F265" s="99">
        <f t="shared" si="252"/>
        <v>4</v>
      </c>
      <c r="G265" s="99">
        <f t="shared" si="252"/>
        <v>20</v>
      </c>
      <c r="H265" s="99">
        <f t="shared" si="252"/>
        <v>0</v>
      </c>
      <c r="I265" s="99">
        <f>HEX2DEC(I263)</f>
        <v>0</v>
      </c>
      <c r="J265" s="99">
        <f t="shared" ref="J265:L265" si="253">HEX2DEC(J263)</f>
        <v>0</v>
      </c>
      <c r="K265" s="99">
        <f t="shared" si="253"/>
        <v>0</v>
      </c>
      <c r="L265" s="99">
        <f t="shared" si="253"/>
        <v>0</v>
      </c>
      <c r="M265" s="99">
        <f>SUM(D265:L265)</f>
        <v>63</v>
      </c>
      <c r="N265" s="8"/>
      <c r="P265" s="400"/>
      <c r="Q265" s="381"/>
      <c r="R265" s="381"/>
      <c r="S265" s="401"/>
      <c r="T265" s="21" t="str">
        <f>MID(I259,7,1)</f>
        <v>0</v>
      </c>
      <c r="U265" s="26" t="str">
        <f t="shared" si="246"/>
        <v>0</v>
      </c>
      <c r="V265" s="7" t="s">
        <v>73</v>
      </c>
      <c r="W265" s="8" t="s">
        <v>66</v>
      </c>
      <c r="X265" s="21" t="str">
        <f>MID(J259,7,1)</f>
        <v>0</v>
      </c>
      <c r="Y265" s="26" t="str">
        <f t="shared" si="247"/>
        <v>0</v>
      </c>
      <c r="Z265" s="7" t="s">
        <v>73</v>
      </c>
      <c r="AA265" s="8" t="s">
        <v>66</v>
      </c>
      <c r="AB265" s="21" t="str">
        <f>MID(K259,7,1)</f>
        <v>0</v>
      </c>
      <c r="AC265" s="26" t="str">
        <f t="shared" si="248"/>
        <v>0</v>
      </c>
      <c r="AD265" s="7" t="s">
        <v>73</v>
      </c>
      <c r="AE265" s="542" t="s">
        <v>1797</v>
      </c>
      <c r="AF265" s="21" t="str">
        <f>MID(L259,7,1)</f>
        <v>0</v>
      </c>
      <c r="AG265" s="26" t="str">
        <f t="shared" si="249"/>
        <v>0</v>
      </c>
      <c r="AH265" s="7" t="s">
        <v>73</v>
      </c>
      <c r="AI265" s="8" t="s">
        <v>66</v>
      </c>
      <c r="AJ265" s="400"/>
      <c r="AK265" s="401"/>
    </row>
    <row r="266" spans="3:37" ht="15" thickBot="1" x14ac:dyDescent="0.35">
      <c r="C266" s="9" t="s">
        <v>1678</v>
      </c>
      <c r="D266" s="334" t="str">
        <f>D261</f>
        <v>07</v>
      </c>
      <c r="E266" s="334" t="str">
        <f t="shared" ref="E266:G266" si="254">E261</f>
        <v>20</v>
      </c>
      <c r="F266" s="334" t="str">
        <f t="shared" si="254"/>
        <v>G4</v>
      </c>
      <c r="G266" s="334" t="str">
        <f t="shared" si="254"/>
        <v>GE</v>
      </c>
      <c r="H266" s="10"/>
      <c r="I266" s="10"/>
      <c r="J266" s="10"/>
      <c r="K266" s="10"/>
      <c r="L266" s="10"/>
      <c r="M266" s="10"/>
      <c r="N266" s="11"/>
      <c r="P266" s="402"/>
      <c r="Q266" s="403"/>
      <c r="R266" s="403"/>
      <c r="S266" s="404"/>
      <c r="T266" s="22" t="str">
        <f>MID(I259,8,1)</f>
        <v>0</v>
      </c>
      <c r="U266" s="55" t="str">
        <f t="shared" si="246"/>
        <v>0</v>
      </c>
      <c r="V266" s="9" t="s">
        <v>74</v>
      </c>
      <c r="W266" s="11" t="s">
        <v>66</v>
      </c>
      <c r="X266" s="22" t="str">
        <f>MID(J259,8,1)</f>
        <v>0</v>
      </c>
      <c r="Y266" s="55" t="str">
        <f t="shared" si="247"/>
        <v>0</v>
      </c>
      <c r="Z266" s="9" t="s">
        <v>74</v>
      </c>
      <c r="AA266" s="11" t="s">
        <v>66</v>
      </c>
      <c r="AB266" s="22" t="str">
        <f>MID(K259,8,1)</f>
        <v>0</v>
      </c>
      <c r="AC266" s="55" t="str">
        <f t="shared" si="248"/>
        <v>0</v>
      </c>
      <c r="AD266" s="9" t="s">
        <v>74</v>
      </c>
      <c r="AE266" s="543"/>
      <c r="AF266" s="22" t="str">
        <f>MID(L259,8,1)</f>
        <v>0</v>
      </c>
      <c r="AG266" s="55" t="str">
        <f t="shared" si="249"/>
        <v>0</v>
      </c>
      <c r="AH266" s="9" t="s">
        <v>74</v>
      </c>
      <c r="AI266" s="11" t="s">
        <v>66</v>
      </c>
      <c r="AJ266" s="402"/>
      <c r="AK266" s="404"/>
    </row>
    <row r="267" spans="3:37" ht="15" thickBot="1" x14ac:dyDescent="0.35">
      <c r="C267" s="4"/>
      <c r="D267" s="5"/>
      <c r="E267" s="5"/>
      <c r="F267" s="5"/>
      <c r="G267" s="5"/>
      <c r="H267" s="5"/>
      <c r="I267" s="5"/>
      <c r="J267" s="5"/>
      <c r="K267" s="5"/>
      <c r="L267" s="5"/>
      <c r="M267" s="5" t="s">
        <v>41</v>
      </c>
      <c r="N267" s="6"/>
      <c r="P267" s="530" t="s">
        <v>425</v>
      </c>
      <c r="Q267" s="530"/>
      <c r="R267" s="530"/>
      <c r="S267" s="530"/>
      <c r="T267" s="530"/>
      <c r="U267" s="530"/>
      <c r="V267" s="530"/>
      <c r="W267" s="530"/>
      <c r="X267" s="530"/>
      <c r="Y267" s="530"/>
      <c r="Z267" s="530"/>
      <c r="AA267" s="530"/>
      <c r="AB267" s="530"/>
      <c r="AC267" s="530"/>
      <c r="AD267" s="530"/>
      <c r="AE267" s="530"/>
      <c r="AF267" s="530"/>
      <c r="AG267" s="530"/>
      <c r="AH267" s="530"/>
      <c r="AI267" s="530"/>
      <c r="AJ267" s="530"/>
      <c r="AK267" s="530"/>
    </row>
    <row r="268" spans="3:37" ht="15" thickBot="1" x14ac:dyDescent="0.35">
      <c r="C268" s="7"/>
      <c r="D268" s="393" t="s">
        <v>1514</v>
      </c>
      <c r="E268" s="393"/>
      <c r="F268" s="393"/>
      <c r="G268" s="393"/>
      <c r="H268" s="99" t="s">
        <v>44</v>
      </c>
      <c r="I268" s="99" t="s">
        <v>45</v>
      </c>
      <c r="J268" s="99" t="s">
        <v>46</v>
      </c>
      <c r="K268" s="99" t="s">
        <v>47</v>
      </c>
      <c r="L268" s="99" t="s">
        <v>48</v>
      </c>
      <c r="M268" s="99" t="s">
        <v>49</v>
      </c>
      <c r="N268" s="8"/>
      <c r="P268" s="394" t="s">
        <v>50</v>
      </c>
      <c r="Q268" s="395"/>
      <c r="R268" s="395"/>
      <c r="S268" s="396"/>
      <c r="T268" s="394" t="s">
        <v>51</v>
      </c>
      <c r="U268" s="395"/>
      <c r="V268" s="395"/>
      <c r="W268" s="396"/>
      <c r="X268" s="448" t="s">
        <v>255</v>
      </c>
      <c r="Y268" s="407"/>
      <c r="Z268" s="407"/>
      <c r="AA268" s="408"/>
      <c r="AB268" s="448" t="s">
        <v>256</v>
      </c>
      <c r="AC268" s="407"/>
      <c r="AD268" s="407"/>
      <c r="AE268" s="408"/>
      <c r="AF268" s="394" t="s">
        <v>97</v>
      </c>
      <c r="AG268" s="395"/>
      <c r="AH268" s="395"/>
      <c r="AI268" s="396"/>
      <c r="AJ268" s="448" t="s">
        <v>55</v>
      </c>
      <c r="AK268" s="408"/>
    </row>
    <row r="269" spans="3:37" ht="15" thickBot="1" x14ac:dyDescent="0.35">
      <c r="C269" s="7" t="s">
        <v>56</v>
      </c>
      <c r="D269" s="12" t="s">
        <v>57</v>
      </c>
      <c r="E269" s="13" t="s">
        <v>130</v>
      </c>
      <c r="F269" s="13" t="s">
        <v>111</v>
      </c>
      <c r="G269" s="14" t="s">
        <v>257</v>
      </c>
      <c r="H269" s="24" t="str" cm="1">
        <f t="array" ref="H269">MID(INDEX($A$3:$A$70,IF(ISNA(MATCH("720G4GF*",$A$3:$A$70,0))=TRUE,MATCH("7200415*",$A$3:$A$70,0),MATCH("720G4GF*",$A$3:$A$70,0))),$AU$8,2)</f>
        <v>00</v>
      </c>
      <c r="I269" s="42" t="str" cm="1">
        <f t="array" ref="I269">MID(INDEX($A$3:$A$70,IF(ISNA(MATCH("720G4GF*",$A$3:$A$70,0))=TRUE,MATCH("7200415*",$A$3:$A$70,0),MATCH("720G4GF*",$A$3:$A$70,0))),$AV$8,2)</f>
        <v>00</v>
      </c>
      <c r="J269" s="42" t="str" cm="1">
        <f t="array" ref="J269">MID(INDEX($A$3:$A$70,IF(ISNA(MATCH("720G4GF*",$A$3:$A$70,0))=TRUE,MATCH("7200415*",$A$3:$A$70,0),MATCH("720G4GF*",$A$3:$A$70,0))),$AW$8,2)</f>
        <v>00</v>
      </c>
      <c r="K269" s="43" t="str" cm="1">
        <f t="array" ref="K269">MID(INDEX($A$3:$A$70,IF(ISNA(MATCH("720G4GF*",$A$3:$A$70,0))=TRUE,MATCH("7200415*",$A$3:$A$70,0),MATCH("720G4GF*",$A$3:$A$70,0))),$AX$8,2)</f>
        <v>00</v>
      </c>
      <c r="L269" s="43" t="str" cm="1">
        <f t="array" ref="L269">MID(INDEX($A$3:$A$70,IF(ISNA(MATCH("720G4GF*",$A$3:$A$70,0))=TRUE,MATCH("7200415*",$A$3:$A$70,0),MATCH("720G4GF*",$A$3:$A$70,0))),$AY$8,2)</f>
        <v>00</v>
      </c>
      <c r="M269" s="44" t="str" cm="1">
        <f t="array" ref="M269">MID(INDEX($A$3:$A$70,IF(ISNA(MATCH("720G4GF*",$A$3:$A$70,0))=TRUE,MATCH("7200415*",$A$3:$A$70,0),MATCH("720G4GF*",$A$3:$A$70,0))),$AZ$8,2)</f>
        <v>40</v>
      </c>
      <c r="N269" s="8" t="s">
        <v>60</v>
      </c>
      <c r="P269" s="19" t="s">
        <v>60</v>
      </c>
      <c r="Q269" s="20" t="s">
        <v>61</v>
      </c>
      <c r="R269" t="s">
        <v>62</v>
      </c>
      <c r="S269" s="8"/>
      <c r="T269" s="19" t="s">
        <v>60</v>
      </c>
      <c r="U269" s="20" t="s">
        <v>61</v>
      </c>
      <c r="V269" t="s">
        <v>62</v>
      </c>
      <c r="W269" s="8"/>
      <c r="X269" s="394"/>
      <c r="Y269" s="395"/>
      <c r="Z269" s="395"/>
      <c r="AA269" s="396"/>
      <c r="AB269" s="394"/>
      <c r="AC269" s="395"/>
      <c r="AD269" s="395"/>
      <c r="AE269" s="396"/>
      <c r="AF269" s="19" t="s">
        <v>60</v>
      </c>
      <c r="AG269" s="20" t="s">
        <v>61</v>
      </c>
      <c r="AH269" t="s">
        <v>62</v>
      </c>
      <c r="AJ269" s="394" t="s">
        <v>63</v>
      </c>
      <c r="AK269" s="396"/>
    </row>
    <row r="270" spans="3:37" x14ac:dyDescent="0.3">
      <c r="C270" s="7" t="s">
        <v>64</v>
      </c>
      <c r="D270" s="99" t="str">
        <f>HEX2BIN(D269,8)</f>
        <v>00000111</v>
      </c>
      <c r="E270" s="99" t="str">
        <f t="shared" ref="E270:L270" si="255">HEX2BIN(E269,8)</f>
        <v>00100000</v>
      </c>
      <c r="F270" s="99" t="str">
        <f t="shared" si="255"/>
        <v>00000100</v>
      </c>
      <c r="G270" s="99" t="str">
        <f t="shared" si="255"/>
        <v>00010101</v>
      </c>
      <c r="H270" s="99" t="str">
        <f t="shared" si="255"/>
        <v>00000000</v>
      </c>
      <c r="I270" s="99" t="str">
        <f t="shared" si="255"/>
        <v>00000000</v>
      </c>
      <c r="J270" s="99" t="str">
        <f t="shared" si="255"/>
        <v>00000000</v>
      </c>
      <c r="K270" s="99" t="str">
        <f t="shared" si="255"/>
        <v>00000000</v>
      </c>
      <c r="L270" s="99" t="str">
        <f t="shared" si="255"/>
        <v>00000000</v>
      </c>
      <c r="N270" s="8"/>
      <c r="P270" s="21" t="str">
        <f>MID(H270,1,1)</f>
        <v>0</v>
      </c>
      <c r="Q270" s="26" t="str">
        <f>P270</f>
        <v>0</v>
      </c>
      <c r="R270" s="7" t="s">
        <v>65</v>
      </c>
      <c r="S270" s="8" t="s">
        <v>66</v>
      </c>
      <c r="T270" s="21" t="str">
        <f>MID(I270,1,1)</f>
        <v>0</v>
      </c>
      <c r="U270" s="26" t="str">
        <f>T270</f>
        <v>0</v>
      </c>
      <c r="V270" s="7" t="s">
        <v>65</v>
      </c>
      <c r="W270" s="8" t="s">
        <v>66</v>
      </c>
      <c r="X270" s="400"/>
      <c r="Y270" s="381"/>
      <c r="Z270" s="381"/>
      <c r="AA270" s="401"/>
      <c r="AB270" s="400"/>
      <c r="AC270" s="381"/>
      <c r="AD270" s="381"/>
      <c r="AE270" s="401"/>
      <c r="AF270" s="21" t="str">
        <f>MID(L270,1,1)</f>
        <v>0</v>
      </c>
      <c r="AG270" s="26" t="str">
        <f>AF270</f>
        <v>0</v>
      </c>
      <c r="AH270" s="7" t="s">
        <v>65</v>
      </c>
      <c r="AI270" s="8" t="s">
        <v>66</v>
      </c>
      <c r="AJ270" s="400"/>
      <c r="AK270" s="401"/>
    </row>
    <row r="271" spans="3:37" x14ac:dyDescent="0.3">
      <c r="C271" s="7" t="s">
        <v>67</v>
      </c>
      <c r="D271" s="99">
        <f>HEX2DEC(D269)</f>
        <v>7</v>
      </c>
      <c r="E271" s="99">
        <f t="shared" ref="E271:L271" si="256">HEX2DEC(E269)</f>
        <v>32</v>
      </c>
      <c r="F271" s="99">
        <f t="shared" si="256"/>
        <v>4</v>
      </c>
      <c r="G271" s="99">
        <f t="shared" si="256"/>
        <v>21</v>
      </c>
      <c r="H271" s="99">
        <f t="shared" si="256"/>
        <v>0</v>
      </c>
      <c r="I271" s="99">
        <f t="shared" si="256"/>
        <v>0</v>
      </c>
      <c r="J271" s="99">
        <f t="shared" si="256"/>
        <v>0</v>
      </c>
      <c r="K271" s="99">
        <f t="shared" si="256"/>
        <v>0</v>
      </c>
      <c r="L271" s="99">
        <f t="shared" si="256"/>
        <v>0</v>
      </c>
      <c r="M271" s="99">
        <f>SUM(D271:L271)</f>
        <v>64</v>
      </c>
      <c r="N271" s="8"/>
      <c r="P271" s="21" t="str">
        <f>MID(H270,2,1)</f>
        <v>0</v>
      </c>
      <c r="Q271" s="26" t="str">
        <f t="shared" ref="Q271:Q277" si="257">P271</f>
        <v>0</v>
      </c>
      <c r="R271" s="7" t="s">
        <v>68</v>
      </c>
      <c r="S271" s="8" t="s">
        <v>66</v>
      </c>
      <c r="T271" s="21" t="str">
        <f>MID(I270,2,1)</f>
        <v>0</v>
      </c>
      <c r="U271" s="26" t="str">
        <f t="shared" ref="U271:U277" si="258">T271</f>
        <v>0</v>
      </c>
      <c r="V271" s="7" t="s">
        <v>68</v>
      </c>
      <c r="W271" s="8" t="s">
        <v>66</v>
      </c>
      <c r="X271" s="400"/>
      <c r="Y271" s="381"/>
      <c r="Z271" s="381"/>
      <c r="AA271" s="401"/>
      <c r="AB271" s="400"/>
      <c r="AC271" s="381"/>
      <c r="AD271" s="381"/>
      <c r="AE271" s="401"/>
      <c r="AF271" s="21" t="str">
        <f>MID(L270,2,1)</f>
        <v>0</v>
      </c>
      <c r="AG271" s="26" t="str">
        <f t="shared" ref="AG271:AG277" si="259">AF271</f>
        <v>0</v>
      </c>
      <c r="AH271" s="7" t="s">
        <v>68</v>
      </c>
      <c r="AI271" s="8" t="s">
        <v>66</v>
      </c>
      <c r="AJ271" s="400"/>
      <c r="AK271" s="401"/>
    </row>
    <row r="272" spans="3:37" x14ac:dyDescent="0.3">
      <c r="C272" s="7" t="s">
        <v>1678</v>
      </c>
      <c r="D272" s="333" t="str">
        <f>D269</f>
        <v>07</v>
      </c>
      <c r="E272" s="333" t="str">
        <f>E269</f>
        <v>20</v>
      </c>
      <c r="F272" s="99" t="str">
        <f>MID(INDEX($A$3:$A$70,IF(ISNA(MATCH("720G4GF*",$A$3:$A$70,0))=TRUE,MATCH("7200415*",$A$3:$A$70,0),MATCH("720G4GF*",$A$3:$A$70,0))),$AS$8,2)</f>
        <v>G4</v>
      </c>
      <c r="G272" s="99" t="str">
        <f>MID(INDEX($A$3:$A$70,IF(ISNA(MATCH("720G4GF*",$A$3:$A$70,0))=TRUE,MATCH("7200415*",$A$3:$A$70,0),MATCH("720G4GF*",$A$3:$A$70,0))),$AT$8,2)</f>
        <v>GF</v>
      </c>
      <c r="N272" s="8"/>
      <c r="P272" s="21" t="str">
        <f>MID(H270,3,1)</f>
        <v>0</v>
      </c>
      <c r="Q272" s="26" t="str">
        <f t="shared" si="257"/>
        <v>0</v>
      </c>
      <c r="R272" s="7" t="s">
        <v>69</v>
      </c>
      <c r="S272" s="8" t="s">
        <v>66</v>
      </c>
      <c r="T272" s="21" t="str">
        <f>MID(I270,3,1)</f>
        <v>0</v>
      </c>
      <c r="U272" s="26" t="str">
        <f t="shared" si="258"/>
        <v>0</v>
      </c>
      <c r="V272" s="7" t="s">
        <v>69</v>
      </c>
      <c r="W272" s="8" t="s">
        <v>66</v>
      </c>
      <c r="X272" s="400"/>
      <c r="Y272" s="381"/>
      <c r="Z272" s="381"/>
      <c r="AA272" s="401"/>
      <c r="AB272" s="400"/>
      <c r="AC272" s="381"/>
      <c r="AD272" s="381"/>
      <c r="AE272" s="401"/>
      <c r="AF272" s="21" t="str">
        <f>MID(L270,3,1)</f>
        <v>0</v>
      </c>
      <c r="AG272" s="26" t="str">
        <f t="shared" si="259"/>
        <v>0</v>
      </c>
      <c r="AH272" s="7" t="s">
        <v>69</v>
      </c>
      <c r="AI272" s="8" t="s">
        <v>66</v>
      </c>
      <c r="AJ272" s="400"/>
      <c r="AK272" s="401"/>
    </row>
    <row r="273" spans="3:37" ht="15" thickBot="1" x14ac:dyDescent="0.35">
      <c r="C273" s="7"/>
      <c r="N273" s="8"/>
      <c r="P273" s="21" t="str">
        <f>MID(H270,4,1)</f>
        <v>0</v>
      </c>
      <c r="Q273" s="26" t="str">
        <f t="shared" si="257"/>
        <v>0</v>
      </c>
      <c r="R273" s="7" t="s">
        <v>70</v>
      </c>
      <c r="S273" s="8" t="s">
        <v>66</v>
      </c>
      <c r="T273" s="21" t="str">
        <f>MID(I270,4,1)</f>
        <v>0</v>
      </c>
      <c r="U273" s="26" t="str">
        <f t="shared" si="258"/>
        <v>0</v>
      </c>
      <c r="V273" s="7" t="s">
        <v>70</v>
      </c>
      <c r="W273" s="8" t="s">
        <v>66</v>
      </c>
      <c r="X273" s="400"/>
      <c r="Y273" s="381"/>
      <c r="Z273" s="381"/>
      <c r="AA273" s="401"/>
      <c r="AB273" s="400"/>
      <c r="AC273" s="381"/>
      <c r="AD273" s="381"/>
      <c r="AE273" s="401"/>
      <c r="AF273" s="21" t="str">
        <f>MID(L270,4,1)</f>
        <v>0</v>
      </c>
      <c r="AG273" s="26" t="str">
        <f t="shared" si="259"/>
        <v>0</v>
      </c>
      <c r="AH273" s="7" t="s">
        <v>70</v>
      </c>
      <c r="AI273" s="8" t="s">
        <v>66</v>
      </c>
      <c r="AJ273" s="400"/>
      <c r="AK273" s="401"/>
    </row>
    <row r="274" spans="3:37" ht="15" thickBot="1" x14ac:dyDescent="0.35">
      <c r="C274" s="7" t="s">
        <v>56</v>
      </c>
      <c r="D274" s="15" t="str">
        <f t="shared" ref="D274:G274" si="260">D269</f>
        <v>07</v>
      </c>
      <c r="E274" s="16" t="str">
        <f t="shared" si="260"/>
        <v>20</v>
      </c>
      <c r="F274" s="16" t="str">
        <f t="shared" si="260"/>
        <v>04</v>
      </c>
      <c r="G274" s="17" t="str">
        <f t="shared" si="260"/>
        <v>15</v>
      </c>
      <c r="H274" s="23" t="str">
        <f>BIN2HEX(H275,2)</f>
        <v>00</v>
      </c>
      <c r="I274" s="25" t="str">
        <f t="shared" ref="I274:L274" si="261">BIN2HEX(I275,2)</f>
        <v>00</v>
      </c>
      <c r="J274" s="48" t="str">
        <f>J269</f>
        <v>00</v>
      </c>
      <c r="K274" s="47" t="str">
        <f>K269</f>
        <v>00</v>
      </c>
      <c r="L274" s="18" t="str">
        <f t="shared" si="261"/>
        <v>00</v>
      </c>
      <c r="M274" s="3" t="str">
        <f>IF(LEN(M275)&gt;2,MID(M275,2,2),M275)</f>
        <v>40</v>
      </c>
      <c r="N274" s="8" t="s">
        <v>61</v>
      </c>
      <c r="P274" s="21" t="str">
        <f>MID(H270,5,1)</f>
        <v>0</v>
      </c>
      <c r="Q274" s="26" t="str">
        <f t="shared" si="257"/>
        <v>0</v>
      </c>
      <c r="R274" s="7" t="s">
        <v>71</v>
      </c>
      <c r="S274" s="8" t="s">
        <v>66</v>
      </c>
      <c r="T274" s="21" t="str">
        <f>MID(I270,5,1)</f>
        <v>0</v>
      </c>
      <c r="U274" s="26" t="str">
        <f t="shared" si="258"/>
        <v>0</v>
      </c>
      <c r="V274" s="7" t="s">
        <v>71</v>
      </c>
      <c r="W274" s="8" t="s">
        <v>66</v>
      </c>
      <c r="X274" s="400"/>
      <c r="Y274" s="381"/>
      <c r="Z274" s="381"/>
      <c r="AA274" s="401"/>
      <c r="AB274" s="400"/>
      <c r="AC274" s="381"/>
      <c r="AD274" s="381"/>
      <c r="AE274" s="401"/>
      <c r="AF274" s="21" t="str">
        <f>MID(L270,5,1)</f>
        <v>0</v>
      </c>
      <c r="AG274" s="26" t="str">
        <f t="shared" si="259"/>
        <v>0</v>
      </c>
      <c r="AH274" s="7" t="s">
        <v>71</v>
      </c>
      <c r="AI274" s="8" t="s">
        <v>66</v>
      </c>
      <c r="AJ274" s="400"/>
      <c r="AK274" s="401"/>
    </row>
    <row r="275" spans="3:37" x14ac:dyDescent="0.3">
      <c r="C275" s="7" t="s">
        <v>64</v>
      </c>
      <c r="D275" s="99" t="str">
        <f>HEX2BIN(D274,8)</f>
        <v>00000111</v>
      </c>
      <c r="E275" s="99" t="str">
        <f t="shared" ref="E275:G275" si="262">HEX2BIN(E274,8)</f>
        <v>00100000</v>
      </c>
      <c r="F275" s="99" t="str">
        <f t="shared" si="262"/>
        <v>00000100</v>
      </c>
      <c r="G275" s="99" t="str">
        <f t="shared" si="262"/>
        <v>00010101</v>
      </c>
      <c r="H275" s="29" t="str">
        <f>Q270&amp;Q271&amp;Q272&amp;Q273&amp;Q274&amp;Q275&amp;Q276&amp;Q277</f>
        <v>00000000</v>
      </c>
      <c r="I275" s="99" t="str">
        <f>U270&amp;U271&amp;U272&amp;U273&amp;U274&amp;U275&amp;U276&amp;U277</f>
        <v>00000000</v>
      </c>
      <c r="J275" s="29"/>
      <c r="K275" s="29"/>
      <c r="L275" s="99" t="str">
        <f>AG270&amp;AG271&amp;AG272&amp;AG273&amp;AG274&amp;AG275&amp;AG276&amp;AG277</f>
        <v>00000000</v>
      </c>
      <c r="M275" s="99" t="str">
        <f>DEC2HEX(M276)</f>
        <v>40</v>
      </c>
      <c r="N275" s="8"/>
      <c r="P275" s="21" t="str">
        <f>MID(H270,6,1)</f>
        <v>0</v>
      </c>
      <c r="Q275" s="26" t="str">
        <f t="shared" si="257"/>
        <v>0</v>
      </c>
      <c r="R275" s="7" t="s">
        <v>72</v>
      </c>
      <c r="S275" s="8" t="s">
        <v>66</v>
      </c>
      <c r="T275" s="21" t="str">
        <f>MID(I270,6,1)</f>
        <v>0</v>
      </c>
      <c r="U275" s="26" t="str">
        <f t="shared" si="258"/>
        <v>0</v>
      </c>
      <c r="V275" s="7" t="s">
        <v>72</v>
      </c>
      <c r="W275" s="8" t="s">
        <v>66</v>
      </c>
      <c r="X275" s="400"/>
      <c r="Y275" s="381"/>
      <c r="Z275" s="381"/>
      <c r="AA275" s="401"/>
      <c r="AB275" s="400"/>
      <c r="AC275" s="381"/>
      <c r="AD275" s="381"/>
      <c r="AE275" s="401"/>
      <c r="AF275" s="21" t="str">
        <f>MID(L270,6,1)</f>
        <v>0</v>
      </c>
      <c r="AG275" s="26" t="str">
        <f t="shared" si="259"/>
        <v>0</v>
      </c>
      <c r="AH275" s="7" t="s">
        <v>72</v>
      </c>
      <c r="AI275" s="8" t="s">
        <v>66</v>
      </c>
      <c r="AJ275" s="400"/>
      <c r="AK275" s="401"/>
    </row>
    <row r="276" spans="3:37" x14ac:dyDescent="0.3">
      <c r="C276" s="7" t="s">
        <v>67</v>
      </c>
      <c r="D276" s="99">
        <f>HEX2DEC(D274)</f>
        <v>7</v>
      </c>
      <c r="E276" s="99">
        <f t="shared" ref="E276:L276" si="263">HEX2DEC(E274)</f>
        <v>32</v>
      </c>
      <c r="F276" s="99">
        <f t="shared" si="263"/>
        <v>4</v>
      </c>
      <c r="G276" s="99">
        <f t="shared" si="263"/>
        <v>21</v>
      </c>
      <c r="H276" s="99">
        <f t="shared" si="263"/>
        <v>0</v>
      </c>
      <c r="I276" s="99">
        <f t="shared" si="263"/>
        <v>0</v>
      </c>
      <c r="J276" s="99">
        <f t="shared" si="263"/>
        <v>0</v>
      </c>
      <c r="K276" s="99">
        <f t="shared" si="263"/>
        <v>0</v>
      </c>
      <c r="L276" s="99">
        <f t="shared" si="263"/>
        <v>0</v>
      </c>
      <c r="M276" s="99">
        <f>SUM(D276:L276)</f>
        <v>64</v>
      </c>
      <c r="N276" s="8"/>
      <c r="P276" s="21" t="str">
        <f>MID(H270,7,1)</f>
        <v>0</v>
      </c>
      <c r="Q276" s="26" t="str">
        <f t="shared" si="257"/>
        <v>0</v>
      </c>
      <c r="R276" s="7" t="s">
        <v>73</v>
      </c>
      <c r="S276" s="8" t="s">
        <v>66</v>
      </c>
      <c r="T276" s="21" t="str">
        <f>MID(I270,7,1)</f>
        <v>0</v>
      </c>
      <c r="U276" s="26" t="str">
        <f t="shared" si="258"/>
        <v>0</v>
      </c>
      <c r="V276" s="7" t="s">
        <v>73</v>
      </c>
      <c r="W276" s="8" t="s">
        <v>66</v>
      </c>
      <c r="X276" s="400"/>
      <c r="Y276" s="381"/>
      <c r="Z276" s="381"/>
      <c r="AA276" s="401"/>
      <c r="AB276" s="400"/>
      <c r="AC276" s="381"/>
      <c r="AD276" s="381"/>
      <c r="AE276" s="401"/>
      <c r="AF276" s="21" t="str">
        <f>MID(L270,7,1)</f>
        <v>0</v>
      </c>
      <c r="AG276" s="26" t="str">
        <f t="shared" si="259"/>
        <v>0</v>
      </c>
      <c r="AH276" s="7" t="s">
        <v>73</v>
      </c>
      <c r="AI276" s="8" t="s">
        <v>66</v>
      </c>
      <c r="AJ276" s="400"/>
      <c r="AK276" s="401"/>
    </row>
    <row r="277" spans="3:37" ht="15" thickBot="1" x14ac:dyDescent="0.35">
      <c r="C277" s="9" t="s">
        <v>1678</v>
      </c>
      <c r="D277" s="334" t="str">
        <f>D272</f>
        <v>07</v>
      </c>
      <c r="E277" s="334" t="str">
        <f t="shared" ref="E277:G277" si="264">E272</f>
        <v>20</v>
      </c>
      <c r="F277" s="334" t="str">
        <f t="shared" si="264"/>
        <v>G4</v>
      </c>
      <c r="G277" s="334" t="str">
        <f t="shared" si="264"/>
        <v>GF</v>
      </c>
      <c r="H277" s="10"/>
      <c r="I277" s="10"/>
      <c r="J277" s="10"/>
      <c r="K277" s="10"/>
      <c r="L277" s="10"/>
      <c r="M277" s="10"/>
      <c r="N277" s="11"/>
      <c r="P277" s="22" t="str">
        <f>MID(H270,8,1)</f>
        <v>0</v>
      </c>
      <c r="Q277" s="55" t="str">
        <f t="shared" si="257"/>
        <v>0</v>
      </c>
      <c r="R277" s="9" t="s">
        <v>74</v>
      </c>
      <c r="S277" s="11" t="s">
        <v>66</v>
      </c>
      <c r="T277" s="22" t="str">
        <f>MID(I270,8,1)</f>
        <v>0</v>
      </c>
      <c r="U277" s="55" t="str">
        <f t="shared" si="258"/>
        <v>0</v>
      </c>
      <c r="V277" s="9" t="s">
        <v>74</v>
      </c>
      <c r="W277" s="11" t="s">
        <v>66</v>
      </c>
      <c r="X277" s="402"/>
      <c r="Y277" s="403"/>
      <c r="Z277" s="403"/>
      <c r="AA277" s="404"/>
      <c r="AB277" s="402"/>
      <c r="AC277" s="403"/>
      <c r="AD277" s="403"/>
      <c r="AE277" s="404"/>
      <c r="AF277" s="22" t="str">
        <f>MID(L270,8,1)</f>
        <v>0</v>
      </c>
      <c r="AG277" s="55" t="str">
        <f t="shared" si="259"/>
        <v>0</v>
      </c>
      <c r="AH277" s="9" t="s">
        <v>74</v>
      </c>
      <c r="AI277" s="11" t="s">
        <v>66</v>
      </c>
      <c r="AJ277" s="402"/>
      <c r="AK277" s="404"/>
    </row>
    <row r="278" spans="3:37" ht="15" thickBot="1" x14ac:dyDescent="0.35">
      <c r="C278" s="4"/>
      <c r="D278" s="5"/>
      <c r="E278" s="5"/>
      <c r="F278" s="5"/>
      <c r="G278" s="5"/>
      <c r="H278" s="5"/>
      <c r="I278" s="5"/>
      <c r="J278" s="5"/>
      <c r="K278" s="5"/>
      <c r="L278" s="5"/>
      <c r="M278" s="5" t="s">
        <v>41</v>
      </c>
      <c r="N278" s="6"/>
      <c r="P278" s="530" t="s">
        <v>426</v>
      </c>
      <c r="Q278" s="530"/>
      <c r="R278" s="530"/>
      <c r="S278" s="530"/>
      <c r="T278" s="530"/>
      <c r="U278" s="530"/>
      <c r="V278" s="530"/>
      <c r="W278" s="530"/>
      <c r="X278" s="530"/>
      <c r="Y278" s="530"/>
      <c r="Z278" s="530"/>
      <c r="AA278" s="530"/>
      <c r="AB278" s="530"/>
      <c r="AC278" s="530"/>
      <c r="AD278" s="530"/>
      <c r="AE278" s="530"/>
      <c r="AF278" s="530"/>
      <c r="AG278" s="530"/>
      <c r="AH278" s="530"/>
      <c r="AI278" s="530"/>
      <c r="AJ278" s="530"/>
      <c r="AK278" s="530"/>
    </row>
    <row r="279" spans="3:37" ht="15" thickBot="1" x14ac:dyDescent="0.35">
      <c r="C279" s="7"/>
      <c r="D279" s="393" t="s">
        <v>1515</v>
      </c>
      <c r="E279" s="393"/>
      <c r="F279" s="393"/>
      <c r="G279" s="393"/>
      <c r="H279" s="99" t="s">
        <v>44</v>
      </c>
      <c r="I279" s="99" t="s">
        <v>45</v>
      </c>
      <c r="J279" s="99" t="s">
        <v>46</v>
      </c>
      <c r="K279" s="99" t="s">
        <v>47</v>
      </c>
      <c r="L279" s="99" t="s">
        <v>48</v>
      </c>
      <c r="M279" s="99" t="s">
        <v>49</v>
      </c>
      <c r="N279" s="8"/>
      <c r="P279" s="394" t="s">
        <v>50</v>
      </c>
      <c r="Q279" s="395"/>
      <c r="R279" s="395"/>
      <c r="S279" s="396"/>
      <c r="T279" s="394" t="s">
        <v>51</v>
      </c>
      <c r="U279" s="395"/>
      <c r="V279" s="395"/>
      <c r="W279" s="396"/>
      <c r="X279" s="394" t="s">
        <v>52</v>
      </c>
      <c r="Y279" s="395"/>
      <c r="Z279" s="395"/>
      <c r="AA279" s="396"/>
      <c r="AB279" s="394" t="s">
        <v>53</v>
      </c>
      <c r="AC279" s="395"/>
      <c r="AD279" s="395"/>
      <c r="AE279" s="396"/>
      <c r="AF279" s="394" t="s">
        <v>97</v>
      </c>
      <c r="AG279" s="395"/>
      <c r="AH279" s="395"/>
      <c r="AI279" s="396"/>
      <c r="AJ279" s="448" t="s">
        <v>55</v>
      </c>
      <c r="AK279" s="408"/>
    </row>
    <row r="280" spans="3:37" ht="15" thickBot="1" x14ac:dyDescent="0.35">
      <c r="C280" s="7" t="s">
        <v>56</v>
      </c>
      <c r="D280" s="12" t="s">
        <v>57</v>
      </c>
      <c r="E280" s="13" t="s">
        <v>130</v>
      </c>
      <c r="F280" s="13" t="s">
        <v>111</v>
      </c>
      <c r="G280" s="14" t="s">
        <v>258</v>
      </c>
      <c r="H280" s="24" t="str" cm="1">
        <f t="array" ref="H280">MID(INDEX($A$3:$A$70,IF(ISNA(MATCH("720G4H0*",$A$3:$A$70,0))=TRUE,MATCH("7200416*",$A$3:$A$70,0),MATCH("720G4H0*",$A$3:$A$70,0))),$AU$8,2)</f>
        <v>00</v>
      </c>
      <c r="I280" s="42" t="str" cm="1">
        <f t="array" ref="I280">MID(INDEX($A$3:$A$70,IF(ISNA(MATCH("720G4H0*",$A$3:$A$70,0))=TRUE,MATCH("7200416*",$A$3:$A$70,0),MATCH("720G4H0*",$A$3:$A$70,0))),$AV$8,2)</f>
        <v>00</v>
      </c>
      <c r="J280" s="42" t="str" cm="1">
        <f t="array" ref="J280">MID(INDEX($A$3:$A$70,IF(ISNA(MATCH("720G4H0*",$A$3:$A$70,0))=TRUE,MATCH("7200416*",$A$3:$A$70,0),MATCH("720G4H0*",$A$3:$A$70,0))),$AW$8,2)</f>
        <v>00</v>
      </c>
      <c r="K280" s="43" t="str" cm="1">
        <f t="array" ref="K280">MID(INDEX($A$3:$A$70,IF(ISNA(MATCH("720G4H0*",$A$3:$A$70,0))=TRUE,MATCH("7200416*",$A$3:$A$70,0),MATCH("720G4H0*",$A$3:$A$70,0))),$AX$8,2)</f>
        <v>00</v>
      </c>
      <c r="L280" s="43" t="str" cm="1">
        <f t="array" ref="L280">MID(INDEX($A$3:$A$70,IF(ISNA(MATCH("720G4H0*",$A$3:$A$70,0))=TRUE,MATCH("7200416*",$A$3:$A$70,0),MATCH("720G4H0*",$A$3:$A$70,0))),$AY$8,2)</f>
        <v>00</v>
      </c>
      <c r="M280" s="44" t="str" cm="1">
        <f t="array" ref="M280">MID(INDEX($A$3:$A$70,IF(ISNA(MATCH("720G4H0*",$A$3:$A$70,0))=TRUE,MATCH("7200416*",$A$3:$A$70,0),MATCH("720G4H0*",$A$3:$A$70,0))),$AZ$8,2)</f>
        <v>41</v>
      </c>
      <c r="N280" s="8" t="s">
        <v>60</v>
      </c>
      <c r="P280" s="19" t="s">
        <v>60</v>
      </c>
      <c r="Q280" s="20" t="s">
        <v>61</v>
      </c>
      <c r="R280" t="s">
        <v>62</v>
      </c>
      <c r="S280" s="8"/>
      <c r="T280" s="19" t="s">
        <v>60</v>
      </c>
      <c r="U280" s="20" t="s">
        <v>61</v>
      </c>
      <c r="V280" t="s">
        <v>62</v>
      </c>
      <c r="W280" s="8"/>
      <c r="X280" s="19" t="s">
        <v>60</v>
      </c>
      <c r="Y280" s="20" t="s">
        <v>61</v>
      </c>
      <c r="Z280" t="s">
        <v>62</v>
      </c>
      <c r="AA280" s="8"/>
      <c r="AB280" s="19" t="s">
        <v>60</v>
      </c>
      <c r="AC280" s="20" t="s">
        <v>61</v>
      </c>
      <c r="AD280" t="s">
        <v>62</v>
      </c>
      <c r="AE280" s="8"/>
      <c r="AF280" s="19" t="s">
        <v>60</v>
      </c>
      <c r="AG280" s="20" t="s">
        <v>61</v>
      </c>
      <c r="AH280" t="s">
        <v>62</v>
      </c>
      <c r="AJ280" s="394" t="s">
        <v>63</v>
      </c>
      <c r="AK280" s="396"/>
    </row>
    <row r="281" spans="3:37" x14ac:dyDescent="0.3">
      <c r="C281" s="7" t="s">
        <v>64</v>
      </c>
      <c r="D281" s="99" t="str">
        <f>HEX2BIN(D280,8)</f>
        <v>00000111</v>
      </c>
      <c r="E281" s="99" t="str">
        <f t="shared" ref="E281:L281" si="265">HEX2BIN(E280,8)</f>
        <v>00100000</v>
      </c>
      <c r="F281" s="99" t="str">
        <f t="shared" si="265"/>
        <v>00000100</v>
      </c>
      <c r="G281" s="99" t="str">
        <f t="shared" si="265"/>
        <v>00010110</v>
      </c>
      <c r="H281" s="99" t="str">
        <f t="shared" si="265"/>
        <v>00000000</v>
      </c>
      <c r="I281" s="99" t="str">
        <f t="shared" si="265"/>
        <v>00000000</v>
      </c>
      <c r="J281" s="99" t="str">
        <f t="shared" si="265"/>
        <v>00000000</v>
      </c>
      <c r="K281" s="99" t="str">
        <f t="shared" si="265"/>
        <v>00000000</v>
      </c>
      <c r="L281" s="99" t="str">
        <f t="shared" si="265"/>
        <v>00000000</v>
      </c>
      <c r="N281" s="8"/>
      <c r="P281" s="21" t="str">
        <f>MID(H281,1,1)</f>
        <v>0</v>
      </c>
      <c r="Q281" s="26" t="str">
        <f>P281</f>
        <v>0</v>
      </c>
      <c r="R281" s="7" t="s">
        <v>65</v>
      </c>
      <c r="S281" s="369" t="s">
        <v>1696</v>
      </c>
      <c r="T281" s="21" t="str">
        <f>MID(I281,1,1)</f>
        <v>0</v>
      </c>
      <c r="U281" s="26" t="str">
        <f>T281</f>
        <v>0</v>
      </c>
      <c r="V281" s="7" t="s">
        <v>65</v>
      </c>
      <c r="W281" s="8" t="s">
        <v>66</v>
      </c>
      <c r="X281" s="21" t="str">
        <f>MID(J281,1,1)</f>
        <v>0</v>
      </c>
      <c r="Y281" s="26" t="str">
        <f>X281</f>
        <v>0</v>
      </c>
      <c r="Z281" s="7" t="s">
        <v>65</v>
      </c>
      <c r="AA281" s="8" t="s">
        <v>66</v>
      </c>
      <c r="AB281" s="21" t="str">
        <f>MID(K281,1,1)</f>
        <v>0</v>
      </c>
      <c r="AC281" s="26" t="str">
        <f>AB281</f>
        <v>0</v>
      </c>
      <c r="AD281" s="7" t="s">
        <v>65</v>
      </c>
      <c r="AE281" s="8" t="s">
        <v>66</v>
      </c>
      <c r="AF281" s="21" t="str">
        <f>MID(L281,1,1)</f>
        <v>0</v>
      </c>
      <c r="AG281" s="26" t="str">
        <f>AF281</f>
        <v>0</v>
      </c>
      <c r="AH281" s="7" t="s">
        <v>65</v>
      </c>
      <c r="AI281" s="8" t="s">
        <v>66</v>
      </c>
      <c r="AJ281" s="400"/>
      <c r="AK281" s="401"/>
    </row>
    <row r="282" spans="3:37" ht="15" customHeight="1" x14ac:dyDescent="0.3">
      <c r="C282" s="7" t="s">
        <v>67</v>
      </c>
      <c r="D282" s="99">
        <f>HEX2DEC(D280)</f>
        <v>7</v>
      </c>
      <c r="E282" s="99">
        <f t="shared" ref="E282:L282" si="266">HEX2DEC(E280)</f>
        <v>32</v>
      </c>
      <c r="F282" s="99">
        <f t="shared" si="266"/>
        <v>4</v>
      </c>
      <c r="G282" s="99">
        <f t="shared" si="266"/>
        <v>22</v>
      </c>
      <c r="H282" s="99">
        <f t="shared" si="266"/>
        <v>0</v>
      </c>
      <c r="I282" s="99">
        <f t="shared" si="266"/>
        <v>0</v>
      </c>
      <c r="J282" s="99">
        <f t="shared" si="266"/>
        <v>0</v>
      </c>
      <c r="K282" s="99">
        <f t="shared" si="266"/>
        <v>0</v>
      </c>
      <c r="L282" s="99">
        <f t="shared" si="266"/>
        <v>0</v>
      </c>
      <c r="M282" s="99">
        <f>SUM(D282:L282)</f>
        <v>65</v>
      </c>
      <c r="N282" s="8"/>
      <c r="P282" s="21" t="str">
        <f>MID(H281,2,1)</f>
        <v>0</v>
      </c>
      <c r="Q282" s="26" t="str">
        <f t="shared" ref="Q282:Q288" si="267">P282</f>
        <v>0</v>
      </c>
      <c r="R282" s="7" t="s">
        <v>68</v>
      </c>
      <c r="S282" s="8" t="s">
        <v>66</v>
      </c>
      <c r="T282" s="21" t="str">
        <f>MID(I281,2,1)</f>
        <v>0</v>
      </c>
      <c r="U282" s="26" t="str">
        <f t="shared" ref="U282:U288" si="268">T282</f>
        <v>0</v>
      </c>
      <c r="V282" s="7" t="s">
        <v>68</v>
      </c>
      <c r="W282" s="8" t="s">
        <v>66</v>
      </c>
      <c r="X282" s="21" t="str">
        <f>MID(J281,2,1)</f>
        <v>0</v>
      </c>
      <c r="Y282" s="26" t="str">
        <f t="shared" ref="Y282:Y288" si="269">X282</f>
        <v>0</v>
      </c>
      <c r="Z282" s="7" t="s">
        <v>68</v>
      </c>
      <c r="AA282" s="515" t="s">
        <v>1710</v>
      </c>
      <c r="AB282" s="21" t="str">
        <f>MID(K281,2,1)</f>
        <v>0</v>
      </c>
      <c r="AC282" s="26" t="str">
        <f t="shared" ref="AC282:AC288" si="270">AB282</f>
        <v>0</v>
      </c>
      <c r="AD282" s="7" t="s">
        <v>68</v>
      </c>
      <c r="AE282" s="8" t="s">
        <v>66</v>
      </c>
      <c r="AF282" s="21" t="str">
        <f>MID(L281,2,1)</f>
        <v>0</v>
      </c>
      <c r="AG282" s="26" t="str">
        <f t="shared" ref="AG282:AG288" si="271">AF282</f>
        <v>0</v>
      </c>
      <c r="AH282" s="7" t="s">
        <v>68</v>
      </c>
      <c r="AI282" s="8" t="s">
        <v>66</v>
      </c>
      <c r="AJ282" s="400"/>
      <c r="AK282" s="401"/>
    </row>
    <row r="283" spans="3:37" x14ac:dyDescent="0.3">
      <c r="C283" s="7" t="s">
        <v>1678</v>
      </c>
      <c r="D283" s="333" t="str">
        <f>D280</f>
        <v>07</v>
      </c>
      <c r="E283" s="333" t="str">
        <f>E280</f>
        <v>20</v>
      </c>
      <c r="F283" s="99" t="str">
        <f>MID(INDEX($A$3:$A$70,IF(ISNA(MATCH("720G4H0*",$A$3:$A$70,0))=TRUE,MATCH("7200416*",$A$3:$A$70,0),MATCH("720G4H0*",$A$3:$A$70,0))),$AS$8,2)</f>
        <v>G4</v>
      </c>
      <c r="G283" s="99" t="str">
        <f>MID(INDEX($A$3:$A$70,IF(ISNA(MATCH("720G4H0*",$A$3:$A$70,0))=TRUE,MATCH("7200416*",$A$3:$A$70,0),MATCH("720G4H0*",$A$3:$A$70,0))),$AT$8,2)</f>
        <v>H0</v>
      </c>
      <c r="N283" s="8"/>
      <c r="P283" s="21" t="str">
        <f>MID(H281,3,1)</f>
        <v>0</v>
      </c>
      <c r="Q283" s="26" t="str">
        <f t="shared" si="267"/>
        <v>0</v>
      </c>
      <c r="R283" s="7" t="s">
        <v>69</v>
      </c>
      <c r="S283" s="8" t="s">
        <v>66</v>
      </c>
      <c r="T283" s="21" t="str">
        <f>MID(I281,3,1)</f>
        <v>0</v>
      </c>
      <c r="U283" s="26" t="str">
        <f t="shared" si="268"/>
        <v>0</v>
      </c>
      <c r="V283" s="7" t="s">
        <v>69</v>
      </c>
      <c r="W283" s="8" t="s">
        <v>66</v>
      </c>
      <c r="X283" s="21" t="str">
        <f>MID(J281,3,1)</f>
        <v>0</v>
      </c>
      <c r="Y283" s="26" t="str">
        <f t="shared" si="269"/>
        <v>0</v>
      </c>
      <c r="Z283" s="7" t="s">
        <v>69</v>
      </c>
      <c r="AA283" s="544"/>
      <c r="AB283" s="21" t="str">
        <f>MID(K281,3,1)</f>
        <v>0</v>
      </c>
      <c r="AC283" s="26" t="str">
        <f t="shared" si="270"/>
        <v>0</v>
      </c>
      <c r="AD283" s="7" t="s">
        <v>69</v>
      </c>
      <c r="AE283" s="8" t="s">
        <v>66</v>
      </c>
      <c r="AF283" s="21" t="str">
        <f>MID(L281,3,1)</f>
        <v>0</v>
      </c>
      <c r="AG283" s="26" t="str">
        <f t="shared" si="271"/>
        <v>0</v>
      </c>
      <c r="AH283" s="7" t="s">
        <v>69</v>
      </c>
      <c r="AI283" s="8" t="s">
        <v>66</v>
      </c>
      <c r="AJ283" s="400"/>
      <c r="AK283" s="401"/>
    </row>
    <row r="284" spans="3:37" ht="15" thickBot="1" x14ac:dyDescent="0.35">
      <c r="C284" s="7"/>
      <c r="N284" s="8"/>
      <c r="P284" s="21" t="str">
        <f>MID(H281,4,1)</f>
        <v>0</v>
      </c>
      <c r="Q284" s="26" t="str">
        <f t="shared" si="267"/>
        <v>0</v>
      </c>
      <c r="R284" s="7" t="s">
        <v>70</v>
      </c>
      <c r="S284" s="8" t="s">
        <v>66</v>
      </c>
      <c r="T284" s="21" t="str">
        <f>MID(I281,4,1)</f>
        <v>0</v>
      </c>
      <c r="U284" s="26" t="str">
        <f t="shared" si="268"/>
        <v>0</v>
      </c>
      <c r="V284" s="7" t="s">
        <v>70</v>
      </c>
      <c r="W284" s="8" t="s">
        <v>66</v>
      </c>
      <c r="X284" s="21" t="str">
        <f>MID(J281,4,1)</f>
        <v>0</v>
      </c>
      <c r="Y284" s="26" t="str">
        <f t="shared" si="269"/>
        <v>0</v>
      </c>
      <c r="Z284" s="7" t="s">
        <v>70</v>
      </c>
      <c r="AA284" s="8" t="s">
        <v>66</v>
      </c>
      <c r="AB284" s="21" t="str">
        <f>MID(K281,4,1)</f>
        <v>0</v>
      </c>
      <c r="AC284" s="26" t="str">
        <f t="shared" si="270"/>
        <v>0</v>
      </c>
      <c r="AD284" s="7" t="s">
        <v>70</v>
      </c>
      <c r="AE284" s="8" t="s">
        <v>66</v>
      </c>
      <c r="AF284" s="21" t="str">
        <f>MID(L281,4,1)</f>
        <v>0</v>
      </c>
      <c r="AG284" s="26" t="str">
        <f t="shared" si="271"/>
        <v>0</v>
      </c>
      <c r="AH284" s="7" t="s">
        <v>70</v>
      </c>
      <c r="AI284" s="8" t="s">
        <v>66</v>
      </c>
      <c r="AJ284" s="400"/>
      <c r="AK284" s="401"/>
    </row>
    <row r="285" spans="3:37" ht="15.75" customHeight="1" thickBot="1" x14ac:dyDescent="0.35">
      <c r="C285" s="7" t="s">
        <v>56</v>
      </c>
      <c r="D285" s="15" t="str">
        <f t="shared" ref="D285:G285" si="272">D280</f>
        <v>07</v>
      </c>
      <c r="E285" s="16" t="str">
        <f t="shared" si="272"/>
        <v>20</v>
      </c>
      <c r="F285" s="16" t="str">
        <f t="shared" si="272"/>
        <v>04</v>
      </c>
      <c r="G285" s="17" t="str">
        <f t="shared" si="272"/>
        <v>16</v>
      </c>
      <c r="H285" s="23" t="str">
        <f>BIN2HEX(H286,2)</f>
        <v>00</v>
      </c>
      <c r="I285" s="25" t="str">
        <f t="shared" ref="I285:L285" si="273">BIN2HEX(I286,2)</f>
        <v>00</v>
      </c>
      <c r="J285" s="24" t="str">
        <f t="shared" si="273"/>
        <v>00</v>
      </c>
      <c r="K285" s="2" t="str">
        <f t="shared" si="273"/>
        <v>00</v>
      </c>
      <c r="L285" s="18" t="str">
        <f t="shared" si="273"/>
        <v>00</v>
      </c>
      <c r="M285" s="3" t="str">
        <f>IF(LEN(M286)&gt;2,MID(M286,2,2),M286)</f>
        <v>41</v>
      </c>
      <c r="N285" s="8" t="s">
        <v>61</v>
      </c>
      <c r="P285" s="21" t="str">
        <f>MID(H281,5,1)</f>
        <v>0</v>
      </c>
      <c r="Q285" s="26" t="str">
        <f t="shared" si="267"/>
        <v>0</v>
      </c>
      <c r="R285" s="7" t="s">
        <v>71</v>
      </c>
      <c r="S285" s="533" t="s">
        <v>1622</v>
      </c>
      <c r="T285" s="21" t="str">
        <f>MID(I281,5,1)</f>
        <v>0</v>
      </c>
      <c r="U285" s="26" t="str">
        <f t="shared" si="268"/>
        <v>0</v>
      </c>
      <c r="V285" s="7" t="s">
        <v>71</v>
      </c>
      <c r="W285" s="8" t="s">
        <v>66</v>
      </c>
      <c r="X285" s="21" t="str">
        <f>MID(J281,5,1)</f>
        <v>0</v>
      </c>
      <c r="Y285" s="26" t="str">
        <f t="shared" si="269"/>
        <v>0</v>
      </c>
      <c r="Z285" s="7" t="s">
        <v>71</v>
      </c>
      <c r="AA285" s="547" t="s">
        <v>1623</v>
      </c>
      <c r="AB285" s="21" t="str">
        <f>MID(K281,5,1)</f>
        <v>0</v>
      </c>
      <c r="AC285" s="26" t="str">
        <f t="shared" si="270"/>
        <v>0</v>
      </c>
      <c r="AD285" s="7" t="s">
        <v>71</v>
      </c>
      <c r="AE285" s="8" t="s">
        <v>66</v>
      </c>
      <c r="AF285" s="21" t="str">
        <f>MID(L281,5,1)</f>
        <v>0</v>
      </c>
      <c r="AG285" s="26" t="str">
        <f t="shared" si="271"/>
        <v>0</v>
      </c>
      <c r="AH285" s="7" t="s">
        <v>71</v>
      </c>
      <c r="AI285" s="8" t="s">
        <v>66</v>
      </c>
      <c r="AJ285" s="400"/>
      <c r="AK285" s="401"/>
    </row>
    <row r="286" spans="3:37" x14ac:dyDescent="0.3">
      <c r="C286" s="7" t="s">
        <v>64</v>
      </c>
      <c r="D286" s="99" t="str">
        <f>HEX2BIN(D285,8)</f>
        <v>00000111</v>
      </c>
      <c r="E286" s="99" t="str">
        <f t="shared" ref="E286:G286" si="274">HEX2BIN(E285,8)</f>
        <v>00100000</v>
      </c>
      <c r="F286" s="99" t="str">
        <f t="shared" si="274"/>
        <v>00000100</v>
      </c>
      <c r="G286" s="99" t="str">
        <f t="shared" si="274"/>
        <v>00010110</v>
      </c>
      <c r="H286" s="29" t="str">
        <f>Q281&amp;Q282&amp;Q283&amp;Q284&amp;Q285&amp;Q286&amp;Q287&amp;Q288</f>
        <v>00000000</v>
      </c>
      <c r="I286" s="99" t="str">
        <f>U281&amp;U282&amp;U283&amp;U284&amp;U285&amp;U286&amp;U287&amp;U288</f>
        <v>00000000</v>
      </c>
      <c r="J286" s="29" t="str">
        <f>Y281&amp;Y282&amp;Y283&amp;Y284&amp;Y285&amp;Y286&amp;Y287&amp;Y288</f>
        <v>00000000</v>
      </c>
      <c r="K286" s="29" t="str">
        <f>AC281&amp;AC282&amp;AC283&amp;AC284&amp;AC285&amp;AC286&amp;AC287&amp;AC288</f>
        <v>00000000</v>
      </c>
      <c r="L286" s="99" t="str">
        <f>AG281&amp;AG282&amp;AG283&amp;AG284&amp;AG285&amp;AG286&amp;AG287&amp;AG288</f>
        <v>00000000</v>
      </c>
      <c r="M286" s="99" t="str">
        <f>DEC2HEX(M287)</f>
        <v>41</v>
      </c>
      <c r="N286" s="8"/>
      <c r="P286" s="21" t="str">
        <f>MID(H281,6,1)</f>
        <v>0</v>
      </c>
      <c r="Q286" s="26" t="str">
        <f t="shared" si="267"/>
        <v>0</v>
      </c>
      <c r="R286" s="7" t="s">
        <v>72</v>
      </c>
      <c r="S286" s="545"/>
      <c r="T286" s="21" t="str">
        <f>MID(I281,6,1)</f>
        <v>0</v>
      </c>
      <c r="U286" s="26" t="str">
        <f t="shared" si="268"/>
        <v>0</v>
      </c>
      <c r="V286" s="7" t="s">
        <v>72</v>
      </c>
      <c r="W286" s="8" t="s">
        <v>66</v>
      </c>
      <c r="X286" s="21" t="str">
        <f>MID(J281,6,1)</f>
        <v>0</v>
      </c>
      <c r="Y286" s="26" t="str">
        <f t="shared" si="269"/>
        <v>0</v>
      </c>
      <c r="Z286" s="7" t="s">
        <v>72</v>
      </c>
      <c r="AA286" s="548"/>
      <c r="AB286" s="21" t="str">
        <f>MID(K281,6,1)</f>
        <v>0</v>
      </c>
      <c r="AC286" s="26" t="str">
        <f t="shared" si="270"/>
        <v>0</v>
      </c>
      <c r="AD286" s="7" t="s">
        <v>72</v>
      </c>
      <c r="AE286" s="8" t="s">
        <v>66</v>
      </c>
      <c r="AF286" s="21" t="str">
        <f>MID(L281,6,1)</f>
        <v>0</v>
      </c>
      <c r="AG286" s="26" t="str">
        <f t="shared" si="271"/>
        <v>0</v>
      </c>
      <c r="AH286" s="7" t="s">
        <v>72</v>
      </c>
      <c r="AI286" s="8" t="s">
        <v>66</v>
      </c>
      <c r="AJ286" s="400"/>
      <c r="AK286" s="401"/>
    </row>
    <row r="287" spans="3:37" x14ac:dyDescent="0.3">
      <c r="C287" s="7" t="s">
        <v>67</v>
      </c>
      <c r="D287" s="99">
        <f>HEX2DEC(D285)</f>
        <v>7</v>
      </c>
      <c r="E287" s="99">
        <f t="shared" ref="E287:L287" si="275">HEX2DEC(E285)</f>
        <v>32</v>
      </c>
      <c r="F287" s="99">
        <f t="shared" si="275"/>
        <v>4</v>
      </c>
      <c r="G287" s="99">
        <f t="shared" si="275"/>
        <v>22</v>
      </c>
      <c r="H287" s="99">
        <f t="shared" si="275"/>
        <v>0</v>
      </c>
      <c r="I287" s="99">
        <f t="shared" si="275"/>
        <v>0</v>
      </c>
      <c r="J287" s="99">
        <f t="shared" si="275"/>
        <v>0</v>
      </c>
      <c r="K287" s="99">
        <f t="shared" si="275"/>
        <v>0</v>
      </c>
      <c r="L287" s="99">
        <f t="shared" si="275"/>
        <v>0</v>
      </c>
      <c r="M287" s="99">
        <f>SUM(D287:L287)</f>
        <v>65</v>
      </c>
      <c r="N287" s="8"/>
      <c r="P287" s="21" t="str">
        <f>MID(H281,7,1)</f>
        <v>0</v>
      </c>
      <c r="Q287" s="26" t="str">
        <f t="shared" si="267"/>
        <v>0</v>
      </c>
      <c r="R287" s="7" t="s">
        <v>73</v>
      </c>
      <c r="S287" s="546"/>
      <c r="T287" s="21" t="str">
        <f>MID(I281,7,1)</f>
        <v>0</v>
      </c>
      <c r="U287" s="26" t="str">
        <f t="shared" si="268"/>
        <v>0</v>
      </c>
      <c r="V287" s="7" t="s">
        <v>73</v>
      </c>
      <c r="W287" s="8" t="s">
        <v>66</v>
      </c>
      <c r="X287" s="21" t="str">
        <f>MID(J281,7,1)</f>
        <v>0</v>
      </c>
      <c r="Y287" s="26" t="str">
        <f t="shared" si="269"/>
        <v>0</v>
      </c>
      <c r="Z287" s="7" t="s">
        <v>73</v>
      </c>
      <c r="AA287" s="8" t="s">
        <v>66</v>
      </c>
      <c r="AB287" s="21" t="str">
        <f>MID(K281,7,1)</f>
        <v>0</v>
      </c>
      <c r="AC287" s="26" t="str">
        <f t="shared" si="270"/>
        <v>0</v>
      </c>
      <c r="AD287" s="7" t="s">
        <v>73</v>
      </c>
      <c r="AE287" s="8" t="s">
        <v>66</v>
      </c>
      <c r="AF287" s="21" t="str">
        <f>MID(L281,7,1)</f>
        <v>0</v>
      </c>
      <c r="AG287" s="26" t="str">
        <f t="shared" si="271"/>
        <v>0</v>
      </c>
      <c r="AH287" s="7" t="s">
        <v>73</v>
      </c>
      <c r="AI287" s="8" t="s">
        <v>66</v>
      </c>
      <c r="AJ287" s="400"/>
      <c r="AK287" s="401"/>
    </row>
    <row r="288" spans="3:37" ht="15" thickBot="1" x14ac:dyDescent="0.35">
      <c r="C288" s="9" t="s">
        <v>1678</v>
      </c>
      <c r="D288" s="334" t="str">
        <f>D283</f>
        <v>07</v>
      </c>
      <c r="E288" s="334" t="str">
        <f t="shared" ref="E288:G288" si="276">E283</f>
        <v>20</v>
      </c>
      <c r="F288" s="334" t="str">
        <f t="shared" si="276"/>
        <v>G4</v>
      </c>
      <c r="G288" s="334" t="str">
        <f t="shared" si="276"/>
        <v>H0</v>
      </c>
      <c r="H288" s="10"/>
      <c r="I288" s="10"/>
      <c r="J288" s="10"/>
      <c r="K288" s="10"/>
      <c r="L288" s="10"/>
      <c r="M288" s="10"/>
      <c r="N288" s="11"/>
      <c r="P288" s="22" t="str">
        <f>MID(H281,8,1)</f>
        <v>0</v>
      </c>
      <c r="Q288" s="55" t="str">
        <f t="shared" si="267"/>
        <v>0</v>
      </c>
      <c r="R288" s="9" t="s">
        <v>74</v>
      </c>
      <c r="S288" s="11" t="s">
        <v>66</v>
      </c>
      <c r="T288" s="22" t="str">
        <f>MID(I281,8,1)</f>
        <v>0</v>
      </c>
      <c r="U288" s="55" t="str">
        <f t="shared" si="268"/>
        <v>0</v>
      </c>
      <c r="V288" s="9" t="s">
        <v>74</v>
      </c>
      <c r="W288" s="11" t="s">
        <v>66</v>
      </c>
      <c r="X288" s="22" t="str">
        <f>MID(J281,8,1)</f>
        <v>0</v>
      </c>
      <c r="Y288" s="55" t="str">
        <f t="shared" si="269"/>
        <v>0</v>
      </c>
      <c r="Z288" s="9" t="s">
        <v>74</v>
      </c>
      <c r="AA288" s="11" t="s">
        <v>66</v>
      </c>
      <c r="AB288" s="22" t="str">
        <f>MID(K281,8,1)</f>
        <v>0</v>
      </c>
      <c r="AC288" s="55" t="str">
        <f t="shared" si="270"/>
        <v>0</v>
      </c>
      <c r="AD288" s="9" t="s">
        <v>74</v>
      </c>
      <c r="AE288" s="11" t="s">
        <v>66</v>
      </c>
      <c r="AF288" s="22" t="str">
        <f>MID(L281,8,1)</f>
        <v>0</v>
      </c>
      <c r="AG288" s="55" t="str">
        <f t="shared" si="271"/>
        <v>0</v>
      </c>
      <c r="AH288" s="9" t="s">
        <v>74</v>
      </c>
      <c r="AI288" s="112" t="s">
        <v>259</v>
      </c>
      <c r="AJ288" s="402"/>
      <c r="AK288" s="404"/>
    </row>
    <row r="289" spans="3:37" ht="15" thickBot="1" x14ac:dyDescent="0.35">
      <c r="C289" s="4"/>
      <c r="D289" s="5"/>
      <c r="E289" s="5"/>
      <c r="F289" s="5"/>
      <c r="G289" s="5"/>
      <c r="H289" s="5"/>
      <c r="I289" s="5"/>
      <c r="J289" s="5"/>
      <c r="K289" s="5"/>
      <c r="L289" s="5"/>
      <c r="M289" s="5" t="s">
        <v>41</v>
      </c>
      <c r="N289" s="6"/>
      <c r="P289" s="530" t="s">
        <v>427</v>
      </c>
      <c r="Q289" s="530"/>
      <c r="R289" s="530"/>
      <c r="S289" s="530"/>
      <c r="T289" s="530"/>
      <c r="U289" s="530"/>
      <c r="V289" s="530"/>
      <c r="W289" s="530"/>
      <c r="X289" s="530"/>
      <c r="Y289" s="530"/>
      <c r="Z289" s="530"/>
      <c r="AA289" s="530"/>
      <c r="AB289" s="530"/>
      <c r="AC289" s="530"/>
      <c r="AD289" s="530"/>
      <c r="AE289" s="530"/>
      <c r="AF289" s="530"/>
      <c r="AG289" s="530"/>
      <c r="AH289" s="530"/>
      <c r="AI289" s="530"/>
      <c r="AJ289" s="530"/>
      <c r="AK289" s="530"/>
    </row>
    <row r="290" spans="3:37" ht="15" thickBot="1" x14ac:dyDescent="0.35">
      <c r="C290" s="7"/>
      <c r="D290" s="393" t="s">
        <v>1516</v>
      </c>
      <c r="E290" s="393"/>
      <c r="F290" s="393"/>
      <c r="G290" s="393"/>
      <c r="H290" s="99" t="s">
        <v>44</v>
      </c>
      <c r="I290" s="99" t="s">
        <v>45</v>
      </c>
      <c r="J290" s="99" t="s">
        <v>46</v>
      </c>
      <c r="K290" s="99" t="s">
        <v>47</v>
      </c>
      <c r="L290" s="99" t="s">
        <v>48</v>
      </c>
      <c r="M290" s="99" t="s">
        <v>49</v>
      </c>
      <c r="N290" s="8"/>
      <c r="P290" s="448" t="s">
        <v>260</v>
      </c>
      <c r="Q290" s="407"/>
      <c r="R290" s="407"/>
      <c r="S290" s="408"/>
      <c r="T290" s="448" t="s">
        <v>261</v>
      </c>
      <c r="U290" s="407"/>
      <c r="V290" s="407"/>
      <c r="W290" s="408"/>
      <c r="X290" s="394" t="s">
        <v>52</v>
      </c>
      <c r="Y290" s="395"/>
      <c r="Z290" s="395"/>
      <c r="AA290" s="396"/>
      <c r="AB290" s="394" t="s">
        <v>53</v>
      </c>
      <c r="AC290" s="395"/>
      <c r="AD290" s="395"/>
      <c r="AE290" s="396"/>
      <c r="AF290" s="394" t="s">
        <v>97</v>
      </c>
      <c r="AG290" s="395"/>
      <c r="AH290" s="395"/>
      <c r="AI290" s="396"/>
      <c r="AJ290" s="448" t="s">
        <v>55</v>
      </c>
      <c r="AK290" s="408"/>
    </row>
    <row r="291" spans="3:37" ht="15" thickBot="1" x14ac:dyDescent="0.35">
      <c r="C291" s="7" t="s">
        <v>56</v>
      </c>
      <c r="D291" s="12" t="s">
        <v>57</v>
      </c>
      <c r="E291" s="13" t="s">
        <v>130</v>
      </c>
      <c r="F291" s="13" t="s">
        <v>111</v>
      </c>
      <c r="G291" s="14" t="s">
        <v>262</v>
      </c>
      <c r="H291" s="41" t="str" cm="1">
        <f t="array" ref="H291">MID(INDEX($A$3:$A$70,IF(ISNA(MATCH("720G4H1*",$A$3:$A$70,0))=TRUE,MATCH("7200417*",$A$3:$A$70,0),MATCH("720G4H1*",$A$3:$A$70,0))),$AU$8,2)</f>
        <v>00</v>
      </c>
      <c r="I291" s="42" t="str" cm="1">
        <f t="array" ref="I291">MID(INDEX($A$3:$A$70,IF(ISNA(MATCH("720G4H1*",$A$3:$A$70,0))=TRUE,MATCH("7200417*",$A$3:$A$70,0),MATCH("720G4H1*",$A$3:$A$70,0))),$AV$8,2)</f>
        <v>00</v>
      </c>
      <c r="J291" s="24" t="str" cm="1">
        <f t="array" ref="J291">MID(INDEX($A$3:$A$70,IF(ISNA(MATCH("720G4H1*",$A$3:$A$70,0))=TRUE,MATCH("7200417*",$A$3:$A$70,0),MATCH("720G4H1*",$A$3:$A$70,0))),$AW$8,2)</f>
        <v>00</v>
      </c>
      <c r="K291" s="42" t="str" cm="1">
        <f t="array" ref="K291">MID(INDEX($A$3:$A$70,IF(ISNA(MATCH("720G4H1*",$A$3:$A$70,0))=TRUE,MATCH("7200417*",$A$3:$A$70,0),MATCH("720G4H1*",$A$3:$A$70,0))),$AX$8,2)</f>
        <v>00</v>
      </c>
      <c r="L291" s="43" t="str" cm="1">
        <f t="array" ref="L291">MID(INDEX($A$3:$A$70,IF(ISNA(MATCH("720G4H1*",$A$3:$A$70,0))=TRUE,MATCH("7200417*",$A$3:$A$70,0),MATCH("720G4H1*",$A$3:$A$70,0))),$AY$8,2)</f>
        <v>00</v>
      </c>
      <c r="M291" s="44" t="str" cm="1">
        <f t="array" ref="M291">MID(INDEX($A$3:$A$70,IF(ISNA(MATCH("720G4H1*",$A$3:$A$70,0))=TRUE,MATCH("7200417*",$A$3:$A$70,0),MATCH("720G4H1*",$A$3:$A$70,0))),$AZ$8,2)</f>
        <v>42</v>
      </c>
      <c r="N291" s="8" t="s">
        <v>60</v>
      </c>
      <c r="P291" s="394"/>
      <c r="Q291" s="395"/>
      <c r="R291" s="395"/>
      <c r="S291" s="396"/>
      <c r="T291" s="394"/>
      <c r="U291" s="395"/>
      <c r="V291" s="395"/>
      <c r="W291" s="396"/>
      <c r="X291" s="19" t="s">
        <v>60</v>
      </c>
      <c r="Y291" s="20" t="s">
        <v>61</v>
      </c>
      <c r="Z291" t="s">
        <v>62</v>
      </c>
      <c r="AA291" s="8"/>
      <c r="AB291" s="19" t="s">
        <v>60</v>
      </c>
      <c r="AC291" s="20" t="s">
        <v>61</v>
      </c>
      <c r="AD291" t="s">
        <v>62</v>
      </c>
      <c r="AE291" s="8"/>
      <c r="AF291" s="19" t="s">
        <v>60</v>
      </c>
      <c r="AG291" s="20" t="s">
        <v>61</v>
      </c>
      <c r="AH291" t="s">
        <v>62</v>
      </c>
      <c r="AJ291" s="394" t="s">
        <v>63</v>
      </c>
      <c r="AK291" s="396"/>
    </row>
    <row r="292" spans="3:37" ht="15" customHeight="1" x14ac:dyDescent="0.3">
      <c r="C292" s="7" t="s">
        <v>64</v>
      </c>
      <c r="D292" s="99" t="str">
        <f>HEX2BIN(D291,8)</f>
        <v>00000111</v>
      </c>
      <c r="E292" s="99" t="str">
        <f t="shared" ref="E292:L292" si="277">HEX2BIN(E291,8)</f>
        <v>00100000</v>
      </c>
      <c r="F292" s="99" t="str">
        <f t="shared" si="277"/>
        <v>00000100</v>
      </c>
      <c r="G292" s="99" t="str">
        <f t="shared" si="277"/>
        <v>00010111</v>
      </c>
      <c r="H292" s="99" t="str">
        <f t="shared" si="277"/>
        <v>00000000</v>
      </c>
      <c r="I292" s="99" t="str">
        <f t="shared" si="277"/>
        <v>00000000</v>
      </c>
      <c r="J292" s="99" t="str">
        <f t="shared" si="277"/>
        <v>00000000</v>
      </c>
      <c r="K292" s="99" t="str">
        <f t="shared" si="277"/>
        <v>00000000</v>
      </c>
      <c r="L292" s="99" t="str">
        <f t="shared" si="277"/>
        <v>00000000</v>
      </c>
      <c r="N292" s="8"/>
      <c r="P292" s="400"/>
      <c r="Q292" s="381"/>
      <c r="R292" s="381"/>
      <c r="S292" s="401"/>
      <c r="T292" s="400"/>
      <c r="U292" s="381"/>
      <c r="V292" s="381"/>
      <c r="W292" s="401"/>
      <c r="X292" s="21" t="str">
        <f>MID(J292,1,1)</f>
        <v>0</v>
      </c>
      <c r="Y292" s="26" t="str">
        <f>X292</f>
        <v>0</v>
      </c>
      <c r="Z292" s="7" t="s">
        <v>65</v>
      </c>
      <c r="AA292" s="465" t="s">
        <v>1624</v>
      </c>
      <c r="AB292" s="21" t="str">
        <f>MID(K292,1,1)</f>
        <v>0</v>
      </c>
      <c r="AC292" s="26" t="str">
        <f>AB292</f>
        <v>0</v>
      </c>
      <c r="AD292" s="7" t="s">
        <v>65</v>
      </c>
      <c r="AE292" s="8" t="s">
        <v>66</v>
      </c>
      <c r="AF292" s="21" t="str">
        <f>MID(L292,1,1)</f>
        <v>0</v>
      </c>
      <c r="AG292" s="26" t="str">
        <f>AF292</f>
        <v>0</v>
      </c>
      <c r="AH292" s="7" t="s">
        <v>65</v>
      </c>
      <c r="AI292" s="8" t="s">
        <v>66</v>
      </c>
      <c r="AJ292" s="400"/>
      <c r="AK292" s="401"/>
    </row>
    <row r="293" spans="3:37" x14ac:dyDescent="0.3">
      <c r="C293" s="7" t="s">
        <v>67</v>
      </c>
      <c r="D293" s="99">
        <f>HEX2DEC(D291)</f>
        <v>7</v>
      </c>
      <c r="E293" s="99">
        <f t="shared" ref="E293:L293" si="278">HEX2DEC(E291)</f>
        <v>32</v>
      </c>
      <c r="F293" s="99">
        <f t="shared" si="278"/>
        <v>4</v>
      </c>
      <c r="G293" s="99">
        <f t="shared" si="278"/>
        <v>23</v>
      </c>
      <c r="H293" s="99">
        <f t="shared" si="278"/>
        <v>0</v>
      </c>
      <c r="I293" s="99">
        <f t="shared" si="278"/>
        <v>0</v>
      </c>
      <c r="J293" s="99">
        <f t="shared" si="278"/>
        <v>0</v>
      </c>
      <c r="K293" s="99">
        <f t="shared" si="278"/>
        <v>0</v>
      </c>
      <c r="L293" s="99">
        <f t="shared" si="278"/>
        <v>0</v>
      </c>
      <c r="M293" s="99">
        <f>SUM(D293:L293)</f>
        <v>66</v>
      </c>
      <c r="N293" s="8"/>
      <c r="P293" s="400"/>
      <c r="Q293" s="381"/>
      <c r="R293" s="381"/>
      <c r="S293" s="401"/>
      <c r="T293" s="400"/>
      <c r="U293" s="381"/>
      <c r="V293" s="381"/>
      <c r="W293" s="401"/>
      <c r="X293" s="21" t="str">
        <f>MID(J292,2,1)</f>
        <v>0</v>
      </c>
      <c r="Y293" s="26" t="str">
        <f t="shared" ref="Y293:Y299" si="279">X293</f>
        <v>0</v>
      </c>
      <c r="Z293" s="7" t="s">
        <v>68</v>
      </c>
      <c r="AA293" s="549"/>
      <c r="AB293" s="21" t="str">
        <f>MID(K292,2,1)</f>
        <v>0</v>
      </c>
      <c r="AC293" s="26" t="str">
        <f t="shared" ref="AC293:AC299" si="280">AB293</f>
        <v>0</v>
      </c>
      <c r="AD293" s="7" t="s">
        <v>68</v>
      </c>
      <c r="AE293" s="8" t="s">
        <v>66</v>
      </c>
      <c r="AF293" s="21" t="str">
        <f>MID(L292,2,1)</f>
        <v>0</v>
      </c>
      <c r="AG293" s="26" t="str">
        <f t="shared" ref="AG293:AG299" si="281">AF293</f>
        <v>0</v>
      </c>
      <c r="AH293" s="7" t="s">
        <v>68</v>
      </c>
      <c r="AI293" s="8" t="s">
        <v>66</v>
      </c>
      <c r="AJ293" s="400"/>
      <c r="AK293" s="401"/>
    </row>
    <row r="294" spans="3:37" x14ac:dyDescent="0.3">
      <c r="C294" s="7" t="s">
        <v>1678</v>
      </c>
      <c r="D294" s="333" t="str">
        <f>D291</f>
        <v>07</v>
      </c>
      <c r="E294" s="333" t="str">
        <f>E291</f>
        <v>20</v>
      </c>
      <c r="F294" s="99" t="str">
        <f>MID(INDEX($A$3:$A$70,IF(ISNA(MATCH("720G4H1*",$A$3:$A$70,0))=TRUE,MATCH("7200417*",$A$3:$A$70,0),MATCH("720G4H1*",$A$3:$A$70,0))),$AS$8,2)</f>
        <v>G4</v>
      </c>
      <c r="G294" s="99" t="str">
        <f>MID(INDEX($A$3:$A$70,IF(ISNA(MATCH("720G4H1*",$A$3:$A$70,0))=TRUE,MATCH("7200417*",$A$3:$A$70,0),MATCH("720G4H1*",$A$3:$A$70,0))),$AT$8,2)</f>
        <v>H1</v>
      </c>
      <c r="N294" s="8"/>
      <c r="P294" s="400"/>
      <c r="Q294" s="381"/>
      <c r="R294" s="381"/>
      <c r="S294" s="401"/>
      <c r="T294" s="400"/>
      <c r="U294" s="381"/>
      <c r="V294" s="381"/>
      <c r="W294" s="401"/>
      <c r="X294" s="21" t="str">
        <f>MID(J292,3,1)</f>
        <v>0</v>
      </c>
      <c r="Y294" s="26" t="str">
        <f t="shared" si="279"/>
        <v>0</v>
      </c>
      <c r="Z294" s="7" t="s">
        <v>69</v>
      </c>
      <c r="AA294" s="549"/>
      <c r="AB294" s="21" t="str">
        <f>MID(K292,3,1)</f>
        <v>0</v>
      </c>
      <c r="AC294" s="26" t="str">
        <f t="shared" si="280"/>
        <v>0</v>
      </c>
      <c r="AD294" s="7" t="s">
        <v>69</v>
      </c>
      <c r="AE294" s="8" t="s">
        <v>66</v>
      </c>
      <c r="AF294" s="21" t="str">
        <f>MID(L292,3,1)</f>
        <v>0</v>
      </c>
      <c r="AG294" s="26" t="str">
        <f t="shared" si="281"/>
        <v>0</v>
      </c>
      <c r="AH294" s="7" t="s">
        <v>69</v>
      </c>
      <c r="AI294" s="8" t="s">
        <v>66</v>
      </c>
      <c r="AJ294" s="400"/>
      <c r="AK294" s="401"/>
    </row>
    <row r="295" spans="3:37" ht="15" thickBot="1" x14ac:dyDescent="0.35">
      <c r="C295" s="7"/>
      <c r="N295" s="8"/>
      <c r="P295" s="400"/>
      <c r="Q295" s="381"/>
      <c r="R295" s="381"/>
      <c r="S295" s="401"/>
      <c r="T295" s="400"/>
      <c r="U295" s="381"/>
      <c r="V295" s="381"/>
      <c r="W295" s="401"/>
      <c r="X295" s="21" t="str">
        <f>MID(J292,4,1)</f>
        <v>0</v>
      </c>
      <c r="Y295" s="26" t="str">
        <f t="shared" si="279"/>
        <v>0</v>
      </c>
      <c r="Z295" s="7" t="s">
        <v>70</v>
      </c>
      <c r="AA295" s="550"/>
      <c r="AB295" s="21" t="str">
        <f>MID(K292,4,1)</f>
        <v>0</v>
      </c>
      <c r="AC295" s="26" t="str">
        <f t="shared" si="280"/>
        <v>0</v>
      </c>
      <c r="AD295" s="7" t="s">
        <v>70</v>
      </c>
      <c r="AE295" s="8" t="s">
        <v>66</v>
      </c>
      <c r="AF295" s="21" t="str">
        <f>MID(L292,4,1)</f>
        <v>0</v>
      </c>
      <c r="AG295" s="26" t="str">
        <f t="shared" si="281"/>
        <v>0</v>
      </c>
      <c r="AH295" s="7" t="s">
        <v>70</v>
      </c>
      <c r="AI295" s="8" t="s">
        <v>66</v>
      </c>
      <c r="AJ295" s="400"/>
      <c r="AK295" s="401"/>
    </row>
    <row r="296" spans="3:37" ht="15" thickBot="1" x14ac:dyDescent="0.35">
      <c r="C296" s="7" t="s">
        <v>56</v>
      </c>
      <c r="D296" s="15" t="str">
        <f t="shared" ref="D296:I296" si="282">D291</f>
        <v>07</v>
      </c>
      <c r="E296" s="16" t="str">
        <f t="shared" si="282"/>
        <v>20</v>
      </c>
      <c r="F296" s="16" t="str">
        <f t="shared" si="282"/>
        <v>04</v>
      </c>
      <c r="G296" s="17" t="str">
        <f t="shared" si="282"/>
        <v>17</v>
      </c>
      <c r="H296" s="50" t="str">
        <f t="shared" si="282"/>
        <v>00</v>
      </c>
      <c r="I296" s="47" t="str">
        <f t="shared" si="282"/>
        <v>00</v>
      </c>
      <c r="J296" s="24" t="str">
        <f t="shared" ref="J296:L296" si="283">BIN2HEX(J297,2)</f>
        <v>00</v>
      </c>
      <c r="K296" s="2" t="str">
        <f t="shared" si="283"/>
        <v>00</v>
      </c>
      <c r="L296" s="18" t="str">
        <f t="shared" si="283"/>
        <v>00</v>
      </c>
      <c r="M296" s="3" t="str">
        <f>IF(LEN(M297)&gt;2,MID(M297,2,2),M297)</f>
        <v>42</v>
      </c>
      <c r="N296" s="8" t="s">
        <v>61</v>
      </c>
      <c r="P296" s="400"/>
      <c r="Q296" s="381"/>
      <c r="R296" s="381"/>
      <c r="S296" s="401"/>
      <c r="T296" s="400"/>
      <c r="U296" s="381"/>
      <c r="V296" s="381"/>
      <c r="W296" s="401"/>
      <c r="X296" s="21" t="str">
        <f>MID(J292,5,1)</f>
        <v>0</v>
      </c>
      <c r="Y296" s="26" t="str">
        <f t="shared" si="279"/>
        <v>0</v>
      </c>
      <c r="Z296" s="7" t="s">
        <v>71</v>
      </c>
      <c r="AA296" s="8" t="s">
        <v>66</v>
      </c>
      <c r="AB296" s="21" t="str">
        <f>MID(K292,5,1)</f>
        <v>0</v>
      </c>
      <c r="AC296" s="26" t="str">
        <f t="shared" si="280"/>
        <v>0</v>
      </c>
      <c r="AD296" s="7" t="s">
        <v>71</v>
      </c>
      <c r="AE296" s="8" t="s">
        <v>66</v>
      </c>
      <c r="AF296" s="21" t="str">
        <f>MID(L292,5,1)</f>
        <v>0</v>
      </c>
      <c r="AG296" s="26" t="str">
        <f t="shared" si="281"/>
        <v>0</v>
      </c>
      <c r="AH296" s="7" t="s">
        <v>71</v>
      </c>
      <c r="AI296" s="8" t="s">
        <v>66</v>
      </c>
      <c r="AJ296" s="400"/>
      <c r="AK296" s="401"/>
    </row>
    <row r="297" spans="3:37" x14ac:dyDescent="0.3">
      <c r="C297" s="7" t="s">
        <v>64</v>
      </c>
      <c r="D297" s="99" t="str">
        <f>HEX2BIN(D296,8)</f>
        <v>00000111</v>
      </c>
      <c r="E297" s="99" t="str">
        <f t="shared" ref="E297:G297" si="284">HEX2BIN(E296,8)</f>
        <v>00100000</v>
      </c>
      <c r="F297" s="99" t="str">
        <f t="shared" si="284"/>
        <v>00000100</v>
      </c>
      <c r="G297" s="99" t="str">
        <f t="shared" si="284"/>
        <v>00010111</v>
      </c>
      <c r="H297" s="29"/>
      <c r="I297" s="99"/>
      <c r="J297" s="29" t="str">
        <f>Y292&amp;Y293&amp;Y294&amp;Y295&amp;Y296&amp;Y297&amp;Y298&amp;Y299</f>
        <v>00000000</v>
      </c>
      <c r="K297" s="29" t="str">
        <f>AC292&amp;AC293&amp;AC294&amp;AC295&amp;AC296&amp;AC297&amp;AC298&amp;AC299</f>
        <v>00000000</v>
      </c>
      <c r="L297" s="99" t="str">
        <f>AG292&amp;AG293&amp;AG294&amp;AG295&amp;AG296&amp;AG297&amp;AG298&amp;AG299</f>
        <v>00000000</v>
      </c>
      <c r="M297" s="99" t="str">
        <f>DEC2HEX(M298)</f>
        <v>42</v>
      </c>
      <c r="N297" s="8"/>
      <c r="P297" s="400"/>
      <c r="Q297" s="381"/>
      <c r="R297" s="381"/>
      <c r="S297" s="401"/>
      <c r="T297" s="400"/>
      <c r="U297" s="381"/>
      <c r="V297" s="381"/>
      <c r="W297" s="401"/>
      <c r="X297" s="21" t="str">
        <f>MID(J292,6,1)</f>
        <v>0</v>
      </c>
      <c r="Y297" s="26" t="str">
        <f t="shared" si="279"/>
        <v>0</v>
      </c>
      <c r="Z297" s="7" t="s">
        <v>72</v>
      </c>
      <c r="AA297" s="8" t="s">
        <v>66</v>
      </c>
      <c r="AB297" s="21" t="str">
        <f>MID(K292,6,1)</f>
        <v>0</v>
      </c>
      <c r="AC297" s="26" t="str">
        <f t="shared" si="280"/>
        <v>0</v>
      </c>
      <c r="AD297" s="7" t="s">
        <v>72</v>
      </c>
      <c r="AE297" s="8" t="s">
        <v>66</v>
      </c>
      <c r="AF297" s="21" t="str">
        <f>MID(L292,6,1)</f>
        <v>0</v>
      </c>
      <c r="AG297" s="26" t="str">
        <f t="shared" si="281"/>
        <v>0</v>
      </c>
      <c r="AH297" s="7" t="s">
        <v>72</v>
      </c>
      <c r="AI297" s="322" t="s">
        <v>1626</v>
      </c>
      <c r="AJ297" s="400"/>
      <c r="AK297" s="401"/>
    </row>
    <row r="298" spans="3:37" x14ac:dyDescent="0.3">
      <c r="C298" s="7" t="s">
        <v>67</v>
      </c>
      <c r="D298" s="99">
        <f>HEX2DEC(D296)</f>
        <v>7</v>
      </c>
      <c r="E298" s="99">
        <f t="shared" ref="E298:L298" si="285">HEX2DEC(E296)</f>
        <v>32</v>
      </c>
      <c r="F298" s="99">
        <f t="shared" si="285"/>
        <v>4</v>
      </c>
      <c r="G298" s="99">
        <f t="shared" si="285"/>
        <v>23</v>
      </c>
      <c r="H298" s="99">
        <f t="shared" si="285"/>
        <v>0</v>
      </c>
      <c r="I298" s="99">
        <f t="shared" si="285"/>
        <v>0</v>
      </c>
      <c r="J298" s="99">
        <f t="shared" si="285"/>
        <v>0</v>
      </c>
      <c r="K298" s="99">
        <f t="shared" si="285"/>
        <v>0</v>
      </c>
      <c r="L298" s="99">
        <f t="shared" si="285"/>
        <v>0</v>
      </c>
      <c r="M298" s="99">
        <f>SUM(D298:L298)</f>
        <v>66</v>
      </c>
      <c r="N298" s="8"/>
      <c r="P298" s="400"/>
      <c r="Q298" s="381"/>
      <c r="R298" s="381"/>
      <c r="S298" s="401"/>
      <c r="T298" s="400"/>
      <c r="U298" s="381"/>
      <c r="V298" s="381"/>
      <c r="W298" s="401"/>
      <c r="X298" s="21" t="str">
        <f>MID(J292,7,1)</f>
        <v>0</v>
      </c>
      <c r="Y298" s="26" t="str">
        <f t="shared" si="279"/>
        <v>0</v>
      </c>
      <c r="Z298" s="7" t="s">
        <v>73</v>
      </c>
      <c r="AA298" s="322" t="s">
        <v>1625</v>
      </c>
      <c r="AB298" s="21" t="str">
        <f>MID(K292,7,1)</f>
        <v>0</v>
      </c>
      <c r="AC298" s="26" t="str">
        <f t="shared" si="280"/>
        <v>0</v>
      </c>
      <c r="AD298" s="7" t="s">
        <v>73</v>
      </c>
      <c r="AE298" s="8" t="s">
        <v>66</v>
      </c>
      <c r="AF298" s="21" t="str">
        <f>MID(L292,7,1)</f>
        <v>0</v>
      </c>
      <c r="AG298" s="26" t="str">
        <f t="shared" si="281"/>
        <v>0</v>
      </c>
      <c r="AH298" s="7" t="s">
        <v>73</v>
      </c>
      <c r="AI298" s="8" t="s">
        <v>66</v>
      </c>
      <c r="AJ298" s="400"/>
      <c r="AK298" s="401"/>
    </row>
    <row r="299" spans="3:37" ht="15" thickBot="1" x14ac:dyDescent="0.35">
      <c r="C299" s="9" t="s">
        <v>1678</v>
      </c>
      <c r="D299" s="334" t="str">
        <f>D294</f>
        <v>07</v>
      </c>
      <c r="E299" s="334" t="str">
        <f t="shared" ref="E299:G299" si="286">E294</f>
        <v>20</v>
      </c>
      <c r="F299" s="334" t="str">
        <f t="shared" si="286"/>
        <v>G4</v>
      </c>
      <c r="G299" s="334" t="str">
        <f t="shared" si="286"/>
        <v>H1</v>
      </c>
      <c r="H299" s="10"/>
      <c r="I299" s="10"/>
      <c r="J299" s="10"/>
      <c r="K299" s="10"/>
      <c r="L299" s="10"/>
      <c r="M299" s="10"/>
      <c r="N299" s="11"/>
      <c r="P299" s="402"/>
      <c r="Q299" s="403"/>
      <c r="R299" s="403"/>
      <c r="S299" s="404"/>
      <c r="T299" s="402"/>
      <c r="U299" s="403"/>
      <c r="V299" s="403"/>
      <c r="W299" s="404"/>
      <c r="X299" s="22" t="str">
        <f>MID(J292,8,1)</f>
        <v>0</v>
      </c>
      <c r="Y299" s="55" t="str">
        <f t="shared" si="279"/>
        <v>0</v>
      </c>
      <c r="Z299" s="9" t="s">
        <v>74</v>
      </c>
      <c r="AA299" s="11" t="s">
        <v>66</v>
      </c>
      <c r="AB299" s="22" t="str">
        <f>MID(K292,8,1)</f>
        <v>0</v>
      </c>
      <c r="AC299" s="55" t="str">
        <f t="shared" si="280"/>
        <v>0</v>
      </c>
      <c r="AD299" s="9" t="s">
        <v>74</v>
      </c>
      <c r="AE299" s="11" t="s">
        <v>66</v>
      </c>
      <c r="AF299" s="22" t="str">
        <f>MID(L292,8,1)</f>
        <v>0</v>
      </c>
      <c r="AG299" s="55" t="str">
        <f t="shared" si="281"/>
        <v>0</v>
      </c>
      <c r="AH299" s="9" t="s">
        <v>74</v>
      </c>
      <c r="AI299" s="11" t="s">
        <v>66</v>
      </c>
      <c r="AJ299" s="402"/>
      <c r="AK299" s="404"/>
    </row>
    <row r="300" spans="3:37" ht="15" thickBot="1" x14ac:dyDescent="0.35">
      <c r="C300" s="4"/>
      <c r="D300" s="5"/>
      <c r="E300" s="5"/>
      <c r="F300" s="5"/>
      <c r="G300" s="5"/>
      <c r="H300" s="5"/>
      <c r="I300" s="5"/>
      <c r="J300" s="5"/>
      <c r="K300" s="5"/>
      <c r="L300" s="5"/>
      <c r="M300" s="5" t="s">
        <v>41</v>
      </c>
      <c r="N300" s="6"/>
      <c r="P300" s="530" t="s">
        <v>428</v>
      </c>
      <c r="Q300" s="530"/>
      <c r="R300" s="530"/>
      <c r="S300" s="530"/>
      <c r="T300" s="530"/>
      <c r="U300" s="530"/>
      <c r="V300" s="530"/>
      <c r="W300" s="530"/>
      <c r="X300" s="530"/>
      <c r="Y300" s="530"/>
      <c r="Z300" s="530"/>
      <c r="AA300" s="530"/>
      <c r="AB300" s="530"/>
      <c r="AC300" s="530"/>
      <c r="AD300" s="530"/>
      <c r="AE300" s="530"/>
      <c r="AF300" s="530"/>
      <c r="AG300" s="530"/>
      <c r="AH300" s="530"/>
      <c r="AI300" s="530"/>
      <c r="AJ300" s="530"/>
      <c r="AK300" s="530"/>
    </row>
    <row r="301" spans="3:37" ht="15" thickBot="1" x14ac:dyDescent="0.35">
      <c r="C301" s="7"/>
      <c r="D301" s="393" t="s">
        <v>1517</v>
      </c>
      <c r="E301" s="393"/>
      <c r="F301" s="393"/>
      <c r="G301" s="393"/>
      <c r="H301" s="99" t="s">
        <v>44</v>
      </c>
      <c r="I301" s="99" t="s">
        <v>45</v>
      </c>
      <c r="J301" s="99" t="s">
        <v>46</v>
      </c>
      <c r="K301" s="99" t="s">
        <v>47</v>
      </c>
      <c r="L301" s="99" t="s">
        <v>48</v>
      </c>
      <c r="M301" s="99" t="s">
        <v>49</v>
      </c>
      <c r="N301" s="8"/>
      <c r="P301" s="394" t="s">
        <v>50</v>
      </c>
      <c r="Q301" s="395"/>
      <c r="R301" s="395"/>
      <c r="S301" s="396"/>
      <c r="T301" s="394" t="s">
        <v>51</v>
      </c>
      <c r="U301" s="395"/>
      <c r="V301" s="395"/>
      <c r="W301" s="396"/>
      <c r="X301" s="394" t="s">
        <v>52</v>
      </c>
      <c r="Y301" s="395"/>
      <c r="Z301" s="395"/>
      <c r="AA301" s="396"/>
      <c r="AB301" s="448" t="s">
        <v>239</v>
      </c>
      <c r="AC301" s="407"/>
      <c r="AD301" s="407"/>
      <c r="AE301" s="408"/>
      <c r="AF301" s="448" t="s">
        <v>263</v>
      </c>
      <c r="AG301" s="407"/>
      <c r="AH301" s="407"/>
      <c r="AI301" s="408"/>
      <c r="AJ301" s="448" t="s">
        <v>55</v>
      </c>
      <c r="AK301" s="408"/>
    </row>
    <row r="302" spans="3:37" ht="15" thickBot="1" x14ac:dyDescent="0.35">
      <c r="C302" s="7" t="s">
        <v>56</v>
      </c>
      <c r="D302" s="12" t="s">
        <v>57</v>
      </c>
      <c r="E302" s="13" t="s">
        <v>130</v>
      </c>
      <c r="F302" s="13" t="s">
        <v>111</v>
      </c>
      <c r="G302" s="14" t="s">
        <v>264</v>
      </c>
      <c r="H302" s="24" t="str" cm="1">
        <f t="array" ref="H302">MID(INDEX($A$3:$A$70,IF(ISNA(MATCH("720G4H2*",$A$3:$A$70,0))=TRUE,MATCH("7200418*",$A$3:$A$70,0),MATCH("720G4H2*",$A$3:$A$70,0))),$AU$8,2)</f>
        <v>00</v>
      </c>
      <c r="I302" s="42" t="str" cm="1">
        <f t="array" ref="I302">MID(INDEX($A$3:$A$70,IF(ISNA(MATCH("720G4H2*",$A$3:$A$70,0))=TRUE,MATCH("7200418*",$A$3:$A$70,0),MATCH("720G4H2*",$A$3:$A$70,0))),$AV$8,2)</f>
        <v>00</v>
      </c>
      <c r="J302" s="42" t="str" cm="1">
        <f t="array" ref="J302">MID(INDEX($A$3:$A$70,IF(ISNA(MATCH("720G4H2*",$A$3:$A$70,0))=TRUE,MATCH("7200418*",$A$3:$A$70,0),MATCH("720G4H2*",$A$3:$A$70,0))),$AW$8,2)</f>
        <v>00</v>
      </c>
      <c r="K302" s="43" t="str" cm="1">
        <f t="array" ref="K302">MID(INDEX($A$3:$A$70,IF(ISNA(MATCH("720G4H2*",$A$3:$A$70,0))=TRUE,MATCH("7200418*",$A$3:$A$70,0),MATCH("720G4H2*",$A$3:$A$70,0))),$AX$8,2)</f>
        <v>00</v>
      </c>
      <c r="L302" s="43" t="str" cm="1">
        <f t="array" ref="L302">MID(INDEX($A$3:$A$70,IF(ISNA(MATCH("720G4H2*",$A$3:$A$70,0))=TRUE,MATCH("7200418*",$A$3:$A$70,0),MATCH("720G4H2*",$A$3:$A$70,0))),$AY$8,2)</f>
        <v>00</v>
      </c>
      <c r="M302" s="44" t="str" cm="1">
        <f t="array" ref="M302">MID(INDEX($A$3:$A$70,IF(ISNA(MATCH("720G4H2*",$A$3:$A$70,0))=TRUE,MATCH("7200418*",$A$3:$A$70,0),MATCH("720G4H2*",$A$3:$A$70,0))),$AZ$8,2)</f>
        <v>43</v>
      </c>
      <c r="N302" s="8" t="s">
        <v>60</v>
      </c>
      <c r="P302" s="19" t="s">
        <v>60</v>
      </c>
      <c r="Q302" s="20" t="s">
        <v>61</v>
      </c>
      <c r="R302" t="s">
        <v>62</v>
      </c>
      <c r="S302" s="8"/>
      <c r="T302" s="19" t="s">
        <v>60</v>
      </c>
      <c r="U302" s="20" t="s">
        <v>61</v>
      </c>
      <c r="V302" t="s">
        <v>62</v>
      </c>
      <c r="W302" s="8"/>
      <c r="X302" s="19" t="s">
        <v>60</v>
      </c>
      <c r="Y302" s="20" t="s">
        <v>61</v>
      </c>
      <c r="Z302" t="s">
        <v>62</v>
      </c>
      <c r="AA302" s="8"/>
      <c r="AB302" s="394"/>
      <c r="AC302" s="395"/>
      <c r="AD302" s="395"/>
      <c r="AE302" s="396"/>
      <c r="AF302" s="394"/>
      <c r="AG302" s="395"/>
      <c r="AH302" s="395"/>
      <c r="AI302" s="396"/>
      <c r="AJ302" s="394" t="s">
        <v>63</v>
      </c>
      <c r="AK302" s="396"/>
    </row>
    <row r="303" spans="3:37" x14ac:dyDescent="0.3">
      <c r="C303" s="7" t="s">
        <v>64</v>
      </c>
      <c r="D303" s="99" t="str">
        <f>HEX2BIN(D302,8)</f>
        <v>00000111</v>
      </c>
      <c r="E303" s="99" t="str">
        <f t="shared" ref="E303:L303" si="287">HEX2BIN(E302,8)</f>
        <v>00100000</v>
      </c>
      <c r="F303" s="99" t="str">
        <f t="shared" si="287"/>
        <v>00000100</v>
      </c>
      <c r="G303" s="99" t="str">
        <f t="shared" si="287"/>
        <v>00011000</v>
      </c>
      <c r="H303" s="99" t="str">
        <f t="shared" si="287"/>
        <v>00000000</v>
      </c>
      <c r="I303" s="99" t="str">
        <f t="shared" si="287"/>
        <v>00000000</v>
      </c>
      <c r="J303" s="99" t="str">
        <f t="shared" si="287"/>
        <v>00000000</v>
      </c>
      <c r="K303" s="99" t="str">
        <f t="shared" si="287"/>
        <v>00000000</v>
      </c>
      <c r="L303" s="99" t="str">
        <f t="shared" si="287"/>
        <v>00000000</v>
      </c>
      <c r="N303" s="8"/>
      <c r="P303" s="21" t="str">
        <f>MID(H303,1,1)</f>
        <v>0</v>
      </c>
      <c r="Q303" s="26" t="str">
        <f>P303</f>
        <v>0</v>
      </c>
      <c r="R303" s="7" t="s">
        <v>65</v>
      </c>
      <c r="S303" s="573" t="s">
        <v>1697</v>
      </c>
      <c r="T303" s="21" t="str">
        <f>MID(I303,1,1)</f>
        <v>0</v>
      </c>
      <c r="U303" s="26" t="str">
        <f>T303</f>
        <v>0</v>
      </c>
      <c r="V303" s="7" t="s">
        <v>65</v>
      </c>
      <c r="W303" s="8" t="s">
        <v>66</v>
      </c>
      <c r="X303" s="21" t="str">
        <f>MID(J303,1,1)</f>
        <v>0</v>
      </c>
      <c r="Y303" s="26" t="str">
        <f>X303</f>
        <v>0</v>
      </c>
      <c r="Z303" s="7" t="s">
        <v>65</v>
      </c>
      <c r="AA303" s="8" t="s">
        <v>66</v>
      </c>
      <c r="AB303" s="400"/>
      <c r="AC303" s="381"/>
      <c r="AD303" s="381"/>
      <c r="AE303" s="401"/>
      <c r="AF303" s="400"/>
      <c r="AG303" s="381"/>
      <c r="AH303" s="381"/>
      <c r="AI303" s="401"/>
      <c r="AJ303" s="400"/>
      <c r="AK303" s="401"/>
    </row>
    <row r="304" spans="3:37" x14ac:dyDescent="0.3">
      <c r="C304" s="7" t="s">
        <v>67</v>
      </c>
      <c r="D304" s="99">
        <f>HEX2DEC(D302)</f>
        <v>7</v>
      </c>
      <c r="E304" s="99">
        <f t="shared" ref="E304:L304" si="288">HEX2DEC(E302)</f>
        <v>32</v>
      </c>
      <c r="F304" s="99">
        <f t="shared" si="288"/>
        <v>4</v>
      </c>
      <c r="G304" s="99">
        <f t="shared" si="288"/>
        <v>24</v>
      </c>
      <c r="H304" s="99">
        <f t="shared" si="288"/>
        <v>0</v>
      </c>
      <c r="I304" s="99">
        <f t="shared" si="288"/>
        <v>0</v>
      </c>
      <c r="J304" s="99">
        <f t="shared" si="288"/>
        <v>0</v>
      </c>
      <c r="K304" s="99">
        <f t="shared" si="288"/>
        <v>0</v>
      </c>
      <c r="L304" s="99">
        <f t="shared" si="288"/>
        <v>0</v>
      </c>
      <c r="M304" s="99">
        <f>SUM(D304:L304)</f>
        <v>67</v>
      </c>
      <c r="N304" s="8"/>
      <c r="P304" s="21" t="str">
        <f>MID(H303,2,1)</f>
        <v>0</v>
      </c>
      <c r="Q304" s="26" t="str">
        <f t="shared" ref="Q304:Q310" si="289">P304</f>
        <v>0</v>
      </c>
      <c r="R304" s="7" t="s">
        <v>68</v>
      </c>
      <c r="S304" s="573"/>
      <c r="T304" s="21" t="str">
        <f>MID(I303,2,1)</f>
        <v>0</v>
      </c>
      <c r="U304" s="26" t="str">
        <f t="shared" ref="U304:U310" si="290">T304</f>
        <v>0</v>
      </c>
      <c r="V304" s="7" t="s">
        <v>68</v>
      </c>
      <c r="W304" s="8" t="s">
        <v>66</v>
      </c>
      <c r="X304" s="21" t="str">
        <f>MID(J303,2,1)</f>
        <v>0</v>
      </c>
      <c r="Y304" s="26" t="str">
        <f t="shared" ref="Y304:Y310" si="291">X304</f>
        <v>0</v>
      </c>
      <c r="Z304" s="7" t="s">
        <v>68</v>
      </c>
      <c r="AA304" s="8" t="s">
        <v>66</v>
      </c>
      <c r="AB304" s="400"/>
      <c r="AC304" s="381"/>
      <c r="AD304" s="381"/>
      <c r="AE304" s="401"/>
      <c r="AF304" s="400"/>
      <c r="AG304" s="381"/>
      <c r="AH304" s="381"/>
      <c r="AI304" s="401"/>
      <c r="AJ304" s="400"/>
      <c r="AK304" s="401"/>
    </row>
    <row r="305" spans="3:37" x14ac:dyDescent="0.3">
      <c r="C305" s="7" t="s">
        <v>1678</v>
      </c>
      <c r="D305" s="333" t="str">
        <f>D302</f>
        <v>07</v>
      </c>
      <c r="E305" s="333" t="str">
        <f>E302</f>
        <v>20</v>
      </c>
      <c r="F305" s="99" t="str">
        <f>MID(INDEX($A$3:$A$70,IF(ISNA(MATCH("720G4H2*",$A$3:$A$70,0))=TRUE,MATCH("7200418*",$A$3:$A$70,0),MATCH("720G4H2*",$A$3:$A$70,0))),$AS$8,2)</f>
        <v>G4</v>
      </c>
      <c r="G305" s="99" t="str">
        <f>MID(INDEX($A$3:$A$70,IF(ISNA(MATCH("720G4H2*",$A$3:$A$70,0))=TRUE,MATCH("7200418*",$A$3:$A$70,0),MATCH("720G4H2*",$A$3:$A$70,0))),$AT$8,2)</f>
        <v>H2</v>
      </c>
      <c r="N305" s="8"/>
      <c r="P305" s="21" t="str">
        <f>MID(H303,3,1)</f>
        <v>0</v>
      </c>
      <c r="Q305" s="26" t="str">
        <f t="shared" si="289"/>
        <v>0</v>
      </c>
      <c r="R305" s="7" t="s">
        <v>69</v>
      </c>
      <c r="S305" s="573"/>
      <c r="T305" s="21" t="str">
        <f>MID(I303,3,1)</f>
        <v>0</v>
      </c>
      <c r="U305" s="26" t="str">
        <f t="shared" si="290"/>
        <v>0</v>
      </c>
      <c r="V305" s="7" t="s">
        <v>69</v>
      </c>
      <c r="W305" s="8" t="s">
        <v>66</v>
      </c>
      <c r="X305" s="21" t="str">
        <f>MID(J303,3,1)</f>
        <v>0</v>
      </c>
      <c r="Y305" s="26" t="str">
        <f t="shared" si="291"/>
        <v>0</v>
      </c>
      <c r="Z305" s="7" t="s">
        <v>69</v>
      </c>
      <c r="AA305" s="8" t="s">
        <v>66</v>
      </c>
      <c r="AB305" s="400"/>
      <c r="AC305" s="381"/>
      <c r="AD305" s="381"/>
      <c r="AE305" s="401"/>
      <c r="AF305" s="400"/>
      <c r="AG305" s="381"/>
      <c r="AH305" s="381"/>
      <c r="AI305" s="401"/>
      <c r="AJ305" s="400"/>
      <c r="AK305" s="401"/>
    </row>
    <row r="306" spans="3:37" ht="15" thickBot="1" x14ac:dyDescent="0.35">
      <c r="C306" s="7"/>
      <c r="N306" s="8"/>
      <c r="P306" s="21" t="str">
        <f>MID(H303,4,1)</f>
        <v>0</v>
      </c>
      <c r="Q306" s="26" t="str">
        <f t="shared" si="289"/>
        <v>0</v>
      </c>
      <c r="R306" s="7" t="s">
        <v>70</v>
      </c>
      <c r="S306" s="573"/>
      <c r="T306" s="21" t="str">
        <f>MID(I303,4,1)</f>
        <v>0</v>
      </c>
      <c r="U306" s="26" t="str">
        <f t="shared" si="290"/>
        <v>0</v>
      </c>
      <c r="V306" s="7" t="s">
        <v>70</v>
      </c>
      <c r="W306" s="8" t="s">
        <v>66</v>
      </c>
      <c r="X306" s="21" t="str">
        <f>MID(J303,4,1)</f>
        <v>0</v>
      </c>
      <c r="Y306" s="26" t="str">
        <f t="shared" si="291"/>
        <v>0</v>
      </c>
      <c r="Z306" s="7" t="s">
        <v>70</v>
      </c>
      <c r="AA306" s="8" t="s">
        <v>66</v>
      </c>
      <c r="AB306" s="400"/>
      <c r="AC306" s="381"/>
      <c r="AD306" s="381"/>
      <c r="AE306" s="401"/>
      <c r="AF306" s="400"/>
      <c r="AG306" s="381"/>
      <c r="AH306" s="381"/>
      <c r="AI306" s="401"/>
      <c r="AJ306" s="400"/>
      <c r="AK306" s="401"/>
    </row>
    <row r="307" spans="3:37" ht="15" thickBot="1" x14ac:dyDescent="0.35">
      <c r="C307" s="7" t="s">
        <v>56</v>
      </c>
      <c r="D307" s="15" t="str">
        <f t="shared" ref="D307:G307" si="292">D302</f>
        <v>07</v>
      </c>
      <c r="E307" s="16" t="str">
        <f t="shared" si="292"/>
        <v>20</v>
      </c>
      <c r="F307" s="16" t="str">
        <f t="shared" si="292"/>
        <v>04</v>
      </c>
      <c r="G307" s="17" t="str">
        <f t="shared" si="292"/>
        <v>18</v>
      </c>
      <c r="H307" s="23" t="str">
        <f>BIN2HEX(H308,2)</f>
        <v>00</v>
      </c>
      <c r="I307" s="25" t="str">
        <f t="shared" ref="I307:J307" si="293">BIN2HEX(I308,2)</f>
        <v>00</v>
      </c>
      <c r="J307" s="24" t="str">
        <f t="shared" si="293"/>
        <v>00</v>
      </c>
      <c r="K307" s="47" t="str">
        <f>K302</f>
        <v>00</v>
      </c>
      <c r="L307" s="49" t="str">
        <f>L302</f>
        <v>00</v>
      </c>
      <c r="M307" s="3" t="str">
        <f>IF(LEN(M308)&gt;2,MID(M308,2,2),M308)</f>
        <v>43</v>
      </c>
      <c r="N307" s="8" t="s">
        <v>61</v>
      </c>
      <c r="P307" s="21" t="str">
        <f>MID(H303,5,1)</f>
        <v>0</v>
      </c>
      <c r="Q307" s="26" t="str">
        <f t="shared" si="289"/>
        <v>0</v>
      </c>
      <c r="R307" s="7" t="s">
        <v>71</v>
      </c>
      <c r="S307" s="8" t="s">
        <v>66</v>
      </c>
      <c r="T307" s="21" t="str">
        <f>MID(I303,5,1)</f>
        <v>0</v>
      </c>
      <c r="U307" s="26" t="str">
        <f t="shared" si="290"/>
        <v>0</v>
      </c>
      <c r="V307" s="7" t="s">
        <v>71</v>
      </c>
      <c r="W307" s="8" t="s">
        <v>66</v>
      </c>
      <c r="X307" s="21" t="str">
        <f>MID(J303,5,1)</f>
        <v>0</v>
      </c>
      <c r="Y307" s="26" t="str">
        <f t="shared" si="291"/>
        <v>0</v>
      </c>
      <c r="Z307" s="7" t="s">
        <v>71</v>
      </c>
      <c r="AA307" s="8" t="s">
        <v>66</v>
      </c>
      <c r="AB307" s="400"/>
      <c r="AC307" s="381"/>
      <c r="AD307" s="381"/>
      <c r="AE307" s="401"/>
      <c r="AF307" s="400"/>
      <c r="AG307" s="381"/>
      <c r="AH307" s="381"/>
      <c r="AI307" s="401"/>
      <c r="AJ307" s="400"/>
      <c r="AK307" s="401"/>
    </row>
    <row r="308" spans="3:37" x14ac:dyDescent="0.3">
      <c r="C308" s="7" t="s">
        <v>64</v>
      </c>
      <c r="D308" s="99" t="str">
        <f>HEX2BIN(D307,8)</f>
        <v>00000111</v>
      </c>
      <c r="E308" s="99" t="str">
        <f t="shared" ref="E308:G308" si="294">HEX2BIN(E307,8)</f>
        <v>00100000</v>
      </c>
      <c r="F308" s="99" t="str">
        <f t="shared" si="294"/>
        <v>00000100</v>
      </c>
      <c r="G308" s="99" t="str">
        <f t="shared" si="294"/>
        <v>00011000</v>
      </c>
      <c r="H308" s="29" t="str">
        <f>Q303&amp;Q304&amp;Q305&amp;Q306&amp;Q307&amp;Q308&amp;Q309&amp;Q310</f>
        <v>00000000</v>
      </c>
      <c r="I308" s="99" t="str">
        <f>U303&amp;U304&amp;U305&amp;U306&amp;U307&amp;U308&amp;U309&amp;U310</f>
        <v>00000000</v>
      </c>
      <c r="J308" s="29" t="str">
        <f>Y303&amp;Y304&amp;Y305&amp;Y306&amp;Y307&amp;Y308&amp;Y309&amp;Y310</f>
        <v>00000000</v>
      </c>
      <c r="K308" s="29"/>
      <c r="L308" s="99"/>
      <c r="M308" s="99" t="str">
        <f>DEC2HEX(M309)</f>
        <v>43</v>
      </c>
      <c r="N308" s="8"/>
      <c r="P308" s="21" t="str">
        <f>MID(H303,6,1)</f>
        <v>0</v>
      </c>
      <c r="Q308" s="26" t="str">
        <f t="shared" si="289"/>
        <v>0</v>
      </c>
      <c r="R308" s="7" t="s">
        <v>72</v>
      </c>
      <c r="S308" s="8" t="s">
        <v>66</v>
      </c>
      <c r="T308" s="21" t="str">
        <f>MID(I303,6,1)</f>
        <v>0</v>
      </c>
      <c r="U308" s="26" t="str">
        <f t="shared" si="290"/>
        <v>0</v>
      </c>
      <c r="V308" s="7" t="s">
        <v>72</v>
      </c>
      <c r="W308" s="8" t="s">
        <v>66</v>
      </c>
      <c r="X308" s="21" t="str">
        <f>MID(J303,6,1)</f>
        <v>0</v>
      </c>
      <c r="Y308" s="26" t="str">
        <f t="shared" si="291"/>
        <v>0</v>
      </c>
      <c r="Z308" s="7" t="s">
        <v>72</v>
      </c>
      <c r="AA308" s="8" t="s">
        <v>66</v>
      </c>
      <c r="AB308" s="400"/>
      <c r="AC308" s="381"/>
      <c r="AD308" s="381"/>
      <c r="AE308" s="401"/>
      <c r="AF308" s="400"/>
      <c r="AG308" s="381"/>
      <c r="AH308" s="381"/>
      <c r="AI308" s="401"/>
      <c r="AJ308" s="400"/>
      <c r="AK308" s="401"/>
    </row>
    <row r="309" spans="3:37" x14ac:dyDescent="0.3">
      <c r="C309" s="7" t="s">
        <v>67</v>
      </c>
      <c r="D309" s="99">
        <f>HEX2DEC(D307)</f>
        <v>7</v>
      </c>
      <c r="E309" s="99">
        <f t="shared" ref="E309:L309" si="295">HEX2DEC(E307)</f>
        <v>32</v>
      </c>
      <c r="F309" s="99">
        <f t="shared" si="295"/>
        <v>4</v>
      </c>
      <c r="G309" s="99">
        <f t="shared" si="295"/>
        <v>24</v>
      </c>
      <c r="H309" s="99">
        <f t="shared" si="295"/>
        <v>0</v>
      </c>
      <c r="I309" s="99">
        <f t="shared" si="295"/>
        <v>0</v>
      </c>
      <c r="J309" s="99">
        <f t="shared" si="295"/>
        <v>0</v>
      </c>
      <c r="K309" s="99">
        <f t="shared" si="295"/>
        <v>0</v>
      </c>
      <c r="L309" s="99">
        <f t="shared" si="295"/>
        <v>0</v>
      </c>
      <c r="M309" s="99">
        <f>SUM(D309:L309)</f>
        <v>67</v>
      </c>
      <c r="N309" s="8"/>
      <c r="P309" s="21" t="str">
        <f>MID(H303,7,1)</f>
        <v>0</v>
      </c>
      <c r="Q309" s="26" t="str">
        <f t="shared" si="289"/>
        <v>0</v>
      </c>
      <c r="R309" s="7" t="s">
        <v>73</v>
      </c>
      <c r="S309" s="8" t="s">
        <v>66</v>
      </c>
      <c r="T309" s="21" t="str">
        <f>MID(I303,7,1)</f>
        <v>0</v>
      </c>
      <c r="U309" s="26" t="str">
        <f t="shared" si="290"/>
        <v>0</v>
      </c>
      <c r="V309" s="7" t="s">
        <v>73</v>
      </c>
      <c r="W309" s="8" t="s">
        <v>66</v>
      </c>
      <c r="X309" s="21" t="str">
        <f>MID(J303,7,1)</f>
        <v>0</v>
      </c>
      <c r="Y309" s="26" t="str">
        <f t="shared" si="291"/>
        <v>0</v>
      </c>
      <c r="Z309" s="7" t="s">
        <v>73</v>
      </c>
      <c r="AA309" s="8" t="s">
        <v>66</v>
      </c>
      <c r="AB309" s="400"/>
      <c r="AC309" s="381"/>
      <c r="AD309" s="381"/>
      <c r="AE309" s="401"/>
      <c r="AF309" s="400"/>
      <c r="AG309" s="381"/>
      <c r="AH309" s="381"/>
      <c r="AI309" s="401"/>
      <c r="AJ309" s="400"/>
      <c r="AK309" s="401"/>
    </row>
    <row r="310" spans="3:37" ht="15" thickBot="1" x14ac:dyDescent="0.35">
      <c r="C310" s="9" t="s">
        <v>1678</v>
      </c>
      <c r="D310" s="334" t="str">
        <f>D305</f>
        <v>07</v>
      </c>
      <c r="E310" s="334" t="str">
        <f t="shared" ref="E310:G310" si="296">E305</f>
        <v>20</v>
      </c>
      <c r="F310" s="334" t="str">
        <f t="shared" si="296"/>
        <v>G4</v>
      </c>
      <c r="G310" s="334" t="str">
        <f t="shared" si="296"/>
        <v>H2</v>
      </c>
      <c r="H310" s="10"/>
      <c r="I310" s="10"/>
      <c r="J310" s="10"/>
      <c r="K310" s="10"/>
      <c r="L310" s="10"/>
      <c r="M310" s="10"/>
      <c r="N310" s="11"/>
      <c r="P310" s="22" t="str">
        <f>MID(H303,8,1)</f>
        <v>0</v>
      </c>
      <c r="Q310" s="55" t="str">
        <f t="shared" si="289"/>
        <v>0</v>
      </c>
      <c r="R310" s="9" t="s">
        <v>74</v>
      </c>
      <c r="S310" s="11" t="s">
        <v>66</v>
      </c>
      <c r="T310" s="22" t="str">
        <f>MID(I303,8,1)</f>
        <v>0</v>
      </c>
      <c r="U310" s="55" t="str">
        <f t="shared" si="290"/>
        <v>0</v>
      </c>
      <c r="V310" s="9" t="s">
        <v>74</v>
      </c>
      <c r="W310" s="11" t="s">
        <v>66</v>
      </c>
      <c r="X310" s="22" t="str">
        <f>MID(J303,8,1)</f>
        <v>0</v>
      </c>
      <c r="Y310" s="55" t="str">
        <f t="shared" si="291"/>
        <v>0</v>
      </c>
      <c r="Z310" s="9" t="s">
        <v>74</v>
      </c>
      <c r="AA310" s="11" t="s">
        <v>66</v>
      </c>
      <c r="AB310" s="402"/>
      <c r="AC310" s="403"/>
      <c r="AD310" s="403"/>
      <c r="AE310" s="404"/>
      <c r="AF310" s="402"/>
      <c r="AG310" s="403"/>
      <c r="AH310" s="403"/>
      <c r="AI310" s="404"/>
      <c r="AJ310" s="402"/>
      <c r="AK310" s="404"/>
    </row>
    <row r="311" spans="3:37" ht="15" thickBot="1" x14ac:dyDescent="0.35">
      <c r="C311" s="4"/>
      <c r="D311" s="5"/>
      <c r="E311" s="5"/>
      <c r="F311" s="5"/>
      <c r="G311" s="5"/>
      <c r="H311" s="5"/>
      <c r="I311" s="5"/>
      <c r="J311" s="5"/>
      <c r="K311" s="5"/>
      <c r="L311" s="5"/>
      <c r="M311" s="5" t="s">
        <v>41</v>
      </c>
      <c r="N311" s="6"/>
      <c r="P311" s="530" t="s">
        <v>429</v>
      </c>
      <c r="Q311" s="530"/>
      <c r="R311" s="530"/>
      <c r="S311" s="530"/>
      <c r="T311" s="530"/>
      <c r="U311" s="530"/>
      <c r="V311" s="530"/>
      <c r="W311" s="530"/>
      <c r="X311" s="530"/>
      <c r="Y311" s="530"/>
      <c r="Z311" s="530"/>
      <c r="AA311" s="530"/>
      <c r="AB311" s="530"/>
      <c r="AC311" s="530"/>
      <c r="AD311" s="530"/>
      <c r="AE311" s="530"/>
      <c r="AF311" s="530"/>
      <c r="AG311" s="530"/>
      <c r="AH311" s="530"/>
      <c r="AI311" s="530"/>
      <c r="AJ311" s="530"/>
      <c r="AK311" s="530"/>
    </row>
    <row r="312" spans="3:37" ht="15" thickBot="1" x14ac:dyDescent="0.35">
      <c r="C312" s="7"/>
      <c r="D312" s="393" t="s">
        <v>1518</v>
      </c>
      <c r="E312" s="393"/>
      <c r="F312" s="393"/>
      <c r="G312" s="393"/>
      <c r="H312" s="99" t="s">
        <v>44</v>
      </c>
      <c r="I312" s="99" t="s">
        <v>45</v>
      </c>
      <c r="J312" s="99" t="s">
        <v>46</v>
      </c>
      <c r="K312" s="99" t="s">
        <v>47</v>
      </c>
      <c r="L312" s="99" t="s">
        <v>48</v>
      </c>
      <c r="M312" s="99" t="s">
        <v>49</v>
      </c>
      <c r="N312" s="8"/>
      <c r="P312" s="394" t="s">
        <v>50</v>
      </c>
      <c r="Q312" s="395"/>
      <c r="R312" s="395"/>
      <c r="S312" s="396"/>
      <c r="T312" s="394" t="s">
        <v>51</v>
      </c>
      <c r="U312" s="395"/>
      <c r="V312" s="395"/>
      <c r="W312" s="396"/>
      <c r="X312" s="394" t="s">
        <v>52</v>
      </c>
      <c r="Y312" s="395"/>
      <c r="Z312" s="395"/>
      <c r="AA312" s="396"/>
      <c r="AB312" s="394" t="s">
        <v>53</v>
      </c>
      <c r="AC312" s="395"/>
      <c r="AD312" s="395"/>
      <c r="AE312" s="396"/>
      <c r="AF312" s="394" t="s">
        <v>97</v>
      </c>
      <c r="AG312" s="395"/>
      <c r="AH312" s="395"/>
      <c r="AI312" s="396"/>
      <c r="AJ312" s="448" t="s">
        <v>55</v>
      </c>
      <c r="AK312" s="408"/>
    </row>
    <row r="313" spans="3:37" ht="15" thickBot="1" x14ac:dyDescent="0.35">
      <c r="C313" s="7" t="s">
        <v>56</v>
      </c>
      <c r="D313" s="12" t="s">
        <v>57</v>
      </c>
      <c r="E313" s="13" t="s">
        <v>130</v>
      </c>
      <c r="F313" s="13" t="s">
        <v>111</v>
      </c>
      <c r="G313" s="14" t="s">
        <v>265</v>
      </c>
      <c r="H313" s="24" t="str" cm="1">
        <f t="array" ref="H313">MID(INDEX($A$3:$A$70,IF(ISNA(MATCH("720G4H3*",$A$3:$A$70,0))=TRUE,MATCH("7200419*",$A$3:$A$70,0),MATCH("720G4H3*",$A$3:$A$70,0))),$AU$8,2)</f>
        <v>00</v>
      </c>
      <c r="I313" s="42" t="str" cm="1">
        <f t="array" ref="I313">MID(INDEX($A$3:$A$70,IF(ISNA(MATCH("720G4H3*",$A$3:$A$70,0))=TRUE,MATCH("7200419*",$A$3:$A$70,0),MATCH("720G4H3*",$A$3:$A$70,0))),$AV$8,2)</f>
        <v>00</v>
      </c>
      <c r="J313" s="42" t="str" cm="1">
        <f t="array" ref="J313">MID(INDEX($A$3:$A$70,IF(ISNA(MATCH("720G4H3*",$A$3:$A$70,0))=TRUE,MATCH("7200419*",$A$3:$A$70,0),MATCH("720G4H3*",$A$3:$A$70,0))),$AW$8,2)</f>
        <v>00</v>
      </c>
      <c r="K313" s="43" t="str" cm="1">
        <f t="array" ref="K313">MID(INDEX($A$3:$A$70,IF(ISNA(MATCH("720G4H3*",$A$3:$A$70,0))=TRUE,MATCH("7200419*",$A$3:$A$70,0),MATCH("720G4H3*",$A$3:$A$70,0))),$AX$8,2)</f>
        <v>00</v>
      </c>
      <c r="L313" s="43" t="str" cm="1">
        <f t="array" ref="L313">MID(INDEX($A$3:$A$70,IF(ISNA(MATCH("720G4H3*",$A$3:$A$70,0))=TRUE,MATCH("7200419*",$A$3:$A$70,0),MATCH("720G4H3*",$A$3:$A$70,0))),$AY$8,2)</f>
        <v>00</v>
      </c>
      <c r="M313" s="44" t="str" cm="1">
        <f t="array" ref="M313">MID(INDEX($A$3:$A$70,IF(ISNA(MATCH("720G4H3*",$A$3:$A$70,0))=TRUE,MATCH("7200419*",$A$3:$A$70,0),MATCH("720G4H3*",$A$3:$A$70,0))),$AZ$8,2)</f>
        <v>44</v>
      </c>
      <c r="N313" s="8" t="s">
        <v>60</v>
      </c>
      <c r="P313" s="19" t="s">
        <v>60</v>
      </c>
      <c r="Q313" s="20" t="s">
        <v>61</v>
      </c>
      <c r="R313" t="s">
        <v>62</v>
      </c>
      <c r="S313" s="8"/>
      <c r="T313" s="19" t="s">
        <v>60</v>
      </c>
      <c r="U313" s="20" t="s">
        <v>61</v>
      </c>
      <c r="V313" t="s">
        <v>62</v>
      </c>
      <c r="W313" s="8"/>
      <c r="X313" s="19" t="s">
        <v>60</v>
      </c>
      <c r="Y313" s="20" t="s">
        <v>61</v>
      </c>
      <c r="Z313" t="s">
        <v>62</v>
      </c>
      <c r="AA313" s="8"/>
      <c r="AB313" s="19" t="s">
        <v>60</v>
      </c>
      <c r="AC313" s="20" t="s">
        <v>61</v>
      </c>
      <c r="AD313" t="s">
        <v>62</v>
      </c>
      <c r="AE313" s="8"/>
      <c r="AF313" s="19" t="s">
        <v>60</v>
      </c>
      <c r="AG313" s="20" t="s">
        <v>61</v>
      </c>
      <c r="AH313" t="s">
        <v>62</v>
      </c>
      <c r="AJ313" s="394" t="s">
        <v>63</v>
      </c>
      <c r="AK313" s="396"/>
    </row>
    <row r="314" spans="3:37" ht="15" customHeight="1" x14ac:dyDescent="0.3">
      <c r="C314" s="7" t="s">
        <v>64</v>
      </c>
      <c r="D314" s="99" t="str">
        <f>HEX2BIN(D313,8)</f>
        <v>00000111</v>
      </c>
      <c r="E314" s="99" t="str">
        <f t="shared" ref="E314:L314" si="297">HEX2BIN(E313,8)</f>
        <v>00100000</v>
      </c>
      <c r="F314" s="99" t="str">
        <f t="shared" si="297"/>
        <v>00000100</v>
      </c>
      <c r="G314" s="99" t="str">
        <f t="shared" si="297"/>
        <v>00011001</v>
      </c>
      <c r="H314" s="99" t="str">
        <f t="shared" si="297"/>
        <v>00000000</v>
      </c>
      <c r="I314" s="99" t="str">
        <f t="shared" si="297"/>
        <v>00000000</v>
      </c>
      <c r="J314" s="99" t="str">
        <f t="shared" si="297"/>
        <v>00000000</v>
      </c>
      <c r="K314" s="99" t="str">
        <f t="shared" si="297"/>
        <v>00000000</v>
      </c>
      <c r="L314" s="99" t="str">
        <f t="shared" si="297"/>
        <v>00000000</v>
      </c>
      <c r="N314" s="8"/>
      <c r="P314" s="21" t="str">
        <f>MID(H314,1,1)</f>
        <v>0</v>
      </c>
      <c r="Q314" s="26" t="str">
        <f>P314</f>
        <v>0</v>
      </c>
      <c r="R314" s="7" t="s">
        <v>65</v>
      </c>
      <c r="S314" s="462" t="s">
        <v>1785</v>
      </c>
      <c r="T314" s="21" t="str">
        <f>MID(I314,1,1)</f>
        <v>0</v>
      </c>
      <c r="U314" s="26" t="str">
        <f>T314</f>
        <v>0</v>
      </c>
      <c r="V314" s="7" t="s">
        <v>65</v>
      </c>
      <c r="W314" s="8" t="s">
        <v>66</v>
      </c>
      <c r="X314" s="21" t="str">
        <f>MID(J314,1,1)</f>
        <v>0</v>
      </c>
      <c r="Y314" s="26" t="str">
        <f>X314</f>
        <v>0</v>
      </c>
      <c r="Z314" s="7" t="s">
        <v>65</v>
      </c>
      <c r="AA314" s="8" t="s">
        <v>66</v>
      </c>
      <c r="AB314" s="21" t="str">
        <f>MID(K314,1,1)</f>
        <v>0</v>
      </c>
      <c r="AC314" s="26" t="str">
        <f>AB314</f>
        <v>0</v>
      </c>
      <c r="AD314" s="7" t="s">
        <v>65</v>
      </c>
      <c r="AE314" s="8" t="s">
        <v>66</v>
      </c>
      <c r="AF314" s="21" t="str">
        <f>MID(L314,1,1)</f>
        <v>0</v>
      </c>
      <c r="AG314" s="26" t="str">
        <f>AF314</f>
        <v>0</v>
      </c>
      <c r="AH314" s="7" t="s">
        <v>65</v>
      </c>
      <c r="AI314" s="8" t="s">
        <v>66</v>
      </c>
      <c r="AJ314" s="400"/>
      <c r="AK314" s="401"/>
    </row>
    <row r="315" spans="3:37" x14ac:dyDescent="0.3">
      <c r="C315" s="7" t="s">
        <v>67</v>
      </c>
      <c r="D315" s="99">
        <f>HEX2DEC(D313)</f>
        <v>7</v>
      </c>
      <c r="E315" s="99">
        <f t="shared" ref="E315:L315" si="298">HEX2DEC(E313)</f>
        <v>32</v>
      </c>
      <c r="F315" s="99">
        <f t="shared" si="298"/>
        <v>4</v>
      </c>
      <c r="G315" s="99">
        <f t="shared" si="298"/>
        <v>25</v>
      </c>
      <c r="H315" s="99">
        <f t="shared" si="298"/>
        <v>0</v>
      </c>
      <c r="I315" s="99">
        <f t="shared" si="298"/>
        <v>0</v>
      </c>
      <c r="J315" s="99">
        <f t="shared" si="298"/>
        <v>0</v>
      </c>
      <c r="K315" s="99">
        <f t="shared" si="298"/>
        <v>0</v>
      </c>
      <c r="L315" s="99">
        <f t="shared" si="298"/>
        <v>0</v>
      </c>
      <c r="M315" s="99">
        <f>SUM(D315:L315)</f>
        <v>68</v>
      </c>
      <c r="N315" s="8"/>
      <c r="P315" s="21" t="str">
        <f>MID(H314,2,1)</f>
        <v>0</v>
      </c>
      <c r="Q315" s="26" t="str">
        <f t="shared" ref="Q315:Q321" si="299">P315</f>
        <v>0</v>
      </c>
      <c r="R315" s="7" t="s">
        <v>68</v>
      </c>
      <c r="S315" s="463"/>
      <c r="T315" s="21" t="str">
        <f>MID(I314,2,1)</f>
        <v>0</v>
      </c>
      <c r="U315" s="26" t="str">
        <f t="shared" ref="U315:U321" si="300">T315</f>
        <v>0</v>
      </c>
      <c r="V315" s="7" t="s">
        <v>68</v>
      </c>
      <c r="W315" s="8" t="s">
        <v>66</v>
      </c>
      <c r="X315" s="21" t="str">
        <f>MID(J314,2,1)</f>
        <v>0</v>
      </c>
      <c r="Y315" s="26" t="str">
        <f t="shared" ref="Y315:Y321" si="301">X315</f>
        <v>0</v>
      </c>
      <c r="Z315" s="7" t="s">
        <v>68</v>
      </c>
      <c r="AA315" s="8" t="s">
        <v>66</v>
      </c>
      <c r="AB315" s="21" t="str">
        <f>MID(K314,2,1)</f>
        <v>0</v>
      </c>
      <c r="AC315" s="26" t="str">
        <f t="shared" ref="AC315:AC321" si="302">AB315</f>
        <v>0</v>
      </c>
      <c r="AD315" s="7" t="s">
        <v>68</v>
      </c>
      <c r="AE315" s="8" t="s">
        <v>66</v>
      </c>
      <c r="AF315" s="21" t="str">
        <f>MID(L314,2,1)</f>
        <v>0</v>
      </c>
      <c r="AG315" s="26" t="str">
        <f t="shared" ref="AG315:AG321" si="303">AF315</f>
        <v>0</v>
      </c>
      <c r="AH315" s="7" t="s">
        <v>68</v>
      </c>
      <c r="AI315" s="8" t="s">
        <v>66</v>
      </c>
      <c r="AJ315" s="400"/>
      <c r="AK315" s="401"/>
    </row>
    <row r="316" spans="3:37" ht="15" customHeight="1" x14ac:dyDescent="0.3">
      <c r="C316" s="7" t="s">
        <v>1678</v>
      </c>
      <c r="D316" s="333" t="str">
        <f>D313</f>
        <v>07</v>
      </c>
      <c r="E316" s="333" t="str">
        <f>E313</f>
        <v>20</v>
      </c>
      <c r="F316" s="99" t="str">
        <f>MID(INDEX($A$3:$A$70,IF(ISNA(MATCH("720G4H3*",$A$3:$A$70,0))=TRUE,MATCH("7200419*",$A$3:$A$70,0),MATCH("720G4H3*",$A$3:$A$70,0))),$AS$8,2)</f>
        <v>G4</v>
      </c>
      <c r="G316" s="99" t="str">
        <f>MID(INDEX($A$3:$A$70,IF(ISNA(MATCH("720G4H3*",$A$3:$A$70,0))=TRUE,MATCH("7200419*",$A$3:$A$70,0),MATCH("720G4H3*",$A$3:$A$70,0))),$AT$8,2)</f>
        <v>H3</v>
      </c>
      <c r="N316" s="8"/>
      <c r="P316" s="21" t="str">
        <f>MID(H314,3,1)</f>
        <v>0</v>
      </c>
      <c r="Q316" s="26" t="str">
        <f t="shared" si="299"/>
        <v>0</v>
      </c>
      <c r="R316" s="7" t="s">
        <v>69</v>
      </c>
      <c r="S316" s="463"/>
      <c r="T316" s="21" t="str">
        <f>MID(I314,3,1)</f>
        <v>0</v>
      </c>
      <c r="U316" s="26" t="str">
        <f t="shared" si="300"/>
        <v>0</v>
      </c>
      <c r="V316" s="7" t="s">
        <v>69</v>
      </c>
      <c r="W316" s="8" t="s">
        <v>66</v>
      </c>
      <c r="X316" s="21" t="str">
        <f>MID(J314,3,1)</f>
        <v>0</v>
      </c>
      <c r="Y316" s="26" t="str">
        <f t="shared" si="301"/>
        <v>0</v>
      </c>
      <c r="Z316" s="7" t="s">
        <v>69</v>
      </c>
      <c r="AA316" s="8" t="s">
        <v>66</v>
      </c>
      <c r="AB316" s="21" t="str">
        <f>MID(K314,3,1)</f>
        <v>0</v>
      </c>
      <c r="AC316" s="26" t="str">
        <f t="shared" si="302"/>
        <v>0</v>
      </c>
      <c r="AD316" s="7" t="s">
        <v>69</v>
      </c>
      <c r="AE316" s="551" t="s">
        <v>1799</v>
      </c>
      <c r="AF316" s="21" t="str">
        <f>MID(L314,3,1)</f>
        <v>0</v>
      </c>
      <c r="AG316" s="26" t="str">
        <f t="shared" si="303"/>
        <v>0</v>
      </c>
      <c r="AH316" s="7" t="s">
        <v>69</v>
      </c>
      <c r="AI316" s="8" t="s">
        <v>66</v>
      </c>
      <c r="AJ316" s="400"/>
      <c r="AK316" s="401"/>
    </row>
    <row r="317" spans="3:37" ht="15" thickBot="1" x14ac:dyDescent="0.35">
      <c r="C317" s="7"/>
      <c r="N317" s="8"/>
      <c r="P317" s="21" t="str">
        <f>MID(H314,4,1)</f>
        <v>0</v>
      </c>
      <c r="Q317" s="26" t="str">
        <f t="shared" si="299"/>
        <v>0</v>
      </c>
      <c r="R317" s="7" t="s">
        <v>70</v>
      </c>
      <c r="S317" s="464"/>
      <c r="T317" s="21" t="str">
        <f>MID(I314,4,1)</f>
        <v>0</v>
      </c>
      <c r="U317" s="26" t="str">
        <f t="shared" si="300"/>
        <v>0</v>
      </c>
      <c r="V317" s="7" t="s">
        <v>70</v>
      </c>
      <c r="W317" s="8" t="s">
        <v>66</v>
      </c>
      <c r="X317" s="21" t="str">
        <f>MID(J314,4,1)</f>
        <v>0</v>
      </c>
      <c r="Y317" s="26" t="str">
        <f t="shared" si="301"/>
        <v>0</v>
      </c>
      <c r="Z317" s="7" t="s">
        <v>70</v>
      </c>
      <c r="AA317" s="8" t="s">
        <v>66</v>
      </c>
      <c r="AB317" s="21" t="str">
        <f>MID(K314,4,1)</f>
        <v>0</v>
      </c>
      <c r="AC317" s="26" t="str">
        <f t="shared" si="302"/>
        <v>0</v>
      </c>
      <c r="AD317" s="7" t="s">
        <v>70</v>
      </c>
      <c r="AE317" s="552"/>
      <c r="AF317" s="21" t="str">
        <f>MID(L314,4,1)</f>
        <v>0</v>
      </c>
      <c r="AG317" s="26" t="str">
        <f t="shared" si="303"/>
        <v>0</v>
      </c>
      <c r="AH317" s="7" t="s">
        <v>70</v>
      </c>
      <c r="AI317" s="8" t="s">
        <v>66</v>
      </c>
      <c r="AJ317" s="400"/>
      <c r="AK317" s="401"/>
    </row>
    <row r="318" spans="3:37" ht="15" thickBot="1" x14ac:dyDescent="0.35">
      <c r="C318" s="7" t="s">
        <v>56</v>
      </c>
      <c r="D318" s="15" t="str">
        <f t="shared" ref="D318:G318" si="304">D313</f>
        <v>07</v>
      </c>
      <c r="E318" s="16" t="str">
        <f t="shared" si="304"/>
        <v>20</v>
      </c>
      <c r="F318" s="16" t="str">
        <f t="shared" si="304"/>
        <v>04</v>
      </c>
      <c r="G318" s="17" t="str">
        <f t="shared" si="304"/>
        <v>19</v>
      </c>
      <c r="H318" s="23" t="str">
        <f>BIN2HEX(H319,2)</f>
        <v>00</v>
      </c>
      <c r="I318" s="25" t="str">
        <f t="shared" ref="I318:L318" si="305">BIN2HEX(I319,2)</f>
        <v>00</v>
      </c>
      <c r="J318" s="24" t="str">
        <f t="shared" si="305"/>
        <v>00</v>
      </c>
      <c r="K318" s="2" t="str">
        <f t="shared" si="305"/>
        <v>00</v>
      </c>
      <c r="L318" s="18" t="str">
        <f t="shared" si="305"/>
        <v>00</v>
      </c>
      <c r="M318" s="3" t="str">
        <f>IF(LEN(M319)&gt;2,MID(M319,2,2),M319)</f>
        <v>44</v>
      </c>
      <c r="N318" s="8" t="s">
        <v>61</v>
      </c>
      <c r="P318" s="21" t="str">
        <f>MID(H314,5,1)</f>
        <v>0</v>
      </c>
      <c r="Q318" s="26" t="str">
        <f t="shared" si="299"/>
        <v>0</v>
      </c>
      <c r="R318" s="7" t="s">
        <v>71</v>
      </c>
      <c r="S318" s="292" t="s">
        <v>1326</v>
      </c>
      <c r="T318" s="21" t="str">
        <f>MID(I314,5,1)</f>
        <v>0</v>
      </c>
      <c r="U318" s="26" t="str">
        <f t="shared" si="300"/>
        <v>0</v>
      </c>
      <c r="V318" s="7" t="s">
        <v>71</v>
      </c>
      <c r="W318" s="8" t="s">
        <v>66</v>
      </c>
      <c r="X318" s="21" t="str">
        <f>MID(J314,5,1)</f>
        <v>0</v>
      </c>
      <c r="Y318" s="26" t="str">
        <f t="shared" si="301"/>
        <v>0</v>
      </c>
      <c r="Z318" s="7" t="s">
        <v>71</v>
      </c>
      <c r="AA318" s="8" t="s">
        <v>66</v>
      </c>
      <c r="AB318" s="21" t="str">
        <f>MID(K314,5,1)</f>
        <v>0</v>
      </c>
      <c r="AC318" s="26" t="str">
        <f t="shared" si="302"/>
        <v>0</v>
      </c>
      <c r="AD318" s="7" t="s">
        <v>71</v>
      </c>
      <c r="AE318" s="8" t="s">
        <v>66</v>
      </c>
      <c r="AF318" s="21" t="str">
        <f>MID(L314,5,1)</f>
        <v>0</v>
      </c>
      <c r="AG318" s="26" t="str">
        <f t="shared" si="303"/>
        <v>0</v>
      </c>
      <c r="AH318" s="7" t="s">
        <v>71</v>
      </c>
      <c r="AI318" s="8" t="s">
        <v>66</v>
      </c>
      <c r="AJ318" s="400"/>
      <c r="AK318" s="401"/>
    </row>
    <row r="319" spans="3:37" x14ac:dyDescent="0.3">
      <c r="C319" s="7" t="s">
        <v>64</v>
      </c>
      <c r="D319" s="99" t="str">
        <f>HEX2BIN(D318,8)</f>
        <v>00000111</v>
      </c>
      <c r="E319" s="99" t="str">
        <f t="shared" ref="E319:G319" si="306">HEX2BIN(E318,8)</f>
        <v>00100000</v>
      </c>
      <c r="F319" s="99" t="str">
        <f t="shared" si="306"/>
        <v>00000100</v>
      </c>
      <c r="G319" s="99" t="str">
        <f t="shared" si="306"/>
        <v>00011001</v>
      </c>
      <c r="H319" s="29" t="str">
        <f>Q314&amp;Q315&amp;Q316&amp;Q317&amp;Q318&amp;Q319&amp;Q320&amp;Q321</f>
        <v>00000000</v>
      </c>
      <c r="I319" s="99" t="str">
        <f>U314&amp;U315&amp;U316&amp;U317&amp;U318&amp;U319&amp;U320&amp;U321</f>
        <v>00000000</v>
      </c>
      <c r="J319" s="29" t="str">
        <f>Y314&amp;Y315&amp;Y316&amp;Y317&amp;Y318&amp;Y319&amp;Y320&amp;Y321</f>
        <v>00000000</v>
      </c>
      <c r="K319" s="29" t="str">
        <f>AC314&amp;AC315&amp;AC316&amp;AC317&amp;AC318&amp;AC319&amp;AC320&amp;AC321</f>
        <v>00000000</v>
      </c>
      <c r="L319" s="99" t="str">
        <f>AG314&amp;AG315&amp;AG316&amp;AG317&amp;AG318&amp;AG319&amp;AG320&amp;AG321</f>
        <v>00000000</v>
      </c>
      <c r="M319" s="99" t="str">
        <f>DEC2HEX(M320)</f>
        <v>44</v>
      </c>
      <c r="N319" s="8"/>
      <c r="P319" s="21" t="str">
        <f>MID(H314,6,1)</f>
        <v>0</v>
      </c>
      <c r="Q319" s="26" t="str">
        <f t="shared" si="299"/>
        <v>0</v>
      </c>
      <c r="R319" s="7" t="s">
        <v>72</v>
      </c>
      <c r="S319" s="292" t="s">
        <v>1326</v>
      </c>
      <c r="T319" s="21" t="str">
        <f>MID(I314,6,1)</f>
        <v>0</v>
      </c>
      <c r="U319" s="26" t="str">
        <f t="shared" si="300"/>
        <v>0</v>
      </c>
      <c r="V319" s="7" t="s">
        <v>72</v>
      </c>
      <c r="W319" s="8" t="s">
        <v>66</v>
      </c>
      <c r="X319" s="21" t="str">
        <f>MID(J314,6,1)</f>
        <v>0</v>
      </c>
      <c r="Y319" s="26" t="str">
        <f t="shared" si="301"/>
        <v>0</v>
      </c>
      <c r="Z319" s="7" t="s">
        <v>72</v>
      </c>
      <c r="AA319" s="8" t="s">
        <v>66</v>
      </c>
      <c r="AB319" s="21" t="str">
        <f>MID(K314,6,1)</f>
        <v>0</v>
      </c>
      <c r="AC319" s="26" t="str">
        <f t="shared" si="302"/>
        <v>0</v>
      </c>
      <c r="AD319" s="7" t="s">
        <v>72</v>
      </c>
      <c r="AE319" s="8" t="s">
        <v>66</v>
      </c>
      <c r="AF319" s="21" t="str">
        <f>MID(L314,6,1)</f>
        <v>0</v>
      </c>
      <c r="AG319" s="26" t="str">
        <f t="shared" si="303"/>
        <v>0</v>
      </c>
      <c r="AH319" s="7" t="s">
        <v>72</v>
      </c>
      <c r="AI319" s="8" t="s">
        <v>66</v>
      </c>
      <c r="AJ319" s="400"/>
      <c r="AK319" s="401"/>
    </row>
    <row r="320" spans="3:37" ht="15" customHeight="1" x14ac:dyDescent="0.3">
      <c r="C320" s="7" t="s">
        <v>67</v>
      </c>
      <c r="D320" s="99">
        <f>HEX2DEC(D318)</f>
        <v>7</v>
      </c>
      <c r="E320" s="99">
        <f t="shared" ref="E320:L320" si="307">HEX2DEC(E318)</f>
        <v>32</v>
      </c>
      <c r="F320" s="99">
        <f t="shared" si="307"/>
        <v>4</v>
      </c>
      <c r="G320" s="99">
        <f t="shared" si="307"/>
        <v>25</v>
      </c>
      <c r="H320" s="99">
        <f t="shared" si="307"/>
        <v>0</v>
      </c>
      <c r="I320" s="99">
        <f t="shared" si="307"/>
        <v>0</v>
      </c>
      <c r="J320" s="99">
        <f t="shared" si="307"/>
        <v>0</v>
      </c>
      <c r="K320" s="99">
        <f t="shared" si="307"/>
        <v>0</v>
      </c>
      <c r="L320" s="99">
        <f t="shared" si="307"/>
        <v>0</v>
      </c>
      <c r="M320" s="99">
        <f>SUM(D320:L320)</f>
        <v>68</v>
      </c>
      <c r="N320" s="8"/>
      <c r="P320" s="21" t="str">
        <f>MID(H314,7,1)</f>
        <v>0</v>
      </c>
      <c r="Q320" s="26" t="str">
        <f t="shared" si="299"/>
        <v>0</v>
      </c>
      <c r="R320" s="7" t="s">
        <v>73</v>
      </c>
      <c r="S320" s="553" t="s">
        <v>1627</v>
      </c>
      <c r="T320" s="21" t="str">
        <f>MID(I314,7,1)</f>
        <v>0</v>
      </c>
      <c r="U320" s="26" t="str">
        <f t="shared" si="300"/>
        <v>0</v>
      </c>
      <c r="V320" s="7" t="s">
        <v>73</v>
      </c>
      <c r="W320" s="8" t="s">
        <v>66</v>
      </c>
      <c r="X320" s="21" t="str">
        <f>MID(J314,7,1)</f>
        <v>0</v>
      </c>
      <c r="Y320" s="26" t="str">
        <f t="shared" si="301"/>
        <v>0</v>
      </c>
      <c r="Z320" s="7" t="s">
        <v>73</v>
      </c>
      <c r="AA320" s="8" t="s">
        <v>66</v>
      </c>
      <c r="AB320" s="21" t="str">
        <f>MID(K314,7,1)</f>
        <v>0</v>
      </c>
      <c r="AC320" s="26" t="str">
        <f t="shared" si="302"/>
        <v>0</v>
      </c>
      <c r="AD320" s="7" t="s">
        <v>73</v>
      </c>
      <c r="AE320" s="8" t="s">
        <v>66</v>
      </c>
      <c r="AF320" s="21" t="str">
        <f>MID(L314,7,1)</f>
        <v>0</v>
      </c>
      <c r="AG320" s="26" t="str">
        <f t="shared" si="303"/>
        <v>0</v>
      </c>
      <c r="AH320" s="7" t="s">
        <v>73</v>
      </c>
      <c r="AI320" s="8" t="s">
        <v>66</v>
      </c>
      <c r="AJ320" s="400"/>
      <c r="AK320" s="401"/>
    </row>
    <row r="321" spans="3:37" ht="15" thickBot="1" x14ac:dyDescent="0.35">
      <c r="C321" s="9" t="s">
        <v>1678</v>
      </c>
      <c r="D321" s="334" t="str">
        <f>D316</f>
        <v>07</v>
      </c>
      <c r="E321" s="334" t="str">
        <f t="shared" ref="E321:G321" si="308">E316</f>
        <v>20</v>
      </c>
      <c r="F321" s="334" t="str">
        <f t="shared" si="308"/>
        <v>G4</v>
      </c>
      <c r="G321" s="334" t="str">
        <f t="shared" si="308"/>
        <v>H3</v>
      </c>
      <c r="H321" s="10"/>
      <c r="I321" s="10"/>
      <c r="J321" s="10"/>
      <c r="K321" s="10"/>
      <c r="L321" s="10"/>
      <c r="M321" s="10"/>
      <c r="N321" s="11"/>
      <c r="P321" s="22" t="str">
        <f>MID(H314,8,1)</f>
        <v>0</v>
      </c>
      <c r="Q321" s="55" t="str">
        <f t="shared" si="299"/>
        <v>0</v>
      </c>
      <c r="R321" s="9" t="s">
        <v>74</v>
      </c>
      <c r="S321" s="552"/>
      <c r="T321" s="22" t="str">
        <f>MID(I314,8,1)</f>
        <v>0</v>
      </c>
      <c r="U321" s="55" t="str">
        <f t="shared" si="300"/>
        <v>0</v>
      </c>
      <c r="V321" s="9" t="s">
        <v>74</v>
      </c>
      <c r="W321" s="11" t="s">
        <v>66</v>
      </c>
      <c r="X321" s="22" t="str">
        <f>MID(J314,8,1)</f>
        <v>0</v>
      </c>
      <c r="Y321" s="55" t="str">
        <f t="shared" si="301"/>
        <v>0</v>
      </c>
      <c r="Z321" s="9" t="s">
        <v>74</v>
      </c>
      <c r="AA321" s="11" t="s">
        <v>66</v>
      </c>
      <c r="AB321" s="22" t="str">
        <f>MID(K314,8,1)</f>
        <v>0</v>
      </c>
      <c r="AC321" s="55" t="str">
        <f t="shared" si="302"/>
        <v>0</v>
      </c>
      <c r="AD321" s="9" t="s">
        <v>74</v>
      </c>
      <c r="AE321" s="11" t="s">
        <v>66</v>
      </c>
      <c r="AF321" s="22" t="str">
        <f>MID(L314,8,1)</f>
        <v>0</v>
      </c>
      <c r="AG321" s="55" t="str">
        <f t="shared" si="303"/>
        <v>0</v>
      </c>
      <c r="AH321" s="9" t="s">
        <v>74</v>
      </c>
      <c r="AI321" s="11" t="s">
        <v>66</v>
      </c>
      <c r="AJ321" s="402"/>
      <c r="AK321" s="404"/>
    </row>
    <row r="322" spans="3:37" ht="15" thickBot="1" x14ac:dyDescent="0.35">
      <c r="C322" s="4"/>
      <c r="D322" s="5"/>
      <c r="E322" s="5"/>
      <c r="F322" s="5"/>
      <c r="G322" s="5"/>
      <c r="H322" s="5"/>
      <c r="I322" s="5"/>
      <c r="J322" s="5"/>
      <c r="K322" s="5"/>
      <c r="L322" s="5"/>
      <c r="M322" s="5" t="s">
        <v>41</v>
      </c>
      <c r="N322" s="6"/>
      <c r="P322" s="530" t="s">
        <v>430</v>
      </c>
      <c r="Q322" s="530"/>
      <c r="R322" s="530"/>
      <c r="S322" s="530"/>
      <c r="T322" s="530"/>
      <c r="U322" s="530"/>
      <c r="V322" s="530"/>
      <c r="W322" s="530"/>
      <c r="X322" s="530"/>
      <c r="Y322" s="530"/>
      <c r="Z322" s="530"/>
      <c r="AA322" s="530"/>
      <c r="AB322" s="530"/>
      <c r="AC322" s="530"/>
      <c r="AD322" s="530"/>
      <c r="AE322" s="530"/>
      <c r="AF322" s="530"/>
      <c r="AG322" s="530"/>
      <c r="AH322" s="530"/>
      <c r="AI322" s="530"/>
      <c r="AJ322" s="530"/>
      <c r="AK322" s="530"/>
    </row>
    <row r="323" spans="3:37" ht="15" thickBot="1" x14ac:dyDescent="0.35">
      <c r="C323" s="7"/>
      <c r="D323" s="393" t="s">
        <v>1519</v>
      </c>
      <c r="E323" s="393"/>
      <c r="F323" s="393"/>
      <c r="G323" s="393"/>
      <c r="H323" s="99" t="s">
        <v>44</v>
      </c>
      <c r="I323" s="99" t="s">
        <v>45</v>
      </c>
      <c r="J323" s="99" t="s">
        <v>46</v>
      </c>
      <c r="K323" s="99" t="s">
        <v>47</v>
      </c>
      <c r="L323" s="99" t="s">
        <v>48</v>
      </c>
      <c r="M323" s="99" t="s">
        <v>49</v>
      </c>
      <c r="N323" s="8"/>
      <c r="P323" s="394" t="s">
        <v>50</v>
      </c>
      <c r="Q323" s="395"/>
      <c r="R323" s="395"/>
      <c r="S323" s="396"/>
      <c r="T323" s="448" t="s">
        <v>247</v>
      </c>
      <c r="U323" s="407"/>
      <c r="V323" s="407"/>
      <c r="W323" s="408"/>
      <c r="X323" s="448" t="s">
        <v>266</v>
      </c>
      <c r="Y323" s="407"/>
      <c r="Z323" s="407"/>
      <c r="AA323" s="408"/>
      <c r="AB323" s="394" t="s">
        <v>53</v>
      </c>
      <c r="AC323" s="395"/>
      <c r="AD323" s="395"/>
      <c r="AE323" s="396"/>
      <c r="AF323" s="394" t="s">
        <v>97</v>
      </c>
      <c r="AG323" s="395"/>
      <c r="AH323" s="395"/>
      <c r="AI323" s="396"/>
      <c r="AJ323" s="448" t="s">
        <v>55</v>
      </c>
      <c r="AK323" s="408"/>
    </row>
    <row r="324" spans="3:37" ht="15" thickBot="1" x14ac:dyDescent="0.35">
      <c r="C324" s="7" t="s">
        <v>56</v>
      </c>
      <c r="D324" s="12" t="s">
        <v>57</v>
      </c>
      <c r="E324" s="13" t="s">
        <v>130</v>
      </c>
      <c r="F324" s="13" t="s">
        <v>111</v>
      </c>
      <c r="G324" s="14" t="s">
        <v>130</v>
      </c>
      <c r="H324" s="41" t="str" cm="1">
        <f t="array" ref="H324">MID(INDEX($A$3:$A$70,IF(ISNA(MATCH("720G4H4*",$A$3:$A$70,0))=TRUE,MATCH("7200420*",$A$3:$A$70,0),MATCH("720G4H4*",$A$3:$A$70,0))),$AU$8,2)</f>
        <v>00</v>
      </c>
      <c r="I324" s="42" t="str" cm="1">
        <f t="array" ref="I324">MID(INDEX($A$3:$A$70,IF(ISNA(MATCH("720G4H4*",$A$3:$A$70,0))=TRUE,MATCH("7200420*",$A$3:$A$70,0),MATCH("720G4H4*",$A$3:$A$70,0))),$AV$8,2)</f>
        <v>00</v>
      </c>
      <c r="J324" s="24" t="str" cm="1">
        <f t="array" ref="J324">MID(INDEX($A$3:$A$70,IF(ISNA(MATCH("720G4H4*",$A$3:$A$70,0))=TRUE,MATCH("7200420*",$A$3:$A$70,0),MATCH("720G4H4*",$A$3:$A$70,0))),$AW$8,2)</f>
        <v>00</v>
      </c>
      <c r="K324" s="42" t="str" cm="1">
        <f t="array" ref="K324">MID(INDEX($A$3:$A$70,IF(ISNA(MATCH("720G4H4*",$A$3:$A$70,0))=TRUE,MATCH("7200420*",$A$3:$A$70,0),MATCH("720G4H4*",$A$3:$A$70,0))),$AX$8,2)</f>
        <v>00</v>
      </c>
      <c r="L324" s="43" t="str" cm="1">
        <f t="array" ref="L324">MID(INDEX($A$3:$A$70,IF(ISNA(MATCH("720G4H4*",$A$3:$A$70,0))=TRUE,MATCH("7200420*",$A$3:$A$70,0),MATCH("720G4H4*",$A$3:$A$70,0))),$AY$8,2)</f>
        <v>00</v>
      </c>
      <c r="M324" s="44" t="str" cm="1">
        <f t="array" ref="M324">MID(INDEX($A$3:$A$70,IF(ISNA(MATCH("720G4H4*",$A$3:$A$70,0))=TRUE,MATCH("7200420*",$A$3:$A$70,0),MATCH("720G4H4*",$A$3:$A$70,0))),$AZ$8,2)</f>
        <v>4B</v>
      </c>
      <c r="N324" s="8" t="s">
        <v>60</v>
      </c>
      <c r="P324" s="19" t="s">
        <v>60</v>
      </c>
      <c r="Q324" s="20" t="s">
        <v>61</v>
      </c>
      <c r="R324" t="s">
        <v>62</v>
      </c>
      <c r="S324" s="8"/>
      <c r="T324" s="394"/>
      <c r="U324" s="395"/>
      <c r="V324" s="395"/>
      <c r="W324" s="396"/>
      <c r="X324" s="394"/>
      <c r="Y324" s="395"/>
      <c r="Z324" s="395"/>
      <c r="AA324" s="396"/>
      <c r="AB324" s="19" t="s">
        <v>60</v>
      </c>
      <c r="AC324" s="20" t="s">
        <v>61</v>
      </c>
      <c r="AD324" t="s">
        <v>62</v>
      </c>
      <c r="AE324" s="8"/>
      <c r="AF324" s="19" t="s">
        <v>60</v>
      </c>
      <c r="AG324" s="20" t="s">
        <v>61</v>
      </c>
      <c r="AH324" t="s">
        <v>62</v>
      </c>
      <c r="AJ324" s="394" t="s">
        <v>63</v>
      </c>
      <c r="AK324" s="396"/>
    </row>
    <row r="325" spans="3:37" x14ac:dyDescent="0.3">
      <c r="C325" s="7" t="s">
        <v>64</v>
      </c>
      <c r="D325" s="99" t="str">
        <f>HEX2BIN(D324,8)</f>
        <v>00000111</v>
      </c>
      <c r="E325" s="99" t="str">
        <f t="shared" ref="E325:L325" si="309">HEX2BIN(E324,8)</f>
        <v>00100000</v>
      </c>
      <c r="F325" s="99" t="str">
        <f t="shared" si="309"/>
        <v>00000100</v>
      </c>
      <c r="G325" s="99" t="str">
        <f t="shared" si="309"/>
        <v>00100000</v>
      </c>
      <c r="H325" s="99" t="str">
        <f t="shared" si="309"/>
        <v>00000000</v>
      </c>
      <c r="I325" s="99" t="str">
        <f t="shared" si="309"/>
        <v>00000000</v>
      </c>
      <c r="J325" s="99" t="str">
        <f t="shared" si="309"/>
        <v>00000000</v>
      </c>
      <c r="K325" s="99" t="str">
        <f t="shared" si="309"/>
        <v>00000000</v>
      </c>
      <c r="L325" s="99" t="str">
        <f t="shared" si="309"/>
        <v>00000000</v>
      </c>
      <c r="N325" s="8"/>
      <c r="P325" s="21" t="str">
        <f>MID(H325,1,1)</f>
        <v>0</v>
      </c>
      <c r="Q325" s="26" t="str">
        <f>P325</f>
        <v>0</v>
      </c>
      <c r="R325" s="7" t="s">
        <v>65</v>
      </c>
      <c r="S325" s="8" t="s">
        <v>66</v>
      </c>
      <c r="T325" s="400"/>
      <c r="U325" s="381"/>
      <c r="V325" s="381"/>
      <c r="W325" s="401"/>
      <c r="X325" s="400"/>
      <c r="Y325" s="381"/>
      <c r="Z325" s="381"/>
      <c r="AA325" s="401"/>
      <c r="AB325" s="21" t="str">
        <f>MID(K325,1,1)</f>
        <v>0</v>
      </c>
      <c r="AC325" s="26" t="str">
        <f>AB325</f>
        <v>0</v>
      </c>
      <c r="AD325" s="7" t="s">
        <v>65</v>
      </c>
      <c r="AE325" s="8" t="s">
        <v>66</v>
      </c>
      <c r="AF325" s="21" t="str">
        <f>MID(L325,1,1)</f>
        <v>0</v>
      </c>
      <c r="AG325" s="26" t="str">
        <f>AF325</f>
        <v>0</v>
      </c>
      <c r="AH325" s="7" t="s">
        <v>65</v>
      </c>
      <c r="AI325" s="8" t="s">
        <v>66</v>
      </c>
      <c r="AJ325" s="400"/>
      <c r="AK325" s="401"/>
    </row>
    <row r="326" spans="3:37" x14ac:dyDescent="0.3">
      <c r="C326" s="7" t="s">
        <v>67</v>
      </c>
      <c r="D326" s="99">
        <f>HEX2DEC(D324)</f>
        <v>7</v>
      </c>
      <c r="E326" s="99">
        <f t="shared" ref="E326:L326" si="310">HEX2DEC(E324)</f>
        <v>32</v>
      </c>
      <c r="F326" s="99">
        <f t="shared" si="310"/>
        <v>4</v>
      </c>
      <c r="G326" s="99">
        <f t="shared" si="310"/>
        <v>32</v>
      </c>
      <c r="H326" s="99">
        <f t="shared" si="310"/>
        <v>0</v>
      </c>
      <c r="I326" s="99">
        <f t="shared" si="310"/>
        <v>0</v>
      </c>
      <c r="J326" s="99">
        <f t="shared" si="310"/>
        <v>0</v>
      </c>
      <c r="K326" s="99">
        <f t="shared" si="310"/>
        <v>0</v>
      </c>
      <c r="L326" s="99">
        <f t="shared" si="310"/>
        <v>0</v>
      </c>
      <c r="M326" s="99">
        <f>SUM(D326:L326)</f>
        <v>75</v>
      </c>
      <c r="N326" s="8"/>
      <c r="P326" s="21" t="str">
        <f>MID(H325,2,1)</f>
        <v>0</v>
      </c>
      <c r="Q326" s="26" t="str">
        <f t="shared" ref="Q326:Q332" si="311">P326</f>
        <v>0</v>
      </c>
      <c r="R326" s="7" t="s">
        <v>68</v>
      </c>
      <c r="S326" s="8" t="s">
        <v>66</v>
      </c>
      <c r="T326" s="400"/>
      <c r="U326" s="381"/>
      <c r="V326" s="381"/>
      <c r="W326" s="401"/>
      <c r="X326" s="400"/>
      <c r="Y326" s="381"/>
      <c r="Z326" s="381"/>
      <c r="AA326" s="401"/>
      <c r="AB326" s="21" t="str">
        <f>MID(K325,2,1)</f>
        <v>0</v>
      </c>
      <c r="AC326" s="26" t="str">
        <f t="shared" ref="AC326:AC332" si="312">AB326</f>
        <v>0</v>
      </c>
      <c r="AD326" s="7" t="s">
        <v>68</v>
      </c>
      <c r="AE326" s="8" t="s">
        <v>66</v>
      </c>
      <c r="AF326" s="21" t="str">
        <f>MID(L325,2,1)</f>
        <v>0</v>
      </c>
      <c r="AG326" s="26" t="str">
        <f t="shared" ref="AG326:AG332" si="313">AF326</f>
        <v>0</v>
      </c>
      <c r="AH326" s="7" t="s">
        <v>68</v>
      </c>
      <c r="AI326" s="8" t="s">
        <v>66</v>
      </c>
      <c r="AJ326" s="400"/>
      <c r="AK326" s="401"/>
    </row>
    <row r="327" spans="3:37" x14ac:dyDescent="0.3">
      <c r="C327" s="7" t="s">
        <v>1678</v>
      </c>
      <c r="D327" s="333" t="str">
        <f>D324</f>
        <v>07</v>
      </c>
      <c r="E327" s="333" t="str">
        <f>E324</f>
        <v>20</v>
      </c>
      <c r="F327" s="99" t="str">
        <f>MID(INDEX($A$3:$A$70,IF(ISNA(MATCH("720G4H4*",$A$3:$A$70,0))=TRUE,MATCH("7200420*",$A$3:$A$70,0),MATCH("720G4H4*",$A$3:$A$70,0))),$AS$8,2)</f>
        <v>G4</v>
      </c>
      <c r="G327" s="99" t="str">
        <f>MID(INDEX($A$3:$A$70,IF(ISNA(MATCH("720G4H4*",$A$3:$A$70,0))=TRUE,MATCH("7200420*",$A$3:$A$70,0),MATCH("720G4H4*",$A$3:$A$70,0))),$AT$8,2)</f>
        <v>H4</v>
      </c>
      <c r="N327" s="8"/>
      <c r="P327" s="21" t="str">
        <f>MID(H325,3,1)</f>
        <v>0</v>
      </c>
      <c r="Q327" s="26" t="str">
        <f t="shared" si="311"/>
        <v>0</v>
      </c>
      <c r="R327" s="7" t="s">
        <v>69</v>
      </c>
      <c r="S327" s="8" t="s">
        <v>66</v>
      </c>
      <c r="T327" s="400"/>
      <c r="U327" s="381"/>
      <c r="V327" s="381"/>
      <c r="W327" s="401"/>
      <c r="X327" s="400"/>
      <c r="Y327" s="381"/>
      <c r="Z327" s="381"/>
      <c r="AA327" s="401"/>
      <c r="AB327" s="21" t="str">
        <f>MID(K325,3,1)</f>
        <v>0</v>
      </c>
      <c r="AC327" s="26" t="str">
        <f t="shared" si="312"/>
        <v>0</v>
      </c>
      <c r="AD327" s="7" t="s">
        <v>69</v>
      </c>
      <c r="AE327" s="8" t="s">
        <v>66</v>
      </c>
      <c r="AF327" s="21" t="str">
        <f>MID(L325,3,1)</f>
        <v>0</v>
      </c>
      <c r="AG327" s="26" t="str">
        <f t="shared" si="313"/>
        <v>0</v>
      </c>
      <c r="AH327" s="7" t="s">
        <v>69</v>
      </c>
      <c r="AI327" s="8" t="s">
        <v>66</v>
      </c>
      <c r="AJ327" s="400"/>
      <c r="AK327" s="401"/>
    </row>
    <row r="328" spans="3:37" ht="15" thickBot="1" x14ac:dyDescent="0.35">
      <c r="C328" s="7"/>
      <c r="N328" s="8"/>
      <c r="P328" s="21" t="str">
        <f>MID(H325,4,1)</f>
        <v>0</v>
      </c>
      <c r="Q328" s="26" t="str">
        <f t="shared" si="311"/>
        <v>0</v>
      </c>
      <c r="R328" s="7" t="s">
        <v>70</v>
      </c>
      <c r="S328" s="8" t="s">
        <v>66</v>
      </c>
      <c r="T328" s="400"/>
      <c r="U328" s="381"/>
      <c r="V328" s="381"/>
      <c r="W328" s="401"/>
      <c r="X328" s="400"/>
      <c r="Y328" s="381"/>
      <c r="Z328" s="381"/>
      <c r="AA328" s="401"/>
      <c r="AB328" s="21" t="str">
        <f>MID(K325,4,1)</f>
        <v>0</v>
      </c>
      <c r="AC328" s="26" t="str">
        <f t="shared" si="312"/>
        <v>0</v>
      </c>
      <c r="AD328" s="7" t="s">
        <v>70</v>
      </c>
      <c r="AE328" s="285" t="s">
        <v>1354</v>
      </c>
      <c r="AF328" s="21" t="str">
        <f>MID(L325,4,1)</f>
        <v>0</v>
      </c>
      <c r="AG328" s="26" t="str">
        <f t="shared" si="313"/>
        <v>0</v>
      </c>
      <c r="AH328" s="7" t="s">
        <v>70</v>
      </c>
      <c r="AI328" s="8" t="s">
        <v>66</v>
      </c>
      <c r="AJ328" s="400"/>
      <c r="AK328" s="401"/>
    </row>
    <row r="329" spans="3:37" ht="15" thickBot="1" x14ac:dyDescent="0.35">
      <c r="C329" s="7" t="s">
        <v>56</v>
      </c>
      <c r="D329" s="15" t="str">
        <f>D324</f>
        <v>07</v>
      </c>
      <c r="E329" s="16" t="str">
        <f>E324</f>
        <v>20</v>
      </c>
      <c r="F329" s="16" t="str">
        <f>F324</f>
        <v>04</v>
      </c>
      <c r="G329" s="17" t="str">
        <f>G324</f>
        <v>20</v>
      </c>
      <c r="H329" s="23" t="str">
        <f>BIN2HEX(H330,2)</f>
        <v>00</v>
      </c>
      <c r="I329" s="47" t="str">
        <f>I324</f>
        <v>00</v>
      </c>
      <c r="J329" s="48" t="str">
        <f>J324</f>
        <v>00</v>
      </c>
      <c r="K329" s="2" t="str">
        <f t="shared" ref="K329:L329" si="314">BIN2HEX(K330,2)</f>
        <v>00</v>
      </c>
      <c r="L329" s="18" t="str">
        <f t="shared" si="314"/>
        <v>00</v>
      </c>
      <c r="M329" s="3" t="str">
        <f>IF(LEN(M330)&gt;2,MID(M330,2,2),M330)</f>
        <v>4B</v>
      </c>
      <c r="N329" s="8" t="s">
        <v>61</v>
      </c>
      <c r="P329" s="21" t="str">
        <f>MID(H325,5,1)</f>
        <v>0</v>
      </c>
      <c r="Q329" s="26" t="str">
        <f t="shared" si="311"/>
        <v>0</v>
      </c>
      <c r="R329" s="7" t="s">
        <v>71</v>
      </c>
      <c r="S329" s="8" t="s">
        <v>66</v>
      </c>
      <c r="T329" s="400"/>
      <c r="U329" s="381"/>
      <c r="V329" s="381"/>
      <c r="W329" s="401"/>
      <c r="X329" s="400"/>
      <c r="Y329" s="381"/>
      <c r="Z329" s="381"/>
      <c r="AA329" s="401"/>
      <c r="AB329" s="21" t="str">
        <f>MID(K325,5,1)</f>
        <v>0</v>
      </c>
      <c r="AC329" s="26" t="str">
        <f t="shared" si="312"/>
        <v>0</v>
      </c>
      <c r="AD329" s="7" t="s">
        <v>71</v>
      </c>
      <c r="AE329" s="8" t="s">
        <v>66</v>
      </c>
      <c r="AF329" s="21" t="str">
        <f>MID(L325,5,1)</f>
        <v>0</v>
      </c>
      <c r="AG329" s="26" t="str">
        <f t="shared" si="313"/>
        <v>0</v>
      </c>
      <c r="AH329" s="7" t="s">
        <v>71</v>
      </c>
      <c r="AI329" s="8" t="s">
        <v>66</v>
      </c>
      <c r="AJ329" s="400"/>
      <c r="AK329" s="401"/>
    </row>
    <row r="330" spans="3:37" x14ac:dyDescent="0.3">
      <c r="C330" s="7" t="s">
        <v>64</v>
      </c>
      <c r="D330" s="99" t="str">
        <f>HEX2BIN(D329,8)</f>
        <v>00000111</v>
      </c>
      <c r="E330" s="99" t="str">
        <f t="shared" ref="E330:G330" si="315">HEX2BIN(E329,8)</f>
        <v>00100000</v>
      </c>
      <c r="F330" s="99" t="str">
        <f t="shared" si="315"/>
        <v>00000100</v>
      </c>
      <c r="G330" s="99" t="str">
        <f t="shared" si="315"/>
        <v>00100000</v>
      </c>
      <c r="H330" s="29" t="str">
        <f>Q325&amp;Q326&amp;Q327&amp;Q328&amp;Q329&amp;Q330&amp;Q331&amp;Q332</f>
        <v>00000000</v>
      </c>
      <c r="I330" s="99"/>
      <c r="J330" s="29"/>
      <c r="K330" s="29" t="str">
        <f>AC325&amp;AC326&amp;AC327&amp;AC328&amp;AC329&amp;AC330&amp;AC331&amp;AC332</f>
        <v>00000000</v>
      </c>
      <c r="L330" s="99" t="str">
        <f>AG325&amp;AG326&amp;AG327&amp;AG328&amp;AG329&amp;AG330&amp;AG331&amp;AG332</f>
        <v>00000000</v>
      </c>
      <c r="M330" s="99" t="str">
        <f>DEC2HEX(M331)</f>
        <v>4B</v>
      </c>
      <c r="N330" s="8"/>
      <c r="P330" s="21" t="str">
        <f>MID(H325,6,1)</f>
        <v>0</v>
      </c>
      <c r="Q330" s="26" t="str">
        <f t="shared" si="311"/>
        <v>0</v>
      </c>
      <c r="R330" s="7" t="s">
        <v>72</v>
      </c>
      <c r="S330" s="8" t="s">
        <v>66</v>
      </c>
      <c r="T330" s="400"/>
      <c r="U330" s="381"/>
      <c r="V330" s="381"/>
      <c r="W330" s="401"/>
      <c r="X330" s="400"/>
      <c r="Y330" s="381"/>
      <c r="Z330" s="381"/>
      <c r="AA330" s="401"/>
      <c r="AB330" s="21" t="str">
        <f>MID(K325,6,1)</f>
        <v>0</v>
      </c>
      <c r="AC330" s="26" t="str">
        <f t="shared" si="312"/>
        <v>0</v>
      </c>
      <c r="AD330" s="7" t="s">
        <v>72</v>
      </c>
      <c r="AE330" s="8" t="s">
        <v>66</v>
      </c>
      <c r="AF330" s="21" t="str">
        <f>MID(L325,6,1)</f>
        <v>0</v>
      </c>
      <c r="AG330" s="26" t="str">
        <f t="shared" si="313"/>
        <v>0</v>
      </c>
      <c r="AH330" s="7" t="s">
        <v>72</v>
      </c>
      <c r="AI330" s="8" t="s">
        <v>66</v>
      </c>
      <c r="AJ330" s="400"/>
      <c r="AK330" s="401"/>
    </row>
    <row r="331" spans="3:37" x14ac:dyDescent="0.3">
      <c r="C331" s="7" t="s">
        <v>67</v>
      </c>
      <c r="D331" s="99">
        <f>HEX2DEC(D329)</f>
        <v>7</v>
      </c>
      <c r="E331" s="99">
        <f t="shared" ref="E331:L331" si="316">HEX2DEC(E329)</f>
        <v>32</v>
      </c>
      <c r="F331" s="99">
        <f t="shared" si="316"/>
        <v>4</v>
      </c>
      <c r="G331" s="99">
        <f t="shared" si="316"/>
        <v>32</v>
      </c>
      <c r="H331" s="99">
        <f t="shared" si="316"/>
        <v>0</v>
      </c>
      <c r="I331" s="99">
        <f t="shared" si="316"/>
        <v>0</v>
      </c>
      <c r="J331" s="99">
        <f t="shared" si="316"/>
        <v>0</v>
      </c>
      <c r="K331" s="99">
        <f t="shared" si="316"/>
        <v>0</v>
      </c>
      <c r="L331" s="99">
        <f t="shared" si="316"/>
        <v>0</v>
      </c>
      <c r="M331" s="99">
        <f>SUM(D331:L331)</f>
        <v>75</v>
      </c>
      <c r="N331" s="8"/>
      <c r="P331" s="21" t="str">
        <f>MID(H325,7,1)</f>
        <v>0</v>
      </c>
      <c r="Q331" s="26" t="str">
        <f t="shared" si="311"/>
        <v>0</v>
      </c>
      <c r="R331" s="7" t="s">
        <v>73</v>
      </c>
      <c r="S331" s="8" t="s">
        <v>66</v>
      </c>
      <c r="T331" s="400"/>
      <c r="U331" s="381"/>
      <c r="V331" s="381"/>
      <c r="W331" s="401"/>
      <c r="X331" s="400"/>
      <c r="Y331" s="381"/>
      <c r="Z331" s="381"/>
      <c r="AA331" s="401"/>
      <c r="AB331" s="21" t="str">
        <f>MID(K325,7,1)</f>
        <v>0</v>
      </c>
      <c r="AC331" s="26" t="str">
        <f t="shared" si="312"/>
        <v>0</v>
      </c>
      <c r="AD331" s="7" t="s">
        <v>73</v>
      </c>
      <c r="AE331" s="8" t="s">
        <v>66</v>
      </c>
      <c r="AF331" s="21" t="str">
        <f>MID(L325,7,1)</f>
        <v>0</v>
      </c>
      <c r="AG331" s="26" t="str">
        <f t="shared" si="313"/>
        <v>0</v>
      </c>
      <c r="AH331" s="7" t="s">
        <v>73</v>
      </c>
      <c r="AI331" s="8" t="s">
        <v>66</v>
      </c>
      <c r="AJ331" s="400"/>
      <c r="AK331" s="401"/>
    </row>
    <row r="332" spans="3:37" ht="15" thickBot="1" x14ac:dyDescent="0.35">
      <c r="C332" s="9" t="s">
        <v>1678</v>
      </c>
      <c r="D332" s="334" t="str">
        <f>D327</f>
        <v>07</v>
      </c>
      <c r="E332" s="334" t="str">
        <f t="shared" ref="E332:G332" si="317">E327</f>
        <v>20</v>
      </c>
      <c r="F332" s="334" t="str">
        <f t="shared" si="317"/>
        <v>G4</v>
      </c>
      <c r="G332" s="334" t="str">
        <f t="shared" si="317"/>
        <v>H4</v>
      </c>
      <c r="H332" s="10"/>
      <c r="I332" s="10"/>
      <c r="J332" s="10"/>
      <c r="K332" s="10"/>
      <c r="L332" s="10"/>
      <c r="M332" s="10"/>
      <c r="N332" s="11"/>
      <c r="P332" s="22" t="str">
        <f>MID(H325,8,1)</f>
        <v>0</v>
      </c>
      <c r="Q332" s="55" t="str">
        <f t="shared" si="311"/>
        <v>0</v>
      </c>
      <c r="R332" s="9" t="s">
        <v>74</v>
      </c>
      <c r="S332" s="11" t="s">
        <v>66</v>
      </c>
      <c r="T332" s="402"/>
      <c r="U332" s="403"/>
      <c r="V332" s="403"/>
      <c r="W332" s="404"/>
      <c r="X332" s="402"/>
      <c r="Y332" s="403"/>
      <c r="Z332" s="403"/>
      <c r="AA332" s="404"/>
      <c r="AB332" s="22" t="str">
        <f>MID(K325,8,1)</f>
        <v>0</v>
      </c>
      <c r="AC332" s="55" t="str">
        <f t="shared" si="312"/>
        <v>0</v>
      </c>
      <c r="AD332" s="9" t="s">
        <v>74</v>
      </c>
      <c r="AE332" s="11" t="s">
        <v>66</v>
      </c>
      <c r="AF332" s="22" t="str">
        <f>MID(L325,8,1)</f>
        <v>0</v>
      </c>
      <c r="AG332" s="55" t="str">
        <f t="shared" si="313"/>
        <v>0</v>
      </c>
      <c r="AH332" s="9" t="s">
        <v>74</v>
      </c>
      <c r="AI332" s="11" t="s">
        <v>66</v>
      </c>
      <c r="AJ332" s="402"/>
      <c r="AK332" s="404"/>
    </row>
    <row r="333" spans="3:37" ht="15" thickBot="1" x14ac:dyDescent="0.35">
      <c r="C333" s="4"/>
      <c r="D333" s="5"/>
      <c r="E333" s="5"/>
      <c r="F333" s="5"/>
      <c r="G333" s="5"/>
      <c r="H333" s="5"/>
      <c r="I333" s="5"/>
      <c r="J333" s="5"/>
      <c r="K333" s="5"/>
      <c r="L333" s="5"/>
      <c r="M333" s="5" t="s">
        <v>41</v>
      </c>
      <c r="N333" s="6"/>
      <c r="P333" s="530" t="s">
        <v>431</v>
      </c>
      <c r="Q333" s="530"/>
      <c r="R333" s="530"/>
      <c r="S333" s="530"/>
      <c r="T333" s="530"/>
      <c r="U333" s="530"/>
      <c r="V333" s="530"/>
      <c r="W333" s="530"/>
      <c r="X333" s="530"/>
      <c r="Y333" s="530"/>
      <c r="Z333" s="530"/>
      <c r="AA333" s="530"/>
      <c r="AB333" s="530"/>
      <c r="AC333" s="530"/>
      <c r="AD333" s="530"/>
      <c r="AE333" s="530"/>
      <c r="AF333" s="530"/>
      <c r="AG333" s="530"/>
      <c r="AH333" s="530"/>
      <c r="AI333" s="530"/>
      <c r="AJ333" s="530"/>
      <c r="AK333" s="530"/>
    </row>
    <row r="334" spans="3:37" ht="15" thickBot="1" x14ac:dyDescent="0.35">
      <c r="C334" s="7"/>
      <c r="D334" s="393" t="s">
        <v>1559</v>
      </c>
      <c r="E334" s="393"/>
      <c r="F334" s="393"/>
      <c r="G334" s="393"/>
      <c r="H334" s="99" t="s">
        <v>44</v>
      </c>
      <c r="I334" s="99" t="s">
        <v>45</v>
      </c>
      <c r="J334" s="99" t="s">
        <v>46</v>
      </c>
      <c r="K334" s="99" t="s">
        <v>47</v>
      </c>
      <c r="L334" s="99" t="s">
        <v>48</v>
      </c>
      <c r="M334" s="99" t="s">
        <v>49</v>
      </c>
      <c r="N334" s="8"/>
      <c r="P334" s="394" t="s">
        <v>50</v>
      </c>
      <c r="Q334" s="395"/>
      <c r="R334" s="395"/>
      <c r="S334" s="396"/>
      <c r="T334" s="394" t="s">
        <v>51</v>
      </c>
      <c r="U334" s="395"/>
      <c r="V334" s="395"/>
      <c r="W334" s="396"/>
      <c r="X334" s="394" t="s">
        <v>52</v>
      </c>
      <c r="Y334" s="395"/>
      <c r="Z334" s="395"/>
      <c r="AA334" s="396"/>
      <c r="AB334" s="394" t="s">
        <v>53</v>
      </c>
      <c r="AC334" s="395"/>
      <c r="AD334" s="395"/>
      <c r="AE334" s="396"/>
      <c r="AF334" s="448" t="s">
        <v>267</v>
      </c>
      <c r="AG334" s="407"/>
      <c r="AH334" s="407"/>
      <c r="AI334" s="408"/>
      <c r="AJ334" s="448" t="s">
        <v>55</v>
      </c>
      <c r="AK334" s="408"/>
    </row>
    <row r="335" spans="3:37" ht="15" thickBot="1" x14ac:dyDescent="0.35">
      <c r="C335" s="7" t="s">
        <v>56</v>
      </c>
      <c r="D335" s="12" t="s">
        <v>57</v>
      </c>
      <c r="E335" s="13" t="s">
        <v>130</v>
      </c>
      <c r="F335" s="13" t="s">
        <v>111</v>
      </c>
      <c r="G335" s="14" t="s">
        <v>268</v>
      </c>
      <c r="H335" s="24" t="str" cm="1">
        <f t="array" ref="H335">MID(INDEX($A$3:$A$70,IF(ISNA(MATCH("720G4H5*",$A$3:$A$70,0))=TRUE,MATCH("7200421*",$A$3:$A$70,0),MATCH("720G4H5*",$A$3:$A$70,0))),$AU$8,2)</f>
        <v>00</v>
      </c>
      <c r="I335" s="42" t="str" cm="1">
        <f t="array" ref="I335">MID(INDEX($A$3:$A$70,IF(ISNA(MATCH("720G4H5*",$A$3:$A$70,0))=TRUE,MATCH("7200421*",$A$3:$A$70,0),MATCH("720G4H5*",$A$3:$A$70,0))),$AV$8,2)</f>
        <v>00</v>
      </c>
      <c r="J335" s="42" t="str" cm="1">
        <f t="array" ref="J335">MID(INDEX($A$3:$A$70,IF(ISNA(MATCH("720G4H5*",$A$3:$A$70,0))=TRUE,MATCH("7200421*",$A$3:$A$70,0),MATCH("720G4H5*",$A$3:$A$70,0))),$AW$8,2)</f>
        <v>00</v>
      </c>
      <c r="K335" s="43" t="str" cm="1">
        <f t="array" ref="K335">MID(INDEX($A$3:$A$70,IF(ISNA(MATCH("720G4H5*",$A$3:$A$70,0))=TRUE,MATCH("7200421*",$A$3:$A$70,0),MATCH("720G4H5*",$A$3:$A$70,0))),$AX$8,2)</f>
        <v>00</v>
      </c>
      <c r="L335" s="43" t="str" cm="1">
        <f t="array" ref="L335">MID(INDEX($A$3:$A$70,IF(ISNA(MATCH("720G4H5*",$A$3:$A$70,0))=TRUE,MATCH("7200421*",$A$3:$A$70,0),MATCH("720G4H5*",$A$3:$A$70,0))),$AY$8,2)</f>
        <v>00</v>
      </c>
      <c r="M335" s="44" t="str" cm="1">
        <f t="array" ref="M335">MID(INDEX($A$3:$A$70,IF(ISNA(MATCH("720G4H5*",$A$3:$A$70,0))=TRUE,MATCH("7200421*",$A$3:$A$70,0),MATCH("720G4H5*",$A$3:$A$70,0))),$AZ$8,2)</f>
        <v>4C</v>
      </c>
      <c r="N335" s="8" t="s">
        <v>60</v>
      </c>
      <c r="P335" s="19" t="s">
        <v>60</v>
      </c>
      <c r="Q335" s="20" t="s">
        <v>61</v>
      </c>
      <c r="R335" t="s">
        <v>62</v>
      </c>
      <c r="S335" s="8"/>
      <c r="T335" s="19" t="s">
        <v>60</v>
      </c>
      <c r="U335" s="20" t="s">
        <v>61</v>
      </c>
      <c r="V335" t="s">
        <v>62</v>
      </c>
      <c r="W335" s="8"/>
      <c r="X335" s="19" t="s">
        <v>60</v>
      </c>
      <c r="Y335" s="20" t="s">
        <v>61</v>
      </c>
      <c r="Z335" t="s">
        <v>62</v>
      </c>
      <c r="AA335" s="8"/>
      <c r="AB335" s="19" t="s">
        <v>60</v>
      </c>
      <c r="AC335" s="20" t="s">
        <v>61</v>
      </c>
      <c r="AD335" t="s">
        <v>62</v>
      </c>
      <c r="AE335" s="8"/>
      <c r="AF335" s="394"/>
      <c r="AG335" s="395"/>
      <c r="AH335" s="395"/>
      <c r="AI335" s="396"/>
      <c r="AJ335" s="394" t="s">
        <v>63</v>
      </c>
      <c r="AK335" s="396"/>
    </row>
    <row r="336" spans="3:37" x14ac:dyDescent="0.3">
      <c r="C336" s="7" t="s">
        <v>64</v>
      </c>
      <c r="D336" s="99" t="str">
        <f>HEX2BIN(D335,8)</f>
        <v>00000111</v>
      </c>
      <c r="E336" s="99" t="str">
        <f t="shared" ref="E336:L336" si="318">HEX2BIN(E335,8)</f>
        <v>00100000</v>
      </c>
      <c r="F336" s="99" t="str">
        <f t="shared" si="318"/>
        <v>00000100</v>
      </c>
      <c r="G336" s="99" t="str">
        <f t="shared" si="318"/>
        <v>00100001</v>
      </c>
      <c r="H336" s="99" t="str">
        <f t="shared" si="318"/>
        <v>00000000</v>
      </c>
      <c r="I336" s="99" t="str">
        <f t="shared" si="318"/>
        <v>00000000</v>
      </c>
      <c r="J336" s="99" t="str">
        <f t="shared" si="318"/>
        <v>00000000</v>
      </c>
      <c r="K336" s="99" t="str">
        <f t="shared" si="318"/>
        <v>00000000</v>
      </c>
      <c r="L336" s="99" t="str">
        <f t="shared" si="318"/>
        <v>00000000</v>
      </c>
      <c r="N336" s="8"/>
      <c r="P336" s="21" t="str">
        <f>MID(H336,1,1)</f>
        <v>0</v>
      </c>
      <c r="Q336" s="26" t="str">
        <f>P336</f>
        <v>0</v>
      </c>
      <c r="R336" s="7" t="s">
        <v>65</v>
      </c>
      <c r="S336" s="8" t="s">
        <v>66</v>
      </c>
      <c r="T336" s="21" t="str">
        <f>MID(I336,1,1)</f>
        <v>0</v>
      </c>
      <c r="U336" s="26" t="str">
        <f>T336</f>
        <v>0</v>
      </c>
      <c r="V336" s="7" t="s">
        <v>65</v>
      </c>
      <c r="W336" s="8" t="s">
        <v>66</v>
      </c>
      <c r="X336" s="21" t="str">
        <f>MID(J336,1,1)</f>
        <v>0</v>
      </c>
      <c r="Y336" s="26" t="str">
        <f>X336</f>
        <v>0</v>
      </c>
      <c r="Z336" s="7" t="s">
        <v>65</v>
      </c>
      <c r="AA336" s="8" t="s">
        <v>66</v>
      </c>
      <c r="AB336" s="21" t="str">
        <f>MID(K336,1,1)</f>
        <v>0</v>
      </c>
      <c r="AC336" s="26" t="str">
        <f>AB336</f>
        <v>0</v>
      </c>
      <c r="AD336" s="7" t="s">
        <v>65</v>
      </c>
      <c r="AE336" s="8" t="s">
        <v>66</v>
      </c>
      <c r="AF336" s="400"/>
      <c r="AG336" s="381"/>
      <c r="AH336" s="381"/>
      <c r="AI336" s="401"/>
      <c r="AJ336" s="400"/>
      <c r="AK336" s="401"/>
    </row>
    <row r="337" spans="3:37" ht="15" customHeight="1" x14ac:dyDescent="0.3">
      <c r="C337" s="7" t="s">
        <v>67</v>
      </c>
      <c r="D337" s="99">
        <f>HEX2DEC(D335)</f>
        <v>7</v>
      </c>
      <c r="E337" s="99">
        <f t="shared" ref="E337:L337" si="319">HEX2DEC(E335)</f>
        <v>32</v>
      </c>
      <c r="F337" s="99">
        <f t="shared" si="319"/>
        <v>4</v>
      </c>
      <c r="G337" s="99">
        <f t="shared" si="319"/>
        <v>33</v>
      </c>
      <c r="H337" s="99">
        <f t="shared" si="319"/>
        <v>0</v>
      </c>
      <c r="I337" s="99">
        <f t="shared" si="319"/>
        <v>0</v>
      </c>
      <c r="J337" s="99">
        <f t="shared" si="319"/>
        <v>0</v>
      </c>
      <c r="K337" s="99">
        <f t="shared" si="319"/>
        <v>0</v>
      </c>
      <c r="L337" s="99">
        <f t="shared" si="319"/>
        <v>0</v>
      </c>
      <c r="M337" s="99">
        <f>SUM(D337:L337)</f>
        <v>76</v>
      </c>
      <c r="N337" s="8"/>
      <c r="P337" s="21" t="str">
        <f>MID(H336,2,1)</f>
        <v>0</v>
      </c>
      <c r="Q337" s="26" t="str">
        <f t="shared" ref="Q337:Q343" si="320">P337</f>
        <v>0</v>
      </c>
      <c r="R337" s="7" t="s">
        <v>68</v>
      </c>
      <c r="S337" s="8" t="s">
        <v>66</v>
      </c>
      <c r="T337" s="21" t="str">
        <f>MID(I336,2,1)</f>
        <v>0</v>
      </c>
      <c r="U337" s="26" t="str">
        <f t="shared" ref="U337:U343" si="321">T337</f>
        <v>0</v>
      </c>
      <c r="V337" s="7" t="s">
        <v>68</v>
      </c>
      <c r="W337" s="574" t="s">
        <v>1802</v>
      </c>
      <c r="X337" s="21" t="str">
        <f>MID(J336,2,1)</f>
        <v>0</v>
      </c>
      <c r="Y337" s="26" t="str">
        <f t="shared" ref="Y337:Y343" si="322">X337</f>
        <v>0</v>
      </c>
      <c r="Z337" s="7" t="s">
        <v>68</v>
      </c>
      <c r="AA337" s="369" t="s">
        <v>1696</v>
      </c>
      <c r="AB337" s="33" t="str">
        <f>MID(K336,2,1)</f>
        <v>0</v>
      </c>
      <c r="AC337" s="26" t="str">
        <f t="shared" ref="AC337:AC343" si="323">AB337</f>
        <v>0</v>
      </c>
      <c r="AD337" s="7" t="s">
        <v>68</v>
      </c>
      <c r="AE337" s="8" t="s">
        <v>66</v>
      </c>
      <c r="AF337" s="400"/>
      <c r="AG337" s="381"/>
      <c r="AH337" s="381"/>
      <c r="AI337" s="401"/>
      <c r="AJ337" s="400"/>
      <c r="AK337" s="401"/>
    </row>
    <row r="338" spans="3:37" x14ac:dyDescent="0.3">
      <c r="C338" s="7" t="s">
        <v>1678</v>
      </c>
      <c r="D338" s="333" t="str">
        <f>D335</f>
        <v>07</v>
      </c>
      <c r="E338" s="333" t="str">
        <f>E335</f>
        <v>20</v>
      </c>
      <c r="F338" s="99" t="str">
        <f>MID(INDEX($A$3:$A$70,IF(ISNA(MATCH("720G4H5*",$A$3:$A$70,0))=TRUE,MATCH("7200421*",$A$3:$A$70,0),MATCH("720G4H5*",$A$3:$A$70,0))),$AS$8,2)</f>
        <v>G4</v>
      </c>
      <c r="G338" s="99" t="str">
        <f>MID(INDEX($A$3:$A$70,IF(ISNA(MATCH("720G4H5*",$A$3:$A$70,0))=TRUE,MATCH("7200421*",$A$3:$A$70,0),MATCH("720G4H5*",$A$3:$A$70,0))),$AT$8,2)</f>
        <v>H5</v>
      </c>
      <c r="N338" s="8"/>
      <c r="P338" s="21" t="str">
        <f>MID(H336,3,1)</f>
        <v>0</v>
      </c>
      <c r="Q338" s="26" t="str">
        <f t="shared" si="320"/>
        <v>0</v>
      </c>
      <c r="R338" s="7" t="s">
        <v>69</v>
      </c>
      <c r="S338" s="8" t="s">
        <v>66</v>
      </c>
      <c r="T338" s="21" t="str">
        <f>MID(I336,3,1)</f>
        <v>0</v>
      </c>
      <c r="U338" s="26" t="str">
        <f t="shared" si="321"/>
        <v>0</v>
      </c>
      <c r="V338" s="7" t="s">
        <v>69</v>
      </c>
      <c r="W338" s="575"/>
      <c r="X338" s="21" t="str">
        <f>MID(J336,3,1)</f>
        <v>0</v>
      </c>
      <c r="Y338" s="26" t="str">
        <f t="shared" si="322"/>
        <v>0</v>
      </c>
      <c r="Z338" s="7" t="s">
        <v>69</v>
      </c>
      <c r="AA338" s="8" t="s">
        <v>66</v>
      </c>
      <c r="AB338" s="21" t="str">
        <f>MID(K336,3,1)</f>
        <v>0</v>
      </c>
      <c r="AC338" s="26" t="str">
        <f t="shared" si="323"/>
        <v>0</v>
      </c>
      <c r="AD338" s="7" t="s">
        <v>69</v>
      </c>
      <c r="AE338" s="8" t="s">
        <v>66</v>
      </c>
      <c r="AF338" s="400"/>
      <c r="AG338" s="381"/>
      <c r="AH338" s="381"/>
      <c r="AI338" s="401"/>
      <c r="AJ338" s="400"/>
      <c r="AK338" s="401"/>
    </row>
    <row r="339" spans="3:37" ht="15" thickBot="1" x14ac:dyDescent="0.35">
      <c r="C339" s="7"/>
      <c r="N339" s="8"/>
      <c r="P339" s="21" t="str">
        <f>MID(H336,4,1)</f>
        <v>0</v>
      </c>
      <c r="Q339" s="26" t="str">
        <f t="shared" si="320"/>
        <v>0</v>
      </c>
      <c r="R339" s="7" t="s">
        <v>70</v>
      </c>
      <c r="S339" s="8" t="s">
        <v>66</v>
      </c>
      <c r="T339" s="21" t="str">
        <f>MID(I336,4,1)</f>
        <v>0</v>
      </c>
      <c r="U339" s="26" t="str">
        <f t="shared" si="321"/>
        <v>0</v>
      </c>
      <c r="V339" s="7" t="s">
        <v>70</v>
      </c>
      <c r="W339" s="575"/>
      <c r="X339" s="21" t="str">
        <f>MID(J336,4,1)</f>
        <v>0</v>
      </c>
      <c r="Y339" s="26" t="str">
        <f t="shared" si="322"/>
        <v>0</v>
      </c>
      <c r="Z339" s="7" t="s">
        <v>70</v>
      </c>
      <c r="AA339" s="369" t="s">
        <v>1696</v>
      </c>
      <c r="AB339" s="21" t="str">
        <f>MID(K336,4,1)</f>
        <v>0</v>
      </c>
      <c r="AC339" s="26" t="str">
        <f t="shared" si="323"/>
        <v>0</v>
      </c>
      <c r="AD339" s="7" t="s">
        <v>70</v>
      </c>
      <c r="AE339" s="8" t="s">
        <v>66</v>
      </c>
      <c r="AF339" s="400"/>
      <c r="AG339" s="381"/>
      <c r="AH339" s="381"/>
      <c r="AI339" s="401"/>
      <c r="AJ339" s="400"/>
      <c r="AK339" s="401"/>
    </row>
    <row r="340" spans="3:37" ht="15" thickBot="1" x14ac:dyDescent="0.35">
      <c r="C340" s="7" t="s">
        <v>56</v>
      </c>
      <c r="D340" s="15" t="str">
        <f t="shared" ref="D340:G340" si="324">D335</f>
        <v>07</v>
      </c>
      <c r="E340" s="16" t="str">
        <f t="shared" si="324"/>
        <v>20</v>
      </c>
      <c r="F340" s="16" t="str">
        <f t="shared" si="324"/>
        <v>04</v>
      </c>
      <c r="G340" s="17" t="str">
        <f t="shared" si="324"/>
        <v>21</v>
      </c>
      <c r="H340" s="23" t="str">
        <f>BIN2HEX(H341,2)</f>
        <v>00</v>
      </c>
      <c r="I340" s="25" t="str">
        <f t="shared" ref="I340:K340" si="325">BIN2HEX(I341,2)</f>
        <v>00</v>
      </c>
      <c r="J340" s="24" t="str">
        <f t="shared" si="325"/>
        <v>00</v>
      </c>
      <c r="K340" s="2" t="str">
        <f t="shared" si="325"/>
        <v>00</v>
      </c>
      <c r="L340" s="49" t="str">
        <f>L335</f>
        <v>00</v>
      </c>
      <c r="M340" s="3" t="str">
        <f>IF(LEN(M341)&gt;2,MID(M341,2,2),M341)</f>
        <v>4C</v>
      </c>
      <c r="N340" s="8" t="s">
        <v>61</v>
      </c>
      <c r="P340" s="21" t="str">
        <f>MID(H336,5,1)</f>
        <v>0</v>
      </c>
      <c r="Q340" s="26" t="str">
        <f t="shared" si="320"/>
        <v>0</v>
      </c>
      <c r="R340" s="7" t="s">
        <v>71</v>
      </c>
      <c r="S340" s="8" t="s">
        <v>66</v>
      </c>
      <c r="T340" s="21" t="str">
        <f>MID(I336,5,1)</f>
        <v>0</v>
      </c>
      <c r="U340" s="26" t="str">
        <f t="shared" si="321"/>
        <v>0</v>
      </c>
      <c r="V340" s="7" t="s">
        <v>71</v>
      </c>
      <c r="W340" s="575"/>
      <c r="X340" s="21" t="str">
        <f>MID(J336,5,1)</f>
        <v>0</v>
      </c>
      <c r="Y340" s="26" t="str">
        <f t="shared" si="322"/>
        <v>0</v>
      </c>
      <c r="Z340" s="7" t="s">
        <v>71</v>
      </c>
      <c r="AA340" s="369" t="s">
        <v>1798</v>
      </c>
      <c r="AB340" s="21" t="str">
        <f>MID(K336,5,1)</f>
        <v>0</v>
      </c>
      <c r="AC340" s="26" t="str">
        <f t="shared" si="323"/>
        <v>0</v>
      </c>
      <c r="AD340" s="7" t="s">
        <v>71</v>
      </c>
      <c r="AE340" s="8" t="s">
        <v>66</v>
      </c>
      <c r="AF340" s="400"/>
      <c r="AG340" s="381"/>
      <c r="AH340" s="381"/>
      <c r="AI340" s="401"/>
      <c r="AJ340" s="400"/>
      <c r="AK340" s="401"/>
    </row>
    <row r="341" spans="3:37" x14ac:dyDescent="0.3">
      <c r="C341" s="7" t="s">
        <v>64</v>
      </c>
      <c r="D341" s="99" t="str">
        <f>HEX2BIN(D340,8)</f>
        <v>00000111</v>
      </c>
      <c r="E341" s="99" t="str">
        <f t="shared" ref="E341:G341" si="326">HEX2BIN(E340,8)</f>
        <v>00100000</v>
      </c>
      <c r="F341" s="99" t="str">
        <f t="shared" si="326"/>
        <v>00000100</v>
      </c>
      <c r="G341" s="99" t="str">
        <f t="shared" si="326"/>
        <v>00100001</v>
      </c>
      <c r="H341" s="29" t="str">
        <f>Q336&amp;Q337&amp;Q338&amp;Q339&amp;Q340&amp;Q341&amp;Q342&amp;Q343</f>
        <v>00000000</v>
      </c>
      <c r="I341" s="99" t="str">
        <f>U336&amp;U337&amp;U338&amp;U339&amp;U340&amp;U341&amp;U342&amp;U343</f>
        <v>00000000</v>
      </c>
      <c r="J341" s="29" t="str">
        <f>Y336&amp;Y337&amp;Y338&amp;Y339&amp;Y340&amp;Y341&amp;Y342&amp;Y343</f>
        <v>00000000</v>
      </c>
      <c r="K341" s="29" t="str">
        <f>AC336&amp;AC337&amp;AC338&amp;AC339&amp;AC340&amp;AC341&amp;AC342&amp;AC343</f>
        <v>00000000</v>
      </c>
      <c r="L341" s="99"/>
      <c r="M341" s="99" t="str">
        <f>DEC2HEX(M342)</f>
        <v>4C</v>
      </c>
      <c r="N341" s="8"/>
      <c r="P341" s="21" t="str">
        <f>MID(H336,6,1)</f>
        <v>0</v>
      </c>
      <c r="Q341" s="26" t="str">
        <f t="shared" si="320"/>
        <v>0</v>
      </c>
      <c r="R341" s="7" t="s">
        <v>72</v>
      </c>
      <c r="S341" s="8" t="s">
        <v>66</v>
      </c>
      <c r="T341" s="21" t="str">
        <f>MID(I336,6,1)</f>
        <v>0</v>
      </c>
      <c r="U341" s="26" t="str">
        <f t="shared" si="321"/>
        <v>0</v>
      </c>
      <c r="V341" s="7" t="s">
        <v>72</v>
      </c>
      <c r="W341" s="575"/>
      <c r="X341" s="21" t="str">
        <f>MID(J336,6,1)</f>
        <v>0</v>
      </c>
      <c r="Y341" s="26" t="str">
        <f t="shared" si="322"/>
        <v>0</v>
      </c>
      <c r="Z341" s="7" t="s">
        <v>72</v>
      </c>
      <c r="AA341" s="8" t="s">
        <v>66</v>
      </c>
      <c r="AB341" s="21" t="str">
        <f>MID(K336,6,1)</f>
        <v>0</v>
      </c>
      <c r="AC341" s="26" t="str">
        <f t="shared" si="323"/>
        <v>0</v>
      </c>
      <c r="AD341" s="7" t="s">
        <v>72</v>
      </c>
      <c r="AE341" s="8" t="s">
        <v>66</v>
      </c>
      <c r="AF341" s="400"/>
      <c r="AG341" s="381"/>
      <c r="AH341" s="381"/>
      <c r="AI341" s="401"/>
      <c r="AJ341" s="400"/>
      <c r="AK341" s="401"/>
    </row>
    <row r="342" spans="3:37" ht="15" customHeight="1" x14ac:dyDescent="0.3">
      <c r="C342" s="7" t="s">
        <v>67</v>
      </c>
      <c r="D342" s="99">
        <f>HEX2DEC(D340)</f>
        <v>7</v>
      </c>
      <c r="E342" s="99">
        <f t="shared" ref="E342:L342" si="327">HEX2DEC(E340)</f>
        <v>32</v>
      </c>
      <c r="F342" s="99">
        <f t="shared" si="327"/>
        <v>4</v>
      </c>
      <c r="G342" s="99">
        <f t="shared" si="327"/>
        <v>33</v>
      </c>
      <c r="H342" s="99">
        <f t="shared" si="327"/>
        <v>0</v>
      </c>
      <c r="I342" s="99">
        <f t="shared" si="327"/>
        <v>0</v>
      </c>
      <c r="J342" s="99">
        <f t="shared" si="327"/>
        <v>0</v>
      </c>
      <c r="K342" s="99">
        <f t="shared" si="327"/>
        <v>0</v>
      </c>
      <c r="L342" s="99">
        <f t="shared" si="327"/>
        <v>0</v>
      </c>
      <c r="M342" s="99">
        <f>SUM(D342:L342)</f>
        <v>76</v>
      </c>
      <c r="N342" s="8"/>
      <c r="P342" s="21" t="str">
        <f>MID(H336,7,1)</f>
        <v>0</v>
      </c>
      <c r="Q342" s="26" t="str">
        <f t="shared" si="320"/>
        <v>0</v>
      </c>
      <c r="R342" s="7" t="s">
        <v>73</v>
      </c>
      <c r="S342" s="8" t="s">
        <v>66</v>
      </c>
      <c r="T342" s="21" t="str">
        <f>MID(I336,7,1)</f>
        <v>0</v>
      </c>
      <c r="U342" s="26" t="str">
        <f t="shared" si="321"/>
        <v>0</v>
      </c>
      <c r="V342" s="7" t="s">
        <v>73</v>
      </c>
      <c r="W342" s="575"/>
      <c r="X342" s="21" t="str">
        <f>MID(J336,7,1)</f>
        <v>0</v>
      </c>
      <c r="Y342" s="26" t="str">
        <f t="shared" si="322"/>
        <v>0</v>
      </c>
      <c r="Z342" s="7" t="s">
        <v>73</v>
      </c>
      <c r="AA342" s="8" t="s">
        <v>66</v>
      </c>
      <c r="AB342" s="21" t="str">
        <f>MID(K336,7,1)</f>
        <v>0</v>
      </c>
      <c r="AC342" s="26" t="str">
        <f t="shared" si="323"/>
        <v>0</v>
      </c>
      <c r="AD342" s="7" t="s">
        <v>73</v>
      </c>
      <c r="AE342" s="8" t="s">
        <v>66</v>
      </c>
      <c r="AF342" s="400"/>
      <c r="AG342" s="381"/>
      <c r="AH342" s="381"/>
      <c r="AI342" s="401"/>
      <c r="AJ342" s="400"/>
      <c r="AK342" s="401"/>
    </row>
    <row r="343" spans="3:37" ht="15" thickBot="1" x14ac:dyDescent="0.35">
      <c r="C343" s="9" t="s">
        <v>1678</v>
      </c>
      <c r="D343" s="334" t="str">
        <f>D338</f>
        <v>07</v>
      </c>
      <c r="E343" s="334" t="str">
        <f t="shared" ref="E343:G343" si="328">E338</f>
        <v>20</v>
      </c>
      <c r="F343" s="334" t="str">
        <f t="shared" si="328"/>
        <v>G4</v>
      </c>
      <c r="G343" s="334" t="str">
        <f t="shared" si="328"/>
        <v>H5</v>
      </c>
      <c r="H343" s="10"/>
      <c r="I343" s="10"/>
      <c r="J343" s="10"/>
      <c r="K343" s="10"/>
      <c r="L343" s="10"/>
      <c r="M343" s="10"/>
      <c r="N343" s="11"/>
      <c r="P343" s="22" t="str">
        <f>MID(H336,8,1)</f>
        <v>0</v>
      </c>
      <c r="Q343" s="55" t="str">
        <f t="shared" si="320"/>
        <v>0</v>
      </c>
      <c r="R343" s="9" t="s">
        <v>74</v>
      </c>
      <c r="S343" s="11" t="s">
        <v>66</v>
      </c>
      <c r="T343" s="22" t="str">
        <f>MID(I336,8,1)</f>
        <v>0</v>
      </c>
      <c r="U343" s="55" t="str">
        <f t="shared" si="321"/>
        <v>0</v>
      </c>
      <c r="V343" s="9" t="s">
        <v>74</v>
      </c>
      <c r="W343" s="576"/>
      <c r="X343" s="22" t="str">
        <f>MID(J336,8,1)</f>
        <v>0</v>
      </c>
      <c r="Y343" s="55" t="str">
        <f t="shared" si="322"/>
        <v>0</v>
      </c>
      <c r="Z343" s="9" t="s">
        <v>74</v>
      </c>
      <c r="AA343" s="11" t="s">
        <v>66</v>
      </c>
      <c r="AB343" s="22" t="str">
        <f>MID(K336,8,1)</f>
        <v>0</v>
      </c>
      <c r="AC343" s="55" t="str">
        <f t="shared" si="323"/>
        <v>0</v>
      </c>
      <c r="AD343" s="9" t="s">
        <v>74</v>
      </c>
      <c r="AE343" s="11" t="s">
        <v>66</v>
      </c>
      <c r="AF343" s="402"/>
      <c r="AG343" s="403"/>
      <c r="AH343" s="403"/>
      <c r="AI343" s="404"/>
      <c r="AJ343" s="402"/>
      <c r="AK343" s="404"/>
    </row>
    <row r="344" spans="3:37" ht="15" thickBot="1" x14ac:dyDescent="0.35">
      <c r="C344" s="4"/>
      <c r="D344" s="5"/>
      <c r="E344" s="5"/>
      <c r="F344" s="5"/>
      <c r="G344" s="5"/>
      <c r="H344" s="5"/>
      <c r="I344" s="5"/>
      <c r="J344" s="5"/>
      <c r="K344" s="5"/>
      <c r="L344" s="5"/>
      <c r="M344" s="5" t="s">
        <v>41</v>
      </c>
      <c r="N344" s="6"/>
      <c r="P344" s="530" t="s">
        <v>432</v>
      </c>
      <c r="Q344" s="530"/>
      <c r="R344" s="530"/>
      <c r="S344" s="530"/>
      <c r="T344" s="530"/>
      <c r="U344" s="530"/>
      <c r="V344" s="530"/>
      <c r="W344" s="530"/>
      <c r="X344" s="530"/>
      <c r="Y344" s="530"/>
      <c r="Z344" s="530"/>
      <c r="AA344" s="530"/>
      <c r="AB344" s="530"/>
      <c r="AC344" s="530"/>
      <c r="AD344" s="530"/>
      <c r="AE344" s="530"/>
      <c r="AF344" s="530"/>
      <c r="AG344" s="530"/>
      <c r="AH344" s="530"/>
      <c r="AI344" s="530"/>
      <c r="AJ344" s="530"/>
      <c r="AK344" s="530"/>
    </row>
    <row r="345" spans="3:37" ht="15" thickBot="1" x14ac:dyDescent="0.35">
      <c r="C345" s="7"/>
      <c r="D345" s="393" t="s">
        <v>1520</v>
      </c>
      <c r="E345" s="393"/>
      <c r="F345" s="393"/>
      <c r="G345" s="393"/>
      <c r="H345" s="99" t="s">
        <v>44</v>
      </c>
      <c r="I345" s="99" t="s">
        <v>45</v>
      </c>
      <c r="J345" s="99" t="s">
        <v>46</v>
      </c>
      <c r="K345" s="99" t="s">
        <v>47</v>
      </c>
      <c r="L345" s="99" t="s">
        <v>48</v>
      </c>
      <c r="M345" s="99" t="s">
        <v>49</v>
      </c>
      <c r="N345" s="8"/>
      <c r="P345" s="448" t="s">
        <v>269</v>
      </c>
      <c r="Q345" s="407"/>
      <c r="R345" s="407"/>
      <c r="S345" s="408"/>
      <c r="T345" s="394" t="s">
        <v>51</v>
      </c>
      <c r="U345" s="395"/>
      <c r="V345" s="395"/>
      <c r="W345" s="396"/>
      <c r="X345" s="394" t="s">
        <v>52</v>
      </c>
      <c r="Y345" s="395"/>
      <c r="Z345" s="395"/>
      <c r="AA345" s="396"/>
      <c r="AB345" s="394" t="s">
        <v>53</v>
      </c>
      <c r="AC345" s="395"/>
      <c r="AD345" s="395"/>
      <c r="AE345" s="396"/>
      <c r="AF345" s="394" t="s">
        <v>97</v>
      </c>
      <c r="AG345" s="395"/>
      <c r="AH345" s="395"/>
      <c r="AI345" s="396"/>
      <c r="AJ345" s="448" t="s">
        <v>55</v>
      </c>
      <c r="AK345" s="408"/>
    </row>
    <row r="346" spans="3:37" ht="15" thickBot="1" x14ac:dyDescent="0.35">
      <c r="C346" s="7" t="s">
        <v>56</v>
      </c>
      <c r="D346" s="12" t="s">
        <v>57</v>
      </c>
      <c r="E346" s="13" t="s">
        <v>130</v>
      </c>
      <c r="F346" s="13" t="s">
        <v>111</v>
      </c>
      <c r="G346" s="14" t="s">
        <v>270</v>
      </c>
      <c r="H346" s="41" t="str" cm="1">
        <f t="array" ref="H346">MID(INDEX($A$3:$A$70,IF(ISNA(MATCH("720G4H6*",$A$3:$A$70,0))=TRUE,MATCH("7200422*",$A$3:$A$70,0),MATCH("720G4H6*",$A$3:$A$70,0))),$AU$8,2)</f>
        <v>00</v>
      </c>
      <c r="I346" s="42" t="str" cm="1">
        <f t="array" ref="I346">MID(INDEX($A$3:$A$70,IF(ISNA(MATCH("720G4H6*",$A$3:$A$70,0))=TRUE,MATCH("7200422*",$A$3:$A$70,0),MATCH("720G4H6*",$A$3:$A$70,0))),$AV$8,2)</f>
        <v>00</v>
      </c>
      <c r="J346" s="24" t="str" cm="1">
        <f t="array" ref="J346">MID(INDEX($A$3:$A$70,IF(ISNA(MATCH("720G4H6*",$A$3:$A$70,0))=TRUE,MATCH("7200422*",$A$3:$A$70,0),MATCH("720G4H6*",$A$3:$A$70,0))),$AW$8,2)</f>
        <v>00</v>
      </c>
      <c r="K346" s="42" t="str" cm="1">
        <f t="array" ref="K346">MID(INDEX($A$3:$A$70,IF(ISNA(MATCH("720G4H6*",$A$3:$A$70,0))=TRUE,MATCH("7200422*",$A$3:$A$70,0),MATCH("720G4H6*",$A$3:$A$70,0))),$AX$8,2)</f>
        <v>00</v>
      </c>
      <c r="L346" s="43" t="str" cm="1">
        <f t="array" ref="L346">MID(INDEX($A$3:$A$70,IF(ISNA(MATCH("720G4H6*",$A$3:$A$70,0))=TRUE,MATCH("7200422*",$A$3:$A$70,0),MATCH("720G4H6*",$A$3:$A$70,0))),$AY$8,2)</f>
        <v>00</v>
      </c>
      <c r="M346" s="44" t="str" cm="1">
        <f t="array" ref="M346">MID(INDEX($A$3:$A$70,IF(ISNA(MATCH("720G4H6*",$A$3:$A$70,0))=TRUE,MATCH("7200422*",$A$3:$A$70,0),MATCH("720G4H6*",$A$3:$A$70,0))),$AZ$8,2)</f>
        <v>4D</v>
      </c>
      <c r="N346" s="8" t="s">
        <v>60</v>
      </c>
      <c r="P346" s="394"/>
      <c r="Q346" s="395"/>
      <c r="R346" s="395"/>
      <c r="S346" s="396"/>
      <c r="T346" s="19" t="s">
        <v>60</v>
      </c>
      <c r="U346" s="20" t="s">
        <v>61</v>
      </c>
      <c r="V346" t="s">
        <v>62</v>
      </c>
      <c r="W346" s="8"/>
      <c r="X346" s="19" t="s">
        <v>60</v>
      </c>
      <c r="Y346" s="20" t="s">
        <v>61</v>
      </c>
      <c r="Z346" t="s">
        <v>62</v>
      </c>
      <c r="AA346" s="8"/>
      <c r="AB346" s="19" t="s">
        <v>60</v>
      </c>
      <c r="AC346" s="20" t="s">
        <v>61</v>
      </c>
      <c r="AD346" t="s">
        <v>62</v>
      </c>
      <c r="AE346" s="8"/>
      <c r="AF346" s="19" t="s">
        <v>60</v>
      </c>
      <c r="AG346" s="20" t="s">
        <v>61</v>
      </c>
      <c r="AH346" t="s">
        <v>62</v>
      </c>
      <c r="AJ346" s="394" t="s">
        <v>63</v>
      </c>
      <c r="AK346" s="396"/>
    </row>
    <row r="347" spans="3:37" x14ac:dyDescent="0.3">
      <c r="C347" s="7" t="s">
        <v>64</v>
      </c>
      <c r="D347" s="99" t="str">
        <f>HEX2BIN(D346,8)</f>
        <v>00000111</v>
      </c>
      <c r="E347" s="99" t="str">
        <f t="shared" ref="E347:L347" si="329">HEX2BIN(E346,8)</f>
        <v>00100000</v>
      </c>
      <c r="F347" s="99" t="str">
        <f t="shared" si="329"/>
        <v>00000100</v>
      </c>
      <c r="G347" s="99" t="str">
        <f t="shared" si="329"/>
        <v>00100010</v>
      </c>
      <c r="H347" s="99" t="str">
        <f t="shared" si="329"/>
        <v>00000000</v>
      </c>
      <c r="I347" s="99" t="str">
        <f t="shared" si="329"/>
        <v>00000000</v>
      </c>
      <c r="J347" s="99" t="str">
        <f t="shared" si="329"/>
        <v>00000000</v>
      </c>
      <c r="K347" s="99" t="str">
        <f t="shared" si="329"/>
        <v>00000000</v>
      </c>
      <c r="L347" s="99" t="str">
        <f t="shared" si="329"/>
        <v>00000000</v>
      </c>
      <c r="N347" s="8"/>
      <c r="P347" s="400"/>
      <c r="Q347" s="381"/>
      <c r="R347" s="381"/>
      <c r="S347" s="401"/>
      <c r="T347" s="21" t="str">
        <f>MID(I347,1,1)</f>
        <v>0</v>
      </c>
      <c r="U347" s="26" t="str">
        <f>T347</f>
        <v>0</v>
      </c>
      <c r="V347" s="7" t="s">
        <v>65</v>
      </c>
      <c r="W347" s="8" t="s">
        <v>66</v>
      </c>
      <c r="X347" s="21" t="str">
        <f>MID(J347,1,1)</f>
        <v>0</v>
      </c>
      <c r="Y347" s="26" t="str">
        <f>X347</f>
        <v>0</v>
      </c>
      <c r="Z347" s="7" t="s">
        <v>65</v>
      </c>
      <c r="AA347" s="8" t="s">
        <v>66</v>
      </c>
      <c r="AB347" s="21" t="str">
        <f>MID(K347,1,1)</f>
        <v>0</v>
      </c>
      <c r="AC347" s="26" t="str">
        <f>AB347</f>
        <v>0</v>
      </c>
      <c r="AD347" s="7" t="s">
        <v>65</v>
      </c>
      <c r="AE347" s="8" t="s">
        <v>66</v>
      </c>
      <c r="AF347" s="21" t="str">
        <f>MID(L347,1,1)</f>
        <v>0</v>
      </c>
      <c r="AG347" s="26" t="str">
        <f>AF347</f>
        <v>0</v>
      </c>
      <c r="AH347" s="7" t="s">
        <v>65</v>
      </c>
      <c r="AI347" s="8" t="s">
        <v>66</v>
      </c>
      <c r="AJ347" s="400"/>
      <c r="AK347" s="401"/>
    </row>
    <row r="348" spans="3:37" ht="15" customHeight="1" x14ac:dyDescent="0.3">
      <c r="C348" s="7" t="s">
        <v>67</v>
      </c>
      <c r="D348" s="99">
        <f>HEX2DEC(D346)</f>
        <v>7</v>
      </c>
      <c r="E348" s="99">
        <f t="shared" ref="E348:L348" si="330">HEX2DEC(E346)</f>
        <v>32</v>
      </c>
      <c r="F348" s="99">
        <f t="shared" si="330"/>
        <v>4</v>
      </c>
      <c r="G348" s="99">
        <f t="shared" si="330"/>
        <v>34</v>
      </c>
      <c r="H348" s="99">
        <f t="shared" si="330"/>
        <v>0</v>
      </c>
      <c r="I348" s="99">
        <f t="shared" si="330"/>
        <v>0</v>
      </c>
      <c r="J348" s="99">
        <f t="shared" si="330"/>
        <v>0</v>
      </c>
      <c r="K348" s="99">
        <f t="shared" si="330"/>
        <v>0</v>
      </c>
      <c r="L348" s="99">
        <f t="shared" si="330"/>
        <v>0</v>
      </c>
      <c r="M348" s="99">
        <f>SUM(D348:L348)</f>
        <v>77</v>
      </c>
      <c r="N348" s="8"/>
      <c r="P348" s="400"/>
      <c r="Q348" s="381"/>
      <c r="R348" s="381"/>
      <c r="S348" s="401"/>
      <c r="T348" s="21" t="str">
        <f>MID(I347,2,1)</f>
        <v>0</v>
      </c>
      <c r="U348" s="26" t="str">
        <f t="shared" ref="U348:U354" si="331">T348</f>
        <v>0</v>
      </c>
      <c r="V348" s="7" t="s">
        <v>68</v>
      </c>
      <c r="W348" s="554" t="s">
        <v>1628</v>
      </c>
      <c r="X348" s="21" t="str">
        <f>MID(J347,2,1)</f>
        <v>0</v>
      </c>
      <c r="Y348" s="26" t="str">
        <f t="shared" ref="Y348:Y354" si="332">X348</f>
        <v>0</v>
      </c>
      <c r="Z348" s="7" t="s">
        <v>68</v>
      </c>
      <c r="AA348" s="8" t="s">
        <v>66</v>
      </c>
      <c r="AB348" s="21" t="str">
        <f>MID(K347,2,1)</f>
        <v>0</v>
      </c>
      <c r="AC348" s="26" t="str">
        <f t="shared" ref="AC348:AC354" si="333">AB348</f>
        <v>0</v>
      </c>
      <c r="AD348" s="7" t="s">
        <v>68</v>
      </c>
      <c r="AE348" s="8" t="s">
        <v>66</v>
      </c>
      <c r="AF348" s="21" t="str">
        <f>MID(L347,2,1)</f>
        <v>0</v>
      </c>
      <c r="AG348" s="26" t="str">
        <f t="shared" ref="AG348:AG354" si="334">AF348</f>
        <v>0</v>
      </c>
      <c r="AH348" s="7" t="s">
        <v>68</v>
      </c>
      <c r="AI348" s="8" t="s">
        <v>66</v>
      </c>
      <c r="AJ348" s="400"/>
      <c r="AK348" s="401"/>
    </row>
    <row r="349" spans="3:37" x14ac:dyDescent="0.3">
      <c r="C349" s="7" t="s">
        <v>1678</v>
      </c>
      <c r="D349" s="333" t="str">
        <f>D346</f>
        <v>07</v>
      </c>
      <c r="E349" s="333" t="str">
        <f>E346</f>
        <v>20</v>
      </c>
      <c r="F349" s="99" t="str">
        <f>MID(INDEX($A$3:$A$70,IF(ISNA(MATCH("720G4H6*",$A$3:$A$70,0))=TRUE,MATCH("7200422*",$A$3:$A$70,0),MATCH("720G4H6*",$A$3:$A$70,0))),$AS$8,2)</f>
        <v>G4</v>
      </c>
      <c r="G349" s="99" t="str">
        <f>MID(INDEX($A$3:$A$70,IF(ISNA(MATCH("720G4H6*",$A$3:$A$70,0))=TRUE,MATCH("7200422*",$A$3:$A$70,0),MATCH("720G4H6*",$A$3:$A$70,0))),$AT$8,2)</f>
        <v>H6</v>
      </c>
      <c r="N349" s="8"/>
      <c r="P349" s="400"/>
      <c r="Q349" s="381"/>
      <c r="R349" s="381"/>
      <c r="S349" s="401"/>
      <c r="T349" s="21" t="str">
        <f>MID(I347,3,1)</f>
        <v>0</v>
      </c>
      <c r="U349" s="26" t="str">
        <f t="shared" si="331"/>
        <v>0</v>
      </c>
      <c r="V349" s="7" t="s">
        <v>69</v>
      </c>
      <c r="W349" s="555"/>
      <c r="X349" s="21" t="str">
        <f>MID(J347,3,1)</f>
        <v>0</v>
      </c>
      <c r="Y349" s="26" t="str">
        <f t="shared" si="332"/>
        <v>0</v>
      </c>
      <c r="Z349" s="7" t="s">
        <v>69</v>
      </c>
      <c r="AA349" s="8" t="s">
        <v>66</v>
      </c>
      <c r="AB349" s="21" t="str">
        <f>MID(K347,3,1)</f>
        <v>0</v>
      </c>
      <c r="AC349" s="26" t="str">
        <f t="shared" si="333"/>
        <v>0</v>
      </c>
      <c r="AD349" s="7" t="s">
        <v>69</v>
      </c>
      <c r="AE349" s="8" t="s">
        <v>66</v>
      </c>
      <c r="AF349" s="21" t="str">
        <f>MID(L347,3,1)</f>
        <v>0</v>
      </c>
      <c r="AG349" s="26" t="str">
        <f t="shared" si="334"/>
        <v>0</v>
      </c>
      <c r="AH349" s="7" t="s">
        <v>69</v>
      </c>
      <c r="AI349" s="8" t="s">
        <v>66</v>
      </c>
      <c r="AJ349" s="400"/>
      <c r="AK349" s="401"/>
    </row>
    <row r="350" spans="3:37" ht="15" thickBot="1" x14ac:dyDescent="0.35">
      <c r="C350" s="7"/>
      <c r="N350" s="8"/>
      <c r="P350" s="400"/>
      <c r="Q350" s="381"/>
      <c r="R350" s="381"/>
      <c r="S350" s="401"/>
      <c r="T350" s="21" t="str">
        <f>MID(I347,4,1)</f>
        <v>0</v>
      </c>
      <c r="U350" s="26" t="str">
        <f t="shared" si="331"/>
        <v>0</v>
      </c>
      <c r="V350" s="7" t="s">
        <v>70</v>
      </c>
      <c r="W350" s="8" t="s">
        <v>66</v>
      </c>
      <c r="X350" s="21" t="str">
        <f>MID(J347,4,1)</f>
        <v>0</v>
      </c>
      <c r="Y350" s="26" t="str">
        <f t="shared" si="332"/>
        <v>0</v>
      </c>
      <c r="Z350" s="7" t="s">
        <v>70</v>
      </c>
      <c r="AA350" s="8" t="s">
        <v>66</v>
      </c>
      <c r="AB350" s="21" t="str">
        <f>MID(K347,4,1)</f>
        <v>0</v>
      </c>
      <c r="AC350" s="26" t="str">
        <f t="shared" si="333"/>
        <v>0</v>
      </c>
      <c r="AD350" s="7" t="s">
        <v>70</v>
      </c>
      <c r="AE350" s="8" t="s">
        <v>66</v>
      </c>
      <c r="AF350" s="21" t="str">
        <f>MID(L347,4,1)</f>
        <v>0</v>
      </c>
      <c r="AG350" s="26" t="str">
        <f t="shared" si="334"/>
        <v>0</v>
      </c>
      <c r="AH350" s="7" t="s">
        <v>70</v>
      </c>
      <c r="AI350" s="8" t="s">
        <v>66</v>
      </c>
      <c r="AJ350" s="400"/>
      <c r="AK350" s="401"/>
    </row>
    <row r="351" spans="3:37" ht="15" thickBot="1" x14ac:dyDescent="0.35">
      <c r="C351" s="7" t="s">
        <v>56</v>
      </c>
      <c r="D351" s="15" t="str">
        <f>D346</f>
        <v>07</v>
      </c>
      <c r="E351" s="16" t="str">
        <f>E346</f>
        <v>20</v>
      </c>
      <c r="F351" s="16" t="str">
        <f>F346</f>
        <v>04</v>
      </c>
      <c r="G351" s="17" t="str">
        <f>G346</f>
        <v>22</v>
      </c>
      <c r="H351" s="50" t="str">
        <f>H346</f>
        <v>00</v>
      </c>
      <c r="I351" s="25" t="str">
        <f t="shared" ref="I351:L351" si="335">BIN2HEX(I352,2)</f>
        <v>00</v>
      </c>
      <c r="J351" s="24" t="str">
        <f t="shared" si="335"/>
        <v>00</v>
      </c>
      <c r="K351" s="2" t="str">
        <f t="shared" si="335"/>
        <v>00</v>
      </c>
      <c r="L351" s="18" t="str">
        <f t="shared" si="335"/>
        <v>00</v>
      </c>
      <c r="M351" s="3" t="str">
        <f>IF(LEN(M352)&gt;2,MID(M352,2,2),M352)</f>
        <v>4D</v>
      </c>
      <c r="N351" s="8" t="s">
        <v>61</v>
      </c>
      <c r="P351" s="400"/>
      <c r="Q351" s="381"/>
      <c r="R351" s="381"/>
      <c r="S351" s="401"/>
      <c r="T351" s="21" t="str">
        <f>MID(I347,5,1)</f>
        <v>0</v>
      </c>
      <c r="U351" s="26" t="str">
        <f t="shared" si="331"/>
        <v>0</v>
      </c>
      <c r="V351" s="7" t="s">
        <v>71</v>
      </c>
      <c r="W351" s="8" t="s">
        <v>66</v>
      </c>
      <c r="X351" s="21" t="str">
        <f>MID(J347,5,1)</f>
        <v>0</v>
      </c>
      <c r="Y351" s="26" t="str">
        <f t="shared" si="332"/>
        <v>0</v>
      </c>
      <c r="Z351" s="7" t="s">
        <v>71</v>
      </c>
      <c r="AA351" s="8" t="s">
        <v>66</v>
      </c>
      <c r="AB351" s="21" t="str">
        <f>MID(K347,5,1)</f>
        <v>0</v>
      </c>
      <c r="AC351" s="26" t="str">
        <f t="shared" si="333"/>
        <v>0</v>
      </c>
      <c r="AD351" s="7" t="s">
        <v>71</v>
      </c>
      <c r="AE351" s="8" t="s">
        <v>66</v>
      </c>
      <c r="AF351" s="21" t="str">
        <f>MID(L347,5,1)</f>
        <v>0</v>
      </c>
      <c r="AG351" s="26" t="str">
        <f t="shared" si="334"/>
        <v>0</v>
      </c>
      <c r="AH351" s="7" t="s">
        <v>71</v>
      </c>
      <c r="AI351" s="8" t="s">
        <v>66</v>
      </c>
      <c r="AJ351" s="400"/>
      <c r="AK351" s="401"/>
    </row>
    <row r="352" spans="3:37" x14ac:dyDescent="0.3">
      <c r="C352" s="7" t="s">
        <v>64</v>
      </c>
      <c r="D352" s="99" t="str">
        <f>HEX2BIN(D351,8)</f>
        <v>00000111</v>
      </c>
      <c r="E352" s="99" t="str">
        <f t="shared" ref="E352:G352" si="336">HEX2BIN(E351,8)</f>
        <v>00100000</v>
      </c>
      <c r="F352" s="99" t="str">
        <f t="shared" si="336"/>
        <v>00000100</v>
      </c>
      <c r="G352" s="99" t="str">
        <f t="shared" si="336"/>
        <v>00100010</v>
      </c>
      <c r="H352" s="29"/>
      <c r="I352" s="99" t="str">
        <f>U347&amp;U348&amp;U349&amp;U350&amp;U351&amp;U352&amp;U353&amp;U354</f>
        <v>00000000</v>
      </c>
      <c r="J352" s="29" t="str">
        <f>Y347&amp;Y348&amp;Y349&amp;Y350&amp;Y351&amp;Y352&amp;Y353&amp;Y354</f>
        <v>00000000</v>
      </c>
      <c r="K352" s="29" t="str">
        <f>AC347&amp;AC348&amp;AC349&amp;AC350&amp;AC351&amp;AC352&amp;AC353&amp;AC354</f>
        <v>00000000</v>
      </c>
      <c r="L352" s="99" t="str">
        <f>AG347&amp;AG348&amp;AG349&amp;AG350&amp;AG351&amp;AG352&amp;AG353&amp;AG354</f>
        <v>00000000</v>
      </c>
      <c r="M352" s="99" t="str">
        <f>DEC2HEX(M353)</f>
        <v>4D</v>
      </c>
      <c r="N352" s="8"/>
      <c r="P352" s="400"/>
      <c r="Q352" s="381"/>
      <c r="R352" s="381"/>
      <c r="S352" s="401"/>
      <c r="T352" s="21" t="str">
        <f>MID(I347,6,1)</f>
        <v>0</v>
      </c>
      <c r="U352" s="26" t="str">
        <f t="shared" si="331"/>
        <v>0</v>
      </c>
      <c r="V352" s="7" t="s">
        <v>72</v>
      </c>
      <c r="W352" s="8" t="s">
        <v>66</v>
      </c>
      <c r="X352" s="21" t="str">
        <f>MID(J347,6,1)</f>
        <v>0</v>
      </c>
      <c r="Y352" s="26" t="str">
        <f t="shared" si="332"/>
        <v>0</v>
      </c>
      <c r="Z352" s="7" t="s">
        <v>72</v>
      </c>
      <c r="AA352" s="8" t="s">
        <v>66</v>
      </c>
      <c r="AB352" s="21" t="str">
        <f>MID(K347,6,1)</f>
        <v>0</v>
      </c>
      <c r="AC352" s="26" t="str">
        <f t="shared" si="333"/>
        <v>0</v>
      </c>
      <c r="AD352" s="7" t="s">
        <v>72</v>
      </c>
      <c r="AE352" s="8" t="s">
        <v>66</v>
      </c>
      <c r="AF352" s="21" t="str">
        <f>MID(L347,6,1)</f>
        <v>0</v>
      </c>
      <c r="AG352" s="26" t="str">
        <f t="shared" si="334"/>
        <v>0</v>
      </c>
      <c r="AH352" s="7" t="s">
        <v>72</v>
      </c>
      <c r="AI352" s="8" t="s">
        <v>66</v>
      </c>
      <c r="AJ352" s="400"/>
      <c r="AK352" s="401"/>
    </row>
    <row r="353" spans="3:37" ht="15" customHeight="1" x14ac:dyDescent="0.3">
      <c r="C353" s="7" t="s">
        <v>67</v>
      </c>
      <c r="D353" s="99">
        <f>HEX2DEC(D351)</f>
        <v>7</v>
      </c>
      <c r="E353" s="99">
        <f t="shared" ref="E353:L353" si="337">HEX2DEC(E351)</f>
        <v>32</v>
      </c>
      <c r="F353" s="99">
        <f t="shared" si="337"/>
        <v>4</v>
      </c>
      <c r="G353" s="99">
        <f t="shared" si="337"/>
        <v>34</v>
      </c>
      <c r="H353" s="99">
        <f t="shared" si="337"/>
        <v>0</v>
      </c>
      <c r="I353" s="99">
        <f t="shared" si="337"/>
        <v>0</v>
      </c>
      <c r="J353" s="99">
        <f t="shared" si="337"/>
        <v>0</v>
      </c>
      <c r="K353" s="99">
        <f t="shared" si="337"/>
        <v>0</v>
      </c>
      <c r="L353" s="99">
        <f t="shared" si="337"/>
        <v>0</v>
      </c>
      <c r="M353" s="99">
        <f>SUM(D353:L353)</f>
        <v>77</v>
      </c>
      <c r="N353" s="8"/>
      <c r="P353" s="400"/>
      <c r="Q353" s="381"/>
      <c r="R353" s="381"/>
      <c r="S353" s="401"/>
      <c r="T353" s="21" t="str">
        <f>MID(I347,7,1)</f>
        <v>0</v>
      </c>
      <c r="U353" s="26" t="str">
        <f t="shared" si="331"/>
        <v>0</v>
      </c>
      <c r="V353" s="7" t="s">
        <v>73</v>
      </c>
      <c r="W353" s="424" t="s">
        <v>1629</v>
      </c>
      <c r="X353" s="21" t="str">
        <f>MID(J347,7,1)</f>
        <v>0</v>
      </c>
      <c r="Y353" s="26" t="str">
        <f t="shared" si="332"/>
        <v>0</v>
      </c>
      <c r="Z353" s="7" t="s">
        <v>73</v>
      </c>
      <c r="AA353" s="8" t="s">
        <v>66</v>
      </c>
      <c r="AB353" s="21" t="str">
        <f>MID(K347,7,1)</f>
        <v>0</v>
      </c>
      <c r="AC353" s="26" t="str">
        <f t="shared" si="333"/>
        <v>0</v>
      </c>
      <c r="AD353" s="7" t="s">
        <v>73</v>
      </c>
      <c r="AE353" s="8" t="s">
        <v>66</v>
      </c>
      <c r="AF353" s="21" t="str">
        <f>MID(L347,7,1)</f>
        <v>0</v>
      </c>
      <c r="AG353" s="26" t="str">
        <f t="shared" si="334"/>
        <v>0</v>
      </c>
      <c r="AH353" s="7" t="s">
        <v>73</v>
      </c>
      <c r="AI353" s="8" t="s">
        <v>66</v>
      </c>
      <c r="AJ353" s="400"/>
      <c r="AK353" s="401"/>
    </row>
    <row r="354" spans="3:37" ht="15" thickBot="1" x14ac:dyDescent="0.35">
      <c r="C354" s="9" t="s">
        <v>1678</v>
      </c>
      <c r="D354" s="334" t="str">
        <f>D349</f>
        <v>07</v>
      </c>
      <c r="E354" s="334" t="str">
        <f t="shared" ref="E354:G354" si="338">E349</f>
        <v>20</v>
      </c>
      <c r="F354" s="334" t="str">
        <f t="shared" si="338"/>
        <v>G4</v>
      </c>
      <c r="G354" s="334" t="str">
        <f t="shared" si="338"/>
        <v>H6</v>
      </c>
      <c r="H354" s="10"/>
      <c r="I354" s="10"/>
      <c r="J354" s="10"/>
      <c r="K354" s="10"/>
      <c r="L354" s="10"/>
      <c r="M354" s="10"/>
      <c r="N354" s="11"/>
      <c r="P354" s="402"/>
      <c r="Q354" s="403"/>
      <c r="R354" s="403"/>
      <c r="S354" s="404"/>
      <c r="T354" s="22" t="str">
        <f>MID(I347,8,1)</f>
        <v>0</v>
      </c>
      <c r="U354" s="55" t="str">
        <f t="shared" si="331"/>
        <v>0</v>
      </c>
      <c r="V354" s="9" t="s">
        <v>74</v>
      </c>
      <c r="W354" s="556"/>
      <c r="X354" s="22" t="str">
        <f>MID(J347,8,1)</f>
        <v>0</v>
      </c>
      <c r="Y354" s="55" t="str">
        <f t="shared" si="332"/>
        <v>0</v>
      </c>
      <c r="Z354" s="9" t="s">
        <v>74</v>
      </c>
      <c r="AA354" s="11" t="s">
        <v>66</v>
      </c>
      <c r="AB354" s="22" t="str">
        <f>MID(K347,8,1)</f>
        <v>0</v>
      </c>
      <c r="AC354" s="55" t="str">
        <f t="shared" si="333"/>
        <v>0</v>
      </c>
      <c r="AD354" s="9" t="s">
        <v>74</v>
      </c>
      <c r="AE354" s="11" t="s">
        <v>66</v>
      </c>
      <c r="AF354" s="22" t="str">
        <f>MID(L347,8,1)</f>
        <v>0</v>
      </c>
      <c r="AG354" s="55" t="str">
        <f t="shared" si="334"/>
        <v>0</v>
      </c>
      <c r="AH354" s="9" t="s">
        <v>74</v>
      </c>
      <c r="AI354" s="11" t="s">
        <v>66</v>
      </c>
      <c r="AJ354" s="402"/>
      <c r="AK354" s="404"/>
    </row>
    <row r="355" spans="3:37" ht="15" thickBot="1" x14ac:dyDescent="0.35">
      <c r="C355" s="4"/>
      <c r="D355" s="5"/>
      <c r="E355" s="5"/>
      <c r="F355" s="5"/>
      <c r="G355" s="5"/>
      <c r="H355" s="5"/>
      <c r="I355" s="5"/>
      <c r="J355" s="5"/>
      <c r="K355" s="5"/>
      <c r="L355" s="5"/>
      <c r="M355" s="5" t="s">
        <v>41</v>
      </c>
      <c r="N355" s="6"/>
      <c r="P355" s="530" t="s">
        <v>433</v>
      </c>
      <c r="Q355" s="530"/>
      <c r="R355" s="530"/>
      <c r="S355" s="530"/>
      <c r="T355" s="530"/>
      <c r="U355" s="530"/>
      <c r="V355" s="530"/>
      <c r="W355" s="530"/>
      <c r="X355" s="530"/>
      <c r="Y355" s="530"/>
      <c r="Z355" s="530"/>
      <c r="AA355" s="530"/>
      <c r="AB355" s="530"/>
      <c r="AC355" s="530"/>
      <c r="AD355" s="530"/>
      <c r="AE355" s="530"/>
      <c r="AF355" s="530"/>
      <c r="AG355" s="530"/>
      <c r="AH355" s="530"/>
      <c r="AI355" s="530"/>
      <c r="AJ355" s="530"/>
      <c r="AK355" s="530"/>
    </row>
    <row r="356" spans="3:37" ht="15" thickBot="1" x14ac:dyDescent="0.35">
      <c r="C356" s="7"/>
      <c r="D356" s="393" t="s">
        <v>1558</v>
      </c>
      <c r="E356" s="393"/>
      <c r="F356" s="393"/>
      <c r="G356" s="393"/>
      <c r="H356" s="99" t="s">
        <v>44</v>
      </c>
      <c r="I356" s="99" t="s">
        <v>45</v>
      </c>
      <c r="J356" s="99" t="s">
        <v>46</v>
      </c>
      <c r="K356" s="99" t="s">
        <v>47</v>
      </c>
      <c r="L356" s="99" t="s">
        <v>48</v>
      </c>
      <c r="M356" s="99" t="s">
        <v>49</v>
      </c>
      <c r="N356" s="8"/>
      <c r="P356" s="394" t="s">
        <v>50</v>
      </c>
      <c r="Q356" s="395"/>
      <c r="R356" s="395"/>
      <c r="S356" s="396"/>
      <c r="T356" s="394" t="s">
        <v>51</v>
      </c>
      <c r="U356" s="395"/>
      <c r="V356" s="395"/>
      <c r="W356" s="396"/>
      <c r="X356" s="448" t="s">
        <v>271</v>
      </c>
      <c r="Y356" s="407"/>
      <c r="Z356" s="407"/>
      <c r="AA356" s="408"/>
      <c r="AB356" s="448" t="s">
        <v>272</v>
      </c>
      <c r="AC356" s="407"/>
      <c r="AD356" s="407"/>
      <c r="AE356" s="408"/>
      <c r="AF356" s="394" t="s">
        <v>97</v>
      </c>
      <c r="AG356" s="395"/>
      <c r="AH356" s="395"/>
      <c r="AI356" s="396"/>
      <c r="AJ356" s="448" t="s">
        <v>55</v>
      </c>
      <c r="AK356" s="408"/>
    </row>
    <row r="357" spans="3:37" ht="15" thickBot="1" x14ac:dyDescent="0.35">
      <c r="C357" s="7" t="s">
        <v>56</v>
      </c>
      <c r="D357" s="12" t="s">
        <v>57</v>
      </c>
      <c r="E357" s="13" t="s">
        <v>130</v>
      </c>
      <c r="F357" s="13" t="s">
        <v>111</v>
      </c>
      <c r="G357" s="14" t="s">
        <v>273</v>
      </c>
      <c r="H357" s="24" t="str" cm="1">
        <f t="array" ref="H357">MID(INDEX($A$3:$A$70,IF(ISNA(MATCH("720G4H7*",$A$3:$A$70,0))=TRUE,MATCH("7200423*",$A$3:$A$70,0),MATCH("720G4H7*",$A$3:$A$70,0))),$AU$8,2)</f>
        <v>00</v>
      </c>
      <c r="I357" s="42" t="str" cm="1">
        <f t="array" ref="I357">MID(INDEX($A$3:$A$70,IF(ISNA(MATCH("720G4H7*",$A$3:$A$70,0))=TRUE,MATCH("7200423*",$A$3:$A$70,0),MATCH("720G4H7*",$A$3:$A$70,0))),$AV$8,2)</f>
        <v>00</v>
      </c>
      <c r="J357" s="42" t="str" cm="1">
        <f t="array" ref="J357">MID(INDEX($A$3:$A$70,IF(ISNA(MATCH("720G4H7*",$A$3:$A$70,0))=TRUE,MATCH("7200423*",$A$3:$A$70,0),MATCH("720G4H7*",$A$3:$A$70,0))),$AW$8,2)</f>
        <v>00</v>
      </c>
      <c r="K357" s="43" t="str" cm="1">
        <f t="array" ref="K357">MID(INDEX($A$3:$A$70,IF(ISNA(MATCH("720G4H7*",$A$3:$A$70,0))=TRUE,MATCH("7200423*",$A$3:$A$70,0),MATCH("720G4H7*",$A$3:$A$70,0))),$AX$8,2)</f>
        <v>00</v>
      </c>
      <c r="L357" s="43" t="str" cm="1">
        <f t="array" ref="L357">MID(INDEX($A$3:$A$70,IF(ISNA(MATCH("720G4H7*",$A$3:$A$70,0))=TRUE,MATCH("7200423*",$A$3:$A$70,0),MATCH("720G4H7*",$A$3:$A$70,0))),$AY$8,2)</f>
        <v>00</v>
      </c>
      <c r="M357" s="44" t="str" cm="1">
        <f t="array" ref="M357">MID(INDEX($A$3:$A$70,IF(ISNA(MATCH("720G4H7*",$A$3:$A$70,0))=TRUE,MATCH("7200423*",$A$3:$A$70,0),MATCH("720G4H7*",$A$3:$A$70,0))),$AZ$8,2)</f>
        <v>4E</v>
      </c>
      <c r="N357" s="8" t="s">
        <v>60</v>
      </c>
      <c r="P357" s="19" t="s">
        <v>60</v>
      </c>
      <c r="Q357" s="20" t="s">
        <v>61</v>
      </c>
      <c r="R357" t="s">
        <v>62</v>
      </c>
      <c r="S357" s="8"/>
      <c r="T357" s="19" t="s">
        <v>60</v>
      </c>
      <c r="U357" s="20" t="s">
        <v>61</v>
      </c>
      <c r="V357" t="s">
        <v>62</v>
      </c>
      <c r="W357" s="8"/>
      <c r="X357" s="394"/>
      <c r="Y357" s="395"/>
      <c r="Z357" s="395"/>
      <c r="AA357" s="396"/>
      <c r="AB357" s="394"/>
      <c r="AC357" s="395"/>
      <c r="AD357" s="395"/>
      <c r="AE357" s="396"/>
      <c r="AF357" s="19" t="s">
        <v>60</v>
      </c>
      <c r="AG357" s="20" t="s">
        <v>61</v>
      </c>
      <c r="AH357" t="s">
        <v>62</v>
      </c>
      <c r="AJ357" s="394" t="s">
        <v>63</v>
      </c>
      <c r="AK357" s="396"/>
    </row>
    <row r="358" spans="3:37" x14ac:dyDescent="0.3">
      <c r="C358" s="7" t="s">
        <v>64</v>
      </c>
      <c r="D358" s="99" t="str">
        <f>HEX2BIN(D357,8)</f>
        <v>00000111</v>
      </c>
      <c r="E358" s="99" t="str">
        <f t="shared" ref="E358:L358" si="339">HEX2BIN(E357,8)</f>
        <v>00100000</v>
      </c>
      <c r="F358" s="99" t="str">
        <f t="shared" si="339"/>
        <v>00000100</v>
      </c>
      <c r="G358" s="99" t="str">
        <f t="shared" si="339"/>
        <v>00100011</v>
      </c>
      <c r="H358" s="99" t="str">
        <f t="shared" si="339"/>
        <v>00000000</v>
      </c>
      <c r="I358" s="99" t="str">
        <f t="shared" si="339"/>
        <v>00000000</v>
      </c>
      <c r="J358" s="99" t="str">
        <f t="shared" si="339"/>
        <v>00000000</v>
      </c>
      <c r="K358" s="99" t="str">
        <f t="shared" si="339"/>
        <v>00000000</v>
      </c>
      <c r="L358" s="99" t="str">
        <f t="shared" si="339"/>
        <v>00000000</v>
      </c>
      <c r="N358" s="8"/>
      <c r="P358" s="21" t="str">
        <f>MID(H358,1,1)</f>
        <v>0</v>
      </c>
      <c r="Q358" s="26" t="str">
        <f>P358</f>
        <v>0</v>
      </c>
      <c r="R358" s="7" t="s">
        <v>65</v>
      </c>
      <c r="S358" s="8" t="s">
        <v>66</v>
      </c>
      <c r="T358" s="21" t="str">
        <f>MID(I358,1,1)</f>
        <v>0</v>
      </c>
      <c r="U358" s="26" t="str">
        <f>T358</f>
        <v>0</v>
      </c>
      <c r="V358" s="7" t="s">
        <v>65</v>
      </c>
      <c r="W358" s="8" t="s">
        <v>66</v>
      </c>
      <c r="X358" s="400"/>
      <c r="Y358" s="381"/>
      <c r="Z358" s="381"/>
      <c r="AA358" s="401"/>
      <c r="AB358" s="400"/>
      <c r="AC358" s="381"/>
      <c r="AD358" s="381"/>
      <c r="AE358" s="401"/>
      <c r="AF358" s="21" t="str">
        <f>MID(L358,1,1)</f>
        <v>0</v>
      </c>
      <c r="AG358" s="26" t="str">
        <f>AF358</f>
        <v>0</v>
      </c>
      <c r="AH358" s="7" t="s">
        <v>65</v>
      </c>
      <c r="AI358" s="8" t="s">
        <v>66</v>
      </c>
      <c r="AJ358" s="400"/>
      <c r="AK358" s="401"/>
    </row>
    <row r="359" spans="3:37" ht="15" customHeight="1" x14ac:dyDescent="0.3">
      <c r="C359" s="7" t="s">
        <v>67</v>
      </c>
      <c r="D359" s="99">
        <f>HEX2DEC(D357)</f>
        <v>7</v>
      </c>
      <c r="E359" s="99">
        <f t="shared" ref="E359:L359" si="340">HEX2DEC(E357)</f>
        <v>32</v>
      </c>
      <c r="F359" s="99">
        <f t="shared" si="340"/>
        <v>4</v>
      </c>
      <c r="G359" s="99">
        <f t="shared" si="340"/>
        <v>35</v>
      </c>
      <c r="H359" s="99">
        <f t="shared" si="340"/>
        <v>0</v>
      </c>
      <c r="I359" s="99">
        <f t="shared" si="340"/>
        <v>0</v>
      </c>
      <c r="J359" s="99">
        <f t="shared" si="340"/>
        <v>0</v>
      </c>
      <c r="K359" s="99">
        <f t="shared" si="340"/>
        <v>0</v>
      </c>
      <c r="L359" s="99">
        <f t="shared" si="340"/>
        <v>0</v>
      </c>
      <c r="M359" s="99">
        <f>SUM(D359:L359)</f>
        <v>78</v>
      </c>
      <c r="N359" s="8"/>
      <c r="P359" s="21" t="str">
        <f>MID(H358,2,1)</f>
        <v>0</v>
      </c>
      <c r="Q359" s="26" t="str">
        <f t="shared" ref="Q359:Q365" si="341">P359</f>
        <v>0</v>
      </c>
      <c r="R359" s="7" t="s">
        <v>68</v>
      </c>
      <c r="S359" s="8" t="s">
        <v>66</v>
      </c>
      <c r="T359" s="21" t="str">
        <f>MID(I358,2,1)</f>
        <v>0</v>
      </c>
      <c r="U359" s="26" t="str">
        <f t="shared" ref="U359:U365" si="342">T359</f>
        <v>0</v>
      </c>
      <c r="V359" s="7" t="s">
        <v>68</v>
      </c>
      <c r="W359" s="8" t="s">
        <v>66</v>
      </c>
      <c r="X359" s="400"/>
      <c r="Y359" s="381"/>
      <c r="Z359" s="381"/>
      <c r="AA359" s="401"/>
      <c r="AB359" s="400"/>
      <c r="AC359" s="381"/>
      <c r="AD359" s="381"/>
      <c r="AE359" s="401"/>
      <c r="AF359" s="21" t="str">
        <f>MID(L358,2,1)</f>
        <v>0</v>
      </c>
      <c r="AG359" s="26" t="str">
        <f t="shared" ref="AG359:AG365" si="343">AF359</f>
        <v>0</v>
      </c>
      <c r="AH359" s="7" t="s">
        <v>68</v>
      </c>
      <c r="AI359" s="557" t="s">
        <v>1764</v>
      </c>
      <c r="AJ359" s="400"/>
      <c r="AK359" s="401"/>
    </row>
    <row r="360" spans="3:37" x14ac:dyDescent="0.3">
      <c r="C360" s="7" t="s">
        <v>1678</v>
      </c>
      <c r="D360" s="333" t="str">
        <f>D357</f>
        <v>07</v>
      </c>
      <c r="E360" s="333" t="str">
        <f>E357</f>
        <v>20</v>
      </c>
      <c r="F360" s="99" t="str">
        <f>MID(INDEX($A$3:$A$70,IF(ISNA(MATCH("720G4H7*",$A$3:$A$70,0))=TRUE,MATCH("7200423*",$A$3:$A$70,0),MATCH("720G4H7*",$A$3:$A$70,0))),$AS$8,2)</f>
        <v>G4</v>
      </c>
      <c r="G360" s="99" t="str">
        <f>MID(INDEX($A$3:$A$70,IF(ISNA(MATCH("720G4H7*",$A$3:$A$70,0))=TRUE,MATCH("7200423*",$A$3:$A$70,0),MATCH("720G4H7*",$A$3:$A$70,0))),$AT$8,2)</f>
        <v>H7</v>
      </c>
      <c r="N360" s="8"/>
      <c r="P360" s="21" t="str">
        <f>MID(H358,3,1)</f>
        <v>0</v>
      </c>
      <c r="Q360" s="26" t="str">
        <f t="shared" si="341"/>
        <v>0</v>
      </c>
      <c r="R360" s="7" t="s">
        <v>69</v>
      </c>
      <c r="S360" s="8" t="s">
        <v>66</v>
      </c>
      <c r="T360" s="21" t="str">
        <f>MID(I358,3,1)</f>
        <v>0</v>
      </c>
      <c r="U360" s="26" t="str">
        <f t="shared" si="342"/>
        <v>0</v>
      </c>
      <c r="V360" s="7" t="s">
        <v>69</v>
      </c>
      <c r="W360" s="8" t="s">
        <v>66</v>
      </c>
      <c r="X360" s="400"/>
      <c r="Y360" s="381"/>
      <c r="Z360" s="381"/>
      <c r="AA360" s="401"/>
      <c r="AB360" s="400"/>
      <c r="AC360" s="381"/>
      <c r="AD360" s="381"/>
      <c r="AE360" s="401"/>
      <c r="AF360" s="21" t="str">
        <f>MID(L358,3,1)</f>
        <v>0</v>
      </c>
      <c r="AG360" s="26" t="str">
        <f t="shared" si="343"/>
        <v>0</v>
      </c>
      <c r="AH360" s="7" t="s">
        <v>69</v>
      </c>
      <c r="AI360" s="558"/>
      <c r="AJ360" s="400"/>
      <c r="AK360" s="401"/>
    </row>
    <row r="361" spans="3:37" ht="15" thickBot="1" x14ac:dyDescent="0.35">
      <c r="C361" s="7"/>
      <c r="N361" s="8"/>
      <c r="P361" s="21" t="str">
        <f>MID(H358,4,1)</f>
        <v>0</v>
      </c>
      <c r="Q361" s="26" t="str">
        <f t="shared" si="341"/>
        <v>0</v>
      </c>
      <c r="R361" s="7" t="s">
        <v>70</v>
      </c>
      <c r="S361" s="8" t="s">
        <v>66</v>
      </c>
      <c r="T361" s="21" t="str">
        <f>MID(I358,4,1)</f>
        <v>0</v>
      </c>
      <c r="U361" s="26" t="str">
        <f t="shared" si="342"/>
        <v>0</v>
      </c>
      <c r="V361" s="7" t="s">
        <v>70</v>
      </c>
      <c r="W361" s="8" t="s">
        <v>66</v>
      </c>
      <c r="X361" s="400"/>
      <c r="Y361" s="381"/>
      <c r="Z361" s="381"/>
      <c r="AA361" s="401"/>
      <c r="AB361" s="400"/>
      <c r="AC361" s="381"/>
      <c r="AD361" s="381"/>
      <c r="AE361" s="401"/>
      <c r="AF361" s="21" t="str">
        <f>MID(L358,4,1)</f>
        <v>0</v>
      </c>
      <c r="AG361" s="26" t="str">
        <f t="shared" si="343"/>
        <v>0</v>
      </c>
      <c r="AH361" s="7" t="s">
        <v>70</v>
      </c>
      <c r="AI361" s="559"/>
      <c r="AJ361" s="400"/>
      <c r="AK361" s="401"/>
    </row>
    <row r="362" spans="3:37" ht="15.75" customHeight="1" thickBot="1" x14ac:dyDescent="0.35">
      <c r="C362" s="7" t="s">
        <v>56</v>
      </c>
      <c r="D362" s="15" t="str">
        <f t="shared" ref="D362:G362" si="344">D357</f>
        <v>07</v>
      </c>
      <c r="E362" s="16" t="str">
        <f t="shared" si="344"/>
        <v>20</v>
      </c>
      <c r="F362" s="16" t="str">
        <f t="shared" si="344"/>
        <v>04</v>
      </c>
      <c r="G362" s="17" t="str">
        <f t="shared" si="344"/>
        <v>23</v>
      </c>
      <c r="H362" s="23" t="str">
        <f>BIN2HEX(H363,2)</f>
        <v>00</v>
      </c>
      <c r="I362" s="25" t="str">
        <f t="shared" ref="I362:L362" si="345">BIN2HEX(I363,2)</f>
        <v>00</v>
      </c>
      <c r="J362" s="48" t="str">
        <f>J357</f>
        <v>00</v>
      </c>
      <c r="K362" s="47" t="str">
        <f>K357</f>
        <v>00</v>
      </c>
      <c r="L362" s="18" t="str">
        <f t="shared" si="345"/>
        <v>00</v>
      </c>
      <c r="M362" s="3" t="str">
        <f>IF(LEN(M363)&gt;2,MID(M363,2,2),M363)</f>
        <v>4E</v>
      </c>
      <c r="N362" s="8" t="s">
        <v>61</v>
      </c>
      <c r="P362" s="21" t="str">
        <f>MID(H358,5,1)</f>
        <v>0</v>
      </c>
      <c r="Q362" s="26" t="str">
        <f t="shared" si="341"/>
        <v>0</v>
      </c>
      <c r="R362" s="7" t="s">
        <v>71</v>
      </c>
      <c r="S362" s="8" t="s">
        <v>66</v>
      </c>
      <c r="T362" s="21" t="str">
        <f>MID(I358,5,1)</f>
        <v>0</v>
      </c>
      <c r="U362" s="26" t="str">
        <f t="shared" si="342"/>
        <v>0</v>
      </c>
      <c r="V362" s="7" t="s">
        <v>71</v>
      </c>
      <c r="W362" s="8" t="s">
        <v>66</v>
      </c>
      <c r="X362" s="400"/>
      <c r="Y362" s="381"/>
      <c r="Z362" s="381"/>
      <c r="AA362" s="401"/>
      <c r="AB362" s="400"/>
      <c r="AC362" s="381"/>
      <c r="AD362" s="381"/>
      <c r="AE362" s="401"/>
      <c r="AF362" s="21" t="str">
        <f>MID(L358,5,1)</f>
        <v>0</v>
      </c>
      <c r="AG362" s="26" t="str">
        <f t="shared" si="343"/>
        <v>0</v>
      </c>
      <c r="AH362" s="7" t="s">
        <v>71</v>
      </c>
      <c r="AI362" s="483" t="s">
        <v>448</v>
      </c>
      <c r="AJ362" s="400"/>
      <c r="AK362" s="401"/>
    </row>
    <row r="363" spans="3:37" x14ac:dyDescent="0.3">
      <c r="C363" s="7" t="s">
        <v>64</v>
      </c>
      <c r="D363" s="99" t="str">
        <f>HEX2BIN(D362,8)</f>
        <v>00000111</v>
      </c>
      <c r="E363" s="99" t="str">
        <f t="shared" ref="E363:G363" si="346">HEX2BIN(E362,8)</f>
        <v>00100000</v>
      </c>
      <c r="F363" s="99" t="str">
        <f t="shared" si="346"/>
        <v>00000100</v>
      </c>
      <c r="G363" s="99" t="str">
        <f t="shared" si="346"/>
        <v>00100011</v>
      </c>
      <c r="H363" s="29" t="str">
        <f>Q358&amp;Q359&amp;Q360&amp;Q361&amp;Q362&amp;Q363&amp;Q364&amp;Q365</f>
        <v>00000000</v>
      </c>
      <c r="I363" s="99" t="str">
        <f>U358&amp;U359&amp;U360&amp;U361&amp;U362&amp;U363&amp;U364&amp;U365</f>
        <v>00000000</v>
      </c>
      <c r="J363" s="29"/>
      <c r="K363" s="29"/>
      <c r="L363" s="99" t="str">
        <f>AG358&amp;AG359&amp;AG360&amp;AG361&amp;AG362&amp;AG363&amp;AG364&amp;AG365</f>
        <v>00000000</v>
      </c>
      <c r="M363" s="99" t="str">
        <f>DEC2HEX(M364)</f>
        <v>4E</v>
      </c>
      <c r="N363" s="8"/>
      <c r="P363" s="21" t="str">
        <f>MID(H358,6,1)</f>
        <v>0</v>
      </c>
      <c r="Q363" s="26" t="str">
        <f t="shared" si="341"/>
        <v>0</v>
      </c>
      <c r="R363" s="7" t="s">
        <v>72</v>
      </c>
      <c r="S363" s="8" t="s">
        <v>66</v>
      </c>
      <c r="T363" s="21" t="str">
        <f>MID(I358,6,1)</f>
        <v>0</v>
      </c>
      <c r="U363" s="26" t="str">
        <f t="shared" si="342"/>
        <v>0</v>
      </c>
      <c r="V363" s="7" t="s">
        <v>72</v>
      </c>
      <c r="W363" s="8" t="s">
        <v>66</v>
      </c>
      <c r="X363" s="400"/>
      <c r="Y363" s="381"/>
      <c r="Z363" s="381"/>
      <c r="AA363" s="401"/>
      <c r="AB363" s="400"/>
      <c r="AC363" s="381"/>
      <c r="AD363" s="381"/>
      <c r="AE363" s="401"/>
      <c r="AF363" s="21" t="str">
        <f>MID(L358,6,1)</f>
        <v>0</v>
      </c>
      <c r="AG363" s="26" t="str">
        <f t="shared" si="343"/>
        <v>0</v>
      </c>
      <c r="AH363" s="7" t="s">
        <v>72</v>
      </c>
      <c r="AI363" s="484"/>
      <c r="AJ363" s="400"/>
      <c r="AK363" s="401"/>
    </row>
    <row r="364" spans="3:37" x14ac:dyDescent="0.3">
      <c r="C364" s="7" t="s">
        <v>67</v>
      </c>
      <c r="D364" s="99">
        <f>HEX2DEC(D362)</f>
        <v>7</v>
      </c>
      <c r="E364" s="99">
        <f t="shared" ref="E364:L364" si="347">HEX2DEC(E362)</f>
        <v>32</v>
      </c>
      <c r="F364" s="99">
        <f t="shared" si="347"/>
        <v>4</v>
      </c>
      <c r="G364" s="99">
        <f t="shared" si="347"/>
        <v>35</v>
      </c>
      <c r="H364" s="99">
        <f t="shared" si="347"/>
        <v>0</v>
      </c>
      <c r="I364" s="99">
        <f t="shared" si="347"/>
        <v>0</v>
      </c>
      <c r="J364" s="99">
        <f t="shared" si="347"/>
        <v>0</v>
      </c>
      <c r="K364" s="99">
        <f t="shared" si="347"/>
        <v>0</v>
      </c>
      <c r="L364" s="99">
        <f t="shared" si="347"/>
        <v>0</v>
      </c>
      <c r="M364" s="99">
        <f>SUM(D364:L364)</f>
        <v>78</v>
      </c>
      <c r="N364" s="8"/>
      <c r="P364" s="21" t="str">
        <f>MID(H358,7,1)</f>
        <v>0</v>
      </c>
      <c r="Q364" s="26" t="str">
        <f t="shared" si="341"/>
        <v>0</v>
      </c>
      <c r="R364" s="7" t="s">
        <v>73</v>
      </c>
      <c r="S364" s="8" t="s">
        <v>66</v>
      </c>
      <c r="T364" s="21" t="str">
        <f>MID(I358,7,1)</f>
        <v>0</v>
      </c>
      <c r="U364" s="26" t="str">
        <f t="shared" si="342"/>
        <v>0</v>
      </c>
      <c r="V364" s="7" t="s">
        <v>73</v>
      </c>
      <c r="W364" s="8" t="s">
        <v>66</v>
      </c>
      <c r="X364" s="400"/>
      <c r="Y364" s="381"/>
      <c r="Z364" s="381"/>
      <c r="AA364" s="401"/>
      <c r="AB364" s="400"/>
      <c r="AC364" s="381"/>
      <c r="AD364" s="381"/>
      <c r="AE364" s="401"/>
      <c r="AF364" s="21" t="str">
        <f>MID(L358,7,1)</f>
        <v>0</v>
      </c>
      <c r="AG364" s="26" t="str">
        <f t="shared" si="343"/>
        <v>0</v>
      </c>
      <c r="AH364" s="7" t="s">
        <v>73</v>
      </c>
      <c r="AI364" s="484"/>
      <c r="AJ364" s="400"/>
      <c r="AK364" s="401"/>
    </row>
    <row r="365" spans="3:37" ht="15" thickBot="1" x14ac:dyDescent="0.35">
      <c r="C365" s="9" t="s">
        <v>1678</v>
      </c>
      <c r="D365" s="334" t="str">
        <f>D360</f>
        <v>07</v>
      </c>
      <c r="E365" s="334" t="str">
        <f t="shared" ref="E365:G365" si="348">E360</f>
        <v>20</v>
      </c>
      <c r="F365" s="334" t="str">
        <f t="shared" si="348"/>
        <v>G4</v>
      </c>
      <c r="G365" s="334" t="str">
        <f t="shared" si="348"/>
        <v>H7</v>
      </c>
      <c r="H365" s="10"/>
      <c r="I365" s="10"/>
      <c r="J365" s="10"/>
      <c r="K365" s="10"/>
      <c r="L365" s="10"/>
      <c r="M365" s="10"/>
      <c r="N365" s="11"/>
      <c r="P365" s="22" t="str">
        <f>MID(H358,8,1)</f>
        <v>0</v>
      </c>
      <c r="Q365" s="55" t="str">
        <f t="shared" si="341"/>
        <v>0</v>
      </c>
      <c r="R365" s="9" t="s">
        <v>74</v>
      </c>
      <c r="S365" s="11" t="s">
        <v>66</v>
      </c>
      <c r="T365" s="22" t="str">
        <f>MID(I358,8,1)</f>
        <v>0</v>
      </c>
      <c r="U365" s="55" t="str">
        <f t="shared" si="342"/>
        <v>0</v>
      </c>
      <c r="V365" s="9" t="s">
        <v>74</v>
      </c>
      <c r="W365" s="11" t="s">
        <v>66</v>
      </c>
      <c r="X365" s="402"/>
      <c r="Y365" s="403"/>
      <c r="Z365" s="403"/>
      <c r="AA365" s="404"/>
      <c r="AB365" s="402"/>
      <c r="AC365" s="403"/>
      <c r="AD365" s="403"/>
      <c r="AE365" s="404"/>
      <c r="AF365" s="22" t="str">
        <f>MID(L358,8,1)</f>
        <v>0</v>
      </c>
      <c r="AG365" s="55" t="str">
        <f t="shared" si="343"/>
        <v>0</v>
      </c>
      <c r="AH365" s="9" t="s">
        <v>74</v>
      </c>
      <c r="AI365" s="485"/>
      <c r="AJ365" s="402"/>
      <c r="AK365" s="404"/>
    </row>
    <row r="366" spans="3:37" ht="15" thickBot="1" x14ac:dyDescent="0.35">
      <c r="C366" s="4"/>
      <c r="D366" s="5"/>
      <c r="E366" s="5"/>
      <c r="F366" s="5"/>
      <c r="G366" s="5"/>
      <c r="H366" s="5"/>
      <c r="I366" s="5"/>
      <c r="J366" s="5"/>
      <c r="K366" s="5"/>
      <c r="L366" s="5"/>
      <c r="M366" s="5" t="s">
        <v>41</v>
      </c>
      <c r="N366" s="6"/>
      <c r="P366" s="530" t="s">
        <v>434</v>
      </c>
      <c r="Q366" s="530"/>
      <c r="R366" s="530"/>
      <c r="S366" s="530"/>
      <c r="T366" s="530"/>
      <c r="U366" s="530"/>
      <c r="V366" s="530"/>
      <c r="W366" s="530"/>
      <c r="X366" s="530"/>
      <c r="Y366" s="530"/>
      <c r="Z366" s="530"/>
      <c r="AA366" s="530"/>
      <c r="AB366" s="530"/>
      <c r="AC366" s="530"/>
      <c r="AD366" s="530"/>
      <c r="AE366" s="530"/>
      <c r="AF366" s="530"/>
      <c r="AG366" s="530"/>
      <c r="AH366" s="530"/>
      <c r="AI366" s="530"/>
      <c r="AJ366" s="530"/>
      <c r="AK366" s="530"/>
    </row>
    <row r="367" spans="3:37" ht="15" thickBot="1" x14ac:dyDescent="0.35">
      <c r="C367" s="7"/>
      <c r="D367" s="393" t="s">
        <v>1521</v>
      </c>
      <c r="E367" s="393"/>
      <c r="F367" s="393"/>
      <c r="G367" s="393"/>
      <c r="H367" s="99" t="s">
        <v>44</v>
      </c>
      <c r="I367" s="99" t="s">
        <v>45</v>
      </c>
      <c r="J367" s="99" t="s">
        <v>46</v>
      </c>
      <c r="K367" s="99" t="s">
        <v>47</v>
      </c>
      <c r="L367" s="99" t="s">
        <v>48</v>
      </c>
      <c r="M367" s="99" t="s">
        <v>49</v>
      </c>
      <c r="N367" s="8"/>
      <c r="P367" s="394" t="s">
        <v>50</v>
      </c>
      <c r="Q367" s="395"/>
      <c r="R367" s="395"/>
      <c r="S367" s="396"/>
      <c r="T367" s="394" t="s">
        <v>51</v>
      </c>
      <c r="U367" s="395"/>
      <c r="V367" s="395"/>
      <c r="W367" s="396"/>
      <c r="X367" s="394" t="s">
        <v>52</v>
      </c>
      <c r="Y367" s="395"/>
      <c r="Z367" s="395"/>
      <c r="AA367" s="396"/>
      <c r="AB367" s="394" t="s">
        <v>53</v>
      </c>
      <c r="AC367" s="395"/>
      <c r="AD367" s="395"/>
      <c r="AE367" s="396"/>
      <c r="AF367" s="394" t="s">
        <v>97</v>
      </c>
      <c r="AG367" s="395"/>
      <c r="AH367" s="395"/>
      <c r="AI367" s="396"/>
      <c r="AJ367" s="448" t="s">
        <v>55</v>
      </c>
      <c r="AK367" s="408"/>
    </row>
    <row r="368" spans="3:37" ht="15" thickBot="1" x14ac:dyDescent="0.35">
      <c r="C368" s="7" t="s">
        <v>56</v>
      </c>
      <c r="D368" s="12" t="s">
        <v>57</v>
      </c>
      <c r="E368" s="13" t="s">
        <v>130</v>
      </c>
      <c r="F368" s="13" t="s">
        <v>111</v>
      </c>
      <c r="G368" s="14" t="s">
        <v>274</v>
      </c>
      <c r="H368" s="24" t="str" cm="1">
        <f t="array" ref="H368">MID(INDEX($A$3:$A$70,IF(ISNA(MATCH("720G4H8*",$A$3:$A$70,0))=TRUE,MATCH("7200424*",$A$3:$A$70,0),MATCH("720G4H8*",$A$3:$A$70,0))),$AU$8,2)</f>
        <v>00</v>
      </c>
      <c r="I368" s="42" t="str" cm="1">
        <f t="array" ref="I368">MID(INDEX($A$3:$A$70,IF(ISNA(MATCH("720G4H8*",$A$3:$A$70,0))=TRUE,MATCH("7200424*",$A$3:$A$70,0),MATCH("720G4H8*",$A$3:$A$70,0))),$AV$8,2)</f>
        <v>00</v>
      </c>
      <c r="J368" s="42" t="str" cm="1">
        <f t="array" ref="J368">MID(INDEX($A$3:$A$70,IF(ISNA(MATCH("720G4H8*",$A$3:$A$70,0))=TRUE,MATCH("7200424*",$A$3:$A$70,0),MATCH("720G4H8*",$A$3:$A$70,0))),$AW$8,2)</f>
        <v>00</v>
      </c>
      <c r="K368" s="43" t="str" cm="1">
        <f t="array" ref="K368">MID(INDEX($A$3:$A$70,IF(ISNA(MATCH("720G4H8*",$A$3:$A$70,0))=TRUE,MATCH("7200424*",$A$3:$A$70,0),MATCH("720G4H8*",$A$3:$A$70,0))),$AX$8,2)</f>
        <v>00</v>
      </c>
      <c r="L368" s="43" t="str" cm="1">
        <f t="array" ref="L368">MID(INDEX($A$3:$A$70,IF(ISNA(MATCH("720G4H8*",$A$3:$A$70,0))=TRUE,MATCH("7200424*",$A$3:$A$70,0),MATCH("720G4H8*",$A$3:$A$70,0))),$AY$8,2)</f>
        <v>00</v>
      </c>
      <c r="M368" s="44" t="str" cm="1">
        <f t="array" ref="M368">MID(INDEX($A$3:$A$70,IF(ISNA(MATCH("720G4H8*",$A$3:$A$70,0))=TRUE,MATCH("7200424*",$A$3:$A$70,0),MATCH("720G4H8*",$A$3:$A$70,0))),$AZ$8,2)</f>
        <v>4F</v>
      </c>
      <c r="N368" s="8" t="s">
        <v>60</v>
      </c>
      <c r="P368" s="19" t="s">
        <v>60</v>
      </c>
      <c r="Q368" s="20" t="s">
        <v>61</v>
      </c>
      <c r="R368" t="s">
        <v>62</v>
      </c>
      <c r="S368" s="8"/>
      <c r="T368" s="19" t="s">
        <v>60</v>
      </c>
      <c r="U368" s="20" t="s">
        <v>61</v>
      </c>
      <c r="V368" t="s">
        <v>62</v>
      </c>
      <c r="W368" s="8"/>
      <c r="X368" s="19" t="s">
        <v>60</v>
      </c>
      <c r="Y368" s="20" t="s">
        <v>61</v>
      </c>
      <c r="Z368" t="s">
        <v>62</v>
      </c>
      <c r="AA368" s="8"/>
      <c r="AB368" s="19" t="s">
        <v>60</v>
      </c>
      <c r="AC368" s="20" t="s">
        <v>61</v>
      </c>
      <c r="AD368" t="s">
        <v>62</v>
      </c>
      <c r="AE368" s="8"/>
      <c r="AF368" s="19" t="s">
        <v>60</v>
      </c>
      <c r="AG368" s="20" t="s">
        <v>61</v>
      </c>
      <c r="AH368" t="s">
        <v>62</v>
      </c>
      <c r="AJ368" s="394" t="s">
        <v>63</v>
      </c>
      <c r="AK368" s="396"/>
    </row>
    <row r="369" spans="3:37" x14ac:dyDescent="0.3">
      <c r="C369" s="7" t="s">
        <v>64</v>
      </c>
      <c r="D369" s="99" t="str">
        <f>HEX2BIN(D368,8)</f>
        <v>00000111</v>
      </c>
      <c r="E369" s="99" t="str">
        <f t="shared" ref="E369:L369" si="349">HEX2BIN(E368,8)</f>
        <v>00100000</v>
      </c>
      <c r="F369" s="99" t="str">
        <f t="shared" si="349"/>
        <v>00000100</v>
      </c>
      <c r="G369" s="99" t="str">
        <f t="shared" si="349"/>
        <v>00100100</v>
      </c>
      <c r="H369" s="99" t="str">
        <f t="shared" si="349"/>
        <v>00000000</v>
      </c>
      <c r="I369" s="99" t="str">
        <f t="shared" si="349"/>
        <v>00000000</v>
      </c>
      <c r="J369" s="99" t="str">
        <f t="shared" si="349"/>
        <v>00000000</v>
      </c>
      <c r="K369" s="99" t="str">
        <f t="shared" si="349"/>
        <v>00000000</v>
      </c>
      <c r="L369" s="99" t="str">
        <f t="shared" si="349"/>
        <v>00000000</v>
      </c>
      <c r="N369" s="8"/>
      <c r="P369" s="21" t="str">
        <f>MID(H369,1,1)</f>
        <v>0</v>
      </c>
      <c r="Q369" s="26" t="str">
        <f>P369</f>
        <v>0</v>
      </c>
      <c r="R369" s="7" t="s">
        <v>65</v>
      </c>
      <c r="S369" s="8" t="s">
        <v>66</v>
      </c>
      <c r="T369" s="21" t="str">
        <f>MID(I369,1,1)</f>
        <v>0</v>
      </c>
      <c r="U369" s="26" t="str">
        <f>T369</f>
        <v>0</v>
      </c>
      <c r="V369" s="7" t="s">
        <v>65</v>
      </c>
      <c r="W369" s="8" t="s">
        <v>66</v>
      </c>
      <c r="X369" s="21" t="str">
        <f>MID(J369,1,1)</f>
        <v>0</v>
      </c>
      <c r="Y369" s="26" t="str">
        <f>X369</f>
        <v>0</v>
      </c>
      <c r="Z369" s="7" t="s">
        <v>65</v>
      </c>
      <c r="AA369" s="8" t="s">
        <v>66</v>
      </c>
      <c r="AB369" s="21" t="str">
        <f>MID(K369,1,1)</f>
        <v>0</v>
      </c>
      <c r="AC369" s="26" t="str">
        <f>AB369</f>
        <v>0</v>
      </c>
      <c r="AD369" s="7" t="s">
        <v>65</v>
      </c>
      <c r="AE369" s="8" t="s">
        <v>66</v>
      </c>
      <c r="AF369" s="21" t="str">
        <f>MID(L369,1,1)</f>
        <v>0</v>
      </c>
      <c r="AG369" s="26" t="str">
        <f>AF369</f>
        <v>0</v>
      </c>
      <c r="AH369" s="7" t="s">
        <v>65</v>
      </c>
      <c r="AI369" s="8" t="s">
        <v>66</v>
      </c>
      <c r="AJ369" s="400"/>
      <c r="AK369" s="401"/>
    </row>
    <row r="370" spans="3:37" ht="15" customHeight="1" x14ac:dyDescent="0.3">
      <c r="C370" s="7" t="s">
        <v>67</v>
      </c>
      <c r="D370" s="99">
        <f>HEX2DEC(D368)</f>
        <v>7</v>
      </c>
      <c r="E370" s="99">
        <f t="shared" ref="E370:L370" si="350">HEX2DEC(E368)</f>
        <v>32</v>
      </c>
      <c r="F370" s="99">
        <f t="shared" si="350"/>
        <v>4</v>
      </c>
      <c r="G370" s="99">
        <f t="shared" si="350"/>
        <v>36</v>
      </c>
      <c r="H370" s="99">
        <f t="shared" si="350"/>
        <v>0</v>
      </c>
      <c r="I370" s="99">
        <f t="shared" si="350"/>
        <v>0</v>
      </c>
      <c r="J370" s="99">
        <f t="shared" si="350"/>
        <v>0</v>
      </c>
      <c r="K370" s="99">
        <f t="shared" si="350"/>
        <v>0</v>
      </c>
      <c r="L370" s="99">
        <f t="shared" si="350"/>
        <v>0</v>
      </c>
      <c r="M370" s="99">
        <f>SUM(D370:L370)</f>
        <v>79</v>
      </c>
      <c r="N370" s="8"/>
      <c r="P370" s="21" t="str">
        <f>MID(H369,2,1)</f>
        <v>0</v>
      </c>
      <c r="Q370" s="26" t="str">
        <f t="shared" ref="Q370:Q376" si="351">P370</f>
        <v>0</v>
      </c>
      <c r="R370" s="7" t="s">
        <v>68</v>
      </c>
      <c r="S370" s="8" t="s">
        <v>66</v>
      </c>
      <c r="T370" s="21" t="str">
        <f>MID(I369,2,1)</f>
        <v>0</v>
      </c>
      <c r="U370" s="26" t="str">
        <f t="shared" ref="U370:U376" si="352">T370</f>
        <v>0</v>
      </c>
      <c r="V370" s="7" t="s">
        <v>68</v>
      </c>
      <c r="W370" s="8" t="s">
        <v>66</v>
      </c>
      <c r="X370" s="21" t="str">
        <f>MID(J369,2,1)</f>
        <v>0</v>
      </c>
      <c r="Y370" s="26" t="str">
        <f t="shared" ref="Y370:Y376" si="353">X370</f>
        <v>0</v>
      </c>
      <c r="Z370" s="7" t="s">
        <v>68</v>
      </c>
      <c r="AA370" s="560" t="s">
        <v>1807</v>
      </c>
      <c r="AB370" s="21" t="str">
        <f>MID(K369,2,1)</f>
        <v>0</v>
      </c>
      <c r="AC370" s="26" t="str">
        <f t="shared" ref="AC370:AC376" si="354">AB370</f>
        <v>0</v>
      </c>
      <c r="AD370" s="7" t="s">
        <v>68</v>
      </c>
      <c r="AE370" s="8" t="s">
        <v>66</v>
      </c>
      <c r="AF370" s="21" t="str">
        <f>MID(L369,2,1)</f>
        <v>0</v>
      </c>
      <c r="AG370" s="26" t="str">
        <f t="shared" ref="AG370:AG376" si="355">AF370</f>
        <v>0</v>
      </c>
      <c r="AH370" s="7" t="s">
        <v>68</v>
      </c>
      <c r="AI370" s="8" t="s">
        <v>66</v>
      </c>
      <c r="AJ370" s="400"/>
      <c r="AK370" s="401"/>
    </row>
    <row r="371" spans="3:37" x14ac:dyDescent="0.3">
      <c r="C371" s="7" t="s">
        <v>1678</v>
      </c>
      <c r="D371" s="333" t="str">
        <f>D368</f>
        <v>07</v>
      </c>
      <c r="E371" s="333" t="str">
        <f>E368</f>
        <v>20</v>
      </c>
      <c r="F371" s="99" t="str">
        <f>MID(INDEX($A$3:$A$70,IF(ISNA(MATCH("720G4H8*",$A$3:$A$70,0))=TRUE,MATCH("7200424*",$A$3:$A$70,0),MATCH("720G4H8*",$A$3:$A$70,0))),$AS$8,2)</f>
        <v>G4</v>
      </c>
      <c r="G371" s="99" t="str">
        <f>MID(INDEX($A$3:$A$70,IF(ISNA(MATCH("720G4H8*",$A$3:$A$70,0))=TRUE,MATCH("7200424*",$A$3:$A$70,0),MATCH("720G4H8*",$A$3:$A$70,0))),$AT$8,2)</f>
        <v>H8</v>
      </c>
      <c r="N371" s="8"/>
      <c r="P371" s="21" t="str">
        <f>MID(H369,3,1)</f>
        <v>0</v>
      </c>
      <c r="Q371" s="26" t="str">
        <f t="shared" si="351"/>
        <v>0</v>
      </c>
      <c r="R371" s="7" t="s">
        <v>69</v>
      </c>
      <c r="S371" s="8" t="s">
        <v>66</v>
      </c>
      <c r="T371" s="21" t="str">
        <f>MID(I369,3,1)</f>
        <v>0</v>
      </c>
      <c r="U371" s="26" t="str">
        <f t="shared" si="352"/>
        <v>0</v>
      </c>
      <c r="V371" s="7" t="s">
        <v>69</v>
      </c>
      <c r="W371" s="8" t="s">
        <v>66</v>
      </c>
      <c r="X371" s="21" t="str">
        <f>MID(J369,3,1)</f>
        <v>0</v>
      </c>
      <c r="Y371" s="26" t="str">
        <f t="shared" si="353"/>
        <v>0</v>
      </c>
      <c r="Z371" s="7" t="s">
        <v>69</v>
      </c>
      <c r="AA371" s="561"/>
      <c r="AB371" s="21" t="str">
        <f>MID(K369,3,1)</f>
        <v>0</v>
      </c>
      <c r="AC371" s="26" t="str">
        <f t="shared" si="354"/>
        <v>0</v>
      </c>
      <c r="AD371" s="7" t="s">
        <v>69</v>
      </c>
      <c r="AE371" s="8" t="s">
        <v>66</v>
      </c>
      <c r="AF371" s="21" t="str">
        <f>MID(L369,3,1)</f>
        <v>0</v>
      </c>
      <c r="AG371" s="26" t="str">
        <f t="shared" si="355"/>
        <v>0</v>
      </c>
      <c r="AH371" s="7" t="s">
        <v>69</v>
      </c>
      <c r="AI371" s="8" t="s">
        <v>66</v>
      </c>
      <c r="AJ371" s="400"/>
      <c r="AK371" s="401"/>
    </row>
    <row r="372" spans="3:37" ht="15" thickBot="1" x14ac:dyDescent="0.35">
      <c r="C372" s="7"/>
      <c r="N372" s="8"/>
      <c r="P372" s="21" t="str">
        <f>MID(H369,4,1)</f>
        <v>0</v>
      </c>
      <c r="Q372" s="26" t="str">
        <f t="shared" si="351"/>
        <v>0</v>
      </c>
      <c r="R372" s="7" t="s">
        <v>70</v>
      </c>
      <c r="S372" s="8" t="s">
        <v>66</v>
      </c>
      <c r="T372" s="21" t="str">
        <f>MID(I369,4,1)</f>
        <v>0</v>
      </c>
      <c r="U372" s="26" t="str">
        <f t="shared" si="352"/>
        <v>0</v>
      </c>
      <c r="V372" s="7" t="s">
        <v>70</v>
      </c>
      <c r="W372" s="8" t="s">
        <v>66</v>
      </c>
      <c r="X372" s="21" t="str">
        <f>MID(J369,4,1)</f>
        <v>0</v>
      </c>
      <c r="Y372" s="26" t="str">
        <f t="shared" si="353"/>
        <v>0</v>
      </c>
      <c r="Z372" s="7" t="s">
        <v>70</v>
      </c>
      <c r="AA372" s="562"/>
      <c r="AB372" s="21" t="str">
        <f>MID(K369,4,1)</f>
        <v>0</v>
      </c>
      <c r="AC372" s="26" t="str">
        <f t="shared" si="354"/>
        <v>0</v>
      </c>
      <c r="AD372" s="7" t="s">
        <v>70</v>
      </c>
      <c r="AE372" s="8" t="s">
        <v>66</v>
      </c>
      <c r="AF372" s="21" t="str">
        <f>MID(L369,4,1)</f>
        <v>0</v>
      </c>
      <c r="AG372" s="26" t="str">
        <f t="shared" si="355"/>
        <v>0</v>
      </c>
      <c r="AH372" s="7" t="s">
        <v>70</v>
      </c>
      <c r="AI372" s="8" t="s">
        <v>66</v>
      </c>
      <c r="AJ372" s="400"/>
      <c r="AK372" s="401"/>
    </row>
    <row r="373" spans="3:37" ht="15" thickBot="1" x14ac:dyDescent="0.35">
      <c r="C373" s="7" t="s">
        <v>56</v>
      </c>
      <c r="D373" s="15" t="str">
        <f t="shared" ref="D373:G373" si="356">D368</f>
        <v>07</v>
      </c>
      <c r="E373" s="16" t="str">
        <f t="shared" si="356"/>
        <v>20</v>
      </c>
      <c r="F373" s="16" t="str">
        <f t="shared" si="356"/>
        <v>04</v>
      </c>
      <c r="G373" s="17" t="str">
        <f t="shared" si="356"/>
        <v>24</v>
      </c>
      <c r="H373" s="23" t="str">
        <f>BIN2HEX(H374,2)</f>
        <v>00</v>
      </c>
      <c r="I373" s="25" t="str">
        <f t="shared" ref="I373:L373" si="357">BIN2HEX(I374,2)</f>
        <v>00</v>
      </c>
      <c r="J373" s="24" t="str">
        <f t="shared" si="357"/>
        <v>00</v>
      </c>
      <c r="K373" s="2" t="str">
        <f t="shared" si="357"/>
        <v>00</v>
      </c>
      <c r="L373" s="18" t="str">
        <f t="shared" si="357"/>
        <v>00</v>
      </c>
      <c r="M373" s="3" t="str">
        <f>IF(LEN(M374)&gt;2,MID(M374,2,2),M374)</f>
        <v>4F</v>
      </c>
      <c r="N373" s="8" t="s">
        <v>61</v>
      </c>
      <c r="P373" s="21" t="str">
        <f>MID(H369,5,1)</f>
        <v>0</v>
      </c>
      <c r="Q373" s="26" t="str">
        <f t="shared" si="351"/>
        <v>0</v>
      </c>
      <c r="R373" s="7" t="s">
        <v>71</v>
      </c>
      <c r="S373" s="8" t="s">
        <v>66</v>
      </c>
      <c r="T373" s="21" t="str">
        <f>MID(I369,5,1)</f>
        <v>0</v>
      </c>
      <c r="U373" s="26" t="str">
        <f t="shared" si="352"/>
        <v>0</v>
      </c>
      <c r="V373" s="7" t="s">
        <v>71</v>
      </c>
      <c r="W373" s="8" t="s">
        <v>66</v>
      </c>
      <c r="X373" s="21" t="str">
        <f>MID(J369,5,1)</f>
        <v>0</v>
      </c>
      <c r="Y373" s="26" t="str">
        <f t="shared" si="353"/>
        <v>0</v>
      </c>
      <c r="Z373" s="7" t="s">
        <v>71</v>
      </c>
      <c r="AA373" s="8" t="s">
        <v>66</v>
      </c>
      <c r="AB373" s="21" t="str">
        <f>MID(K369,5,1)</f>
        <v>0</v>
      </c>
      <c r="AC373" s="26" t="str">
        <f t="shared" si="354"/>
        <v>0</v>
      </c>
      <c r="AD373" s="7" t="s">
        <v>71</v>
      </c>
      <c r="AE373" s="8" t="s">
        <v>66</v>
      </c>
      <c r="AF373" s="21" t="str">
        <f>MID(L369,5,1)</f>
        <v>0</v>
      </c>
      <c r="AG373" s="26" t="str">
        <f t="shared" si="355"/>
        <v>0</v>
      </c>
      <c r="AH373" s="7" t="s">
        <v>71</v>
      </c>
      <c r="AI373" s="8" t="s">
        <v>66</v>
      </c>
      <c r="AJ373" s="400"/>
      <c r="AK373" s="401"/>
    </row>
    <row r="374" spans="3:37" x14ac:dyDescent="0.3">
      <c r="C374" s="7" t="s">
        <v>64</v>
      </c>
      <c r="D374" s="99" t="str">
        <f>HEX2BIN(D373,8)</f>
        <v>00000111</v>
      </c>
      <c r="E374" s="99" t="str">
        <f t="shared" ref="E374:G374" si="358">HEX2BIN(E373,8)</f>
        <v>00100000</v>
      </c>
      <c r="F374" s="99" t="str">
        <f t="shared" si="358"/>
        <v>00000100</v>
      </c>
      <c r="G374" s="99" t="str">
        <f t="shared" si="358"/>
        <v>00100100</v>
      </c>
      <c r="H374" s="29" t="str">
        <f>Q369&amp;Q370&amp;Q371&amp;Q372&amp;Q373&amp;Q374&amp;Q375&amp;Q376</f>
        <v>00000000</v>
      </c>
      <c r="I374" s="99" t="str">
        <f>U369&amp;U370&amp;U371&amp;U372&amp;U373&amp;U374&amp;U375&amp;U376</f>
        <v>00000000</v>
      </c>
      <c r="J374" s="29" t="str">
        <f>Y369&amp;Y370&amp;Y371&amp;Y372&amp;Y373&amp;Y374&amp;Y375&amp;Y376</f>
        <v>00000000</v>
      </c>
      <c r="K374" s="29" t="str">
        <f>AC369&amp;AC370&amp;AC371&amp;AC372&amp;AC373&amp;AC374&amp;AC375&amp;AC376</f>
        <v>00000000</v>
      </c>
      <c r="L374" s="99" t="str">
        <f>AG369&amp;AG370&amp;AG371&amp;AG372&amp;AG373&amp;AG374&amp;AG375&amp;AG376</f>
        <v>00000000</v>
      </c>
      <c r="M374" s="99" t="str">
        <f>DEC2HEX(M375)</f>
        <v>4F</v>
      </c>
      <c r="N374" s="8"/>
      <c r="P374" s="21" t="str">
        <f>MID(H369,6,1)</f>
        <v>0</v>
      </c>
      <c r="Q374" s="26" t="str">
        <f t="shared" si="351"/>
        <v>0</v>
      </c>
      <c r="R374" s="7" t="s">
        <v>72</v>
      </c>
      <c r="S374" s="8" t="s">
        <v>66</v>
      </c>
      <c r="T374" s="21" t="str">
        <f>MID(I369,6,1)</f>
        <v>0</v>
      </c>
      <c r="U374" s="26" t="str">
        <f t="shared" si="352"/>
        <v>0</v>
      </c>
      <c r="V374" s="7" t="s">
        <v>72</v>
      </c>
      <c r="W374" s="8" t="s">
        <v>66</v>
      </c>
      <c r="X374" s="21" t="str">
        <f>MID(J369,6,1)</f>
        <v>0</v>
      </c>
      <c r="Y374" s="26" t="str">
        <f t="shared" si="353"/>
        <v>0</v>
      </c>
      <c r="Z374" s="7" t="s">
        <v>72</v>
      </c>
      <c r="AA374" s="8" t="s">
        <v>66</v>
      </c>
      <c r="AB374" s="21" t="str">
        <f>MID(K369,6,1)</f>
        <v>0</v>
      </c>
      <c r="AC374" s="26" t="str">
        <f t="shared" si="354"/>
        <v>0</v>
      </c>
      <c r="AD374" s="7" t="s">
        <v>72</v>
      </c>
      <c r="AE374" s="8" t="s">
        <v>66</v>
      </c>
      <c r="AF374" s="21" t="str">
        <f>MID(L369,6,1)</f>
        <v>0</v>
      </c>
      <c r="AG374" s="26" t="str">
        <f t="shared" si="355"/>
        <v>0</v>
      </c>
      <c r="AH374" s="7" t="s">
        <v>72</v>
      </c>
      <c r="AI374" s="8" t="s">
        <v>66</v>
      </c>
      <c r="AJ374" s="400"/>
      <c r="AK374" s="401"/>
    </row>
    <row r="375" spans="3:37" x14ac:dyDescent="0.3">
      <c r="C375" s="7" t="s">
        <v>67</v>
      </c>
      <c r="D375" s="99">
        <f>HEX2DEC(D373)</f>
        <v>7</v>
      </c>
      <c r="E375" s="99">
        <f t="shared" ref="E375:L375" si="359">HEX2DEC(E373)</f>
        <v>32</v>
      </c>
      <c r="F375" s="99">
        <f t="shared" si="359"/>
        <v>4</v>
      </c>
      <c r="G375" s="99">
        <f t="shared" si="359"/>
        <v>36</v>
      </c>
      <c r="H375" s="99">
        <f t="shared" si="359"/>
        <v>0</v>
      </c>
      <c r="I375" s="99">
        <f t="shared" si="359"/>
        <v>0</v>
      </c>
      <c r="J375" s="99">
        <f t="shared" si="359"/>
        <v>0</v>
      </c>
      <c r="K375" s="99">
        <f t="shared" si="359"/>
        <v>0</v>
      </c>
      <c r="L375" s="99">
        <f t="shared" si="359"/>
        <v>0</v>
      </c>
      <c r="M375" s="99">
        <f>SUM(D375:L375)</f>
        <v>79</v>
      </c>
      <c r="N375" s="8"/>
      <c r="P375" s="21" t="str">
        <f>MID(H369,7,1)</f>
        <v>0</v>
      </c>
      <c r="Q375" s="26" t="str">
        <f t="shared" si="351"/>
        <v>0</v>
      </c>
      <c r="R375" s="7" t="s">
        <v>73</v>
      </c>
      <c r="S375" s="8" t="s">
        <v>66</v>
      </c>
      <c r="T375" s="21" t="str">
        <f>MID(I369,7,1)</f>
        <v>0</v>
      </c>
      <c r="U375" s="26" t="str">
        <f t="shared" si="352"/>
        <v>0</v>
      </c>
      <c r="V375" s="7" t="s">
        <v>73</v>
      </c>
      <c r="W375" s="8" t="s">
        <v>66</v>
      </c>
      <c r="X375" s="21" t="str">
        <f>MID(J369,7,1)</f>
        <v>0</v>
      </c>
      <c r="Y375" s="26" t="str">
        <f t="shared" si="353"/>
        <v>0</v>
      </c>
      <c r="Z375" s="7" t="s">
        <v>73</v>
      </c>
      <c r="AA375" s="8" t="s">
        <v>66</v>
      </c>
      <c r="AB375" s="21" t="str">
        <f>MID(K369,7,1)</f>
        <v>0</v>
      </c>
      <c r="AC375" s="26" t="str">
        <f t="shared" si="354"/>
        <v>0</v>
      </c>
      <c r="AD375" s="7" t="s">
        <v>73</v>
      </c>
      <c r="AE375" s="8" t="s">
        <v>66</v>
      </c>
      <c r="AF375" s="21" t="str">
        <f>MID(L369,7,1)</f>
        <v>0</v>
      </c>
      <c r="AG375" s="26" t="str">
        <f t="shared" si="355"/>
        <v>0</v>
      </c>
      <c r="AH375" s="7" t="s">
        <v>73</v>
      </c>
      <c r="AI375" s="8" t="s">
        <v>66</v>
      </c>
      <c r="AJ375" s="400"/>
      <c r="AK375" s="401"/>
    </row>
    <row r="376" spans="3:37" ht="15" thickBot="1" x14ac:dyDescent="0.35">
      <c r="C376" s="9" t="s">
        <v>1678</v>
      </c>
      <c r="D376" s="334" t="str">
        <f>D371</f>
        <v>07</v>
      </c>
      <c r="E376" s="334" t="str">
        <f t="shared" ref="E376:G376" si="360">E371</f>
        <v>20</v>
      </c>
      <c r="F376" s="334" t="str">
        <f t="shared" si="360"/>
        <v>G4</v>
      </c>
      <c r="G376" s="334" t="str">
        <f t="shared" si="360"/>
        <v>H8</v>
      </c>
      <c r="H376" s="10"/>
      <c r="I376" s="10"/>
      <c r="J376" s="10"/>
      <c r="K376" s="10"/>
      <c r="L376" s="10"/>
      <c r="M376" s="10"/>
      <c r="N376" s="11"/>
      <c r="P376" s="22" t="str">
        <f>MID(H369,8,1)</f>
        <v>0</v>
      </c>
      <c r="Q376" s="55" t="str">
        <f t="shared" si="351"/>
        <v>0</v>
      </c>
      <c r="R376" s="9" t="s">
        <v>74</v>
      </c>
      <c r="S376" s="11" t="s">
        <v>66</v>
      </c>
      <c r="T376" s="22" t="str">
        <f>MID(I369,8,1)</f>
        <v>0</v>
      </c>
      <c r="U376" s="55" t="str">
        <f t="shared" si="352"/>
        <v>0</v>
      </c>
      <c r="V376" s="9" t="s">
        <v>74</v>
      </c>
      <c r="W376" s="11" t="s">
        <v>66</v>
      </c>
      <c r="X376" s="22" t="str">
        <f>MID(J369,8,1)</f>
        <v>0</v>
      </c>
      <c r="Y376" s="55" t="str">
        <f t="shared" si="353"/>
        <v>0</v>
      </c>
      <c r="Z376" s="9" t="s">
        <v>74</v>
      </c>
      <c r="AA376" s="11" t="s">
        <v>66</v>
      </c>
      <c r="AB376" s="22" t="str">
        <f>MID(K369,8,1)</f>
        <v>0</v>
      </c>
      <c r="AC376" s="55" t="str">
        <f t="shared" si="354"/>
        <v>0</v>
      </c>
      <c r="AD376" s="9" t="s">
        <v>74</v>
      </c>
      <c r="AE376" s="11" t="s">
        <v>66</v>
      </c>
      <c r="AF376" s="22" t="str">
        <f>MID(L369,8,1)</f>
        <v>0</v>
      </c>
      <c r="AG376" s="55" t="str">
        <f t="shared" si="355"/>
        <v>0</v>
      </c>
      <c r="AH376" s="9" t="s">
        <v>74</v>
      </c>
      <c r="AI376" s="11" t="s">
        <v>66</v>
      </c>
      <c r="AJ376" s="402"/>
      <c r="AK376" s="404"/>
    </row>
    <row r="377" spans="3:37" ht="15" thickBot="1" x14ac:dyDescent="0.35">
      <c r="C377" s="4"/>
      <c r="D377" s="5"/>
      <c r="E377" s="5"/>
      <c r="F377" s="5"/>
      <c r="G377" s="5"/>
      <c r="H377" s="5"/>
      <c r="I377" s="5"/>
      <c r="J377" s="5"/>
      <c r="K377" s="5"/>
      <c r="L377" s="5"/>
      <c r="M377" s="5" t="s">
        <v>41</v>
      </c>
      <c r="N377" s="6"/>
      <c r="P377" s="530" t="s">
        <v>435</v>
      </c>
      <c r="Q377" s="530"/>
      <c r="R377" s="530"/>
      <c r="S377" s="530"/>
      <c r="T377" s="530"/>
      <c r="U377" s="530"/>
      <c r="V377" s="530"/>
      <c r="W377" s="530"/>
      <c r="X377" s="530"/>
      <c r="Y377" s="530"/>
      <c r="Z377" s="530"/>
      <c r="AA377" s="530"/>
      <c r="AB377" s="530"/>
      <c r="AC377" s="530"/>
      <c r="AD377" s="530"/>
      <c r="AE377" s="530"/>
      <c r="AF377" s="530"/>
      <c r="AG377" s="530"/>
      <c r="AH377" s="530"/>
      <c r="AI377" s="530"/>
      <c r="AJ377" s="530"/>
      <c r="AK377" s="530"/>
    </row>
    <row r="378" spans="3:37" ht="15" thickBot="1" x14ac:dyDescent="0.35">
      <c r="C378" s="7"/>
      <c r="D378" s="393" t="s">
        <v>1557</v>
      </c>
      <c r="E378" s="393"/>
      <c r="F378" s="393"/>
      <c r="G378" s="393"/>
      <c r="H378" s="99" t="s">
        <v>44</v>
      </c>
      <c r="I378" s="99" t="s">
        <v>45</v>
      </c>
      <c r="J378" s="99" t="s">
        <v>46</v>
      </c>
      <c r="K378" s="99" t="s">
        <v>47</v>
      </c>
      <c r="L378" s="99" t="s">
        <v>48</v>
      </c>
      <c r="M378" s="99" t="s">
        <v>49</v>
      </c>
      <c r="N378" s="8"/>
      <c r="P378" s="448" t="s">
        <v>260</v>
      </c>
      <c r="Q378" s="407"/>
      <c r="R378" s="407"/>
      <c r="S378" s="408"/>
      <c r="T378" s="448" t="s">
        <v>275</v>
      </c>
      <c r="U378" s="407"/>
      <c r="V378" s="407"/>
      <c r="W378" s="408"/>
      <c r="X378" s="394" t="s">
        <v>52</v>
      </c>
      <c r="Y378" s="395"/>
      <c r="Z378" s="395"/>
      <c r="AA378" s="396"/>
      <c r="AB378" s="394" t="s">
        <v>53</v>
      </c>
      <c r="AC378" s="395"/>
      <c r="AD378" s="395"/>
      <c r="AE378" s="396"/>
      <c r="AF378" s="394" t="s">
        <v>97</v>
      </c>
      <c r="AG378" s="395"/>
      <c r="AH378" s="395"/>
      <c r="AI378" s="396"/>
      <c r="AJ378" s="448" t="s">
        <v>55</v>
      </c>
      <c r="AK378" s="408"/>
    </row>
    <row r="379" spans="3:37" ht="15" thickBot="1" x14ac:dyDescent="0.35">
      <c r="C379" s="7" t="s">
        <v>56</v>
      </c>
      <c r="D379" s="12" t="s">
        <v>57</v>
      </c>
      <c r="E379" s="13" t="s">
        <v>130</v>
      </c>
      <c r="F379" s="13" t="s">
        <v>111</v>
      </c>
      <c r="G379" s="14" t="s">
        <v>276</v>
      </c>
      <c r="H379" s="41" t="str" cm="1">
        <f t="array" ref="H379">MID(INDEX($A$3:$A$70,IF(ISNA(MATCH("720G4H9*",$A$3:$A$70,0))=TRUE,MATCH("7200425*",$A$3:$A$70,0),MATCH("720G4H9*",$A$3:$A$70,0))),$AU$8,2)</f>
        <v>00</v>
      </c>
      <c r="I379" s="42" t="str" cm="1">
        <f t="array" ref="I379">MID(INDEX($A$3:$A$70,IF(ISNA(MATCH("720G4H9*",$A$3:$A$70,0))=TRUE,MATCH("7200425*",$A$3:$A$70,0),MATCH("720G4H9*",$A$3:$A$70,0))),$AV$8,2)</f>
        <v>00</v>
      </c>
      <c r="J379" s="24" t="str" cm="1">
        <f t="array" ref="J379">MID(INDEX($A$3:$A$70,IF(ISNA(MATCH("720G4H9*",$A$3:$A$70,0))=TRUE,MATCH("7200425*",$A$3:$A$70,0),MATCH("720G4H9*",$A$3:$A$70,0))),$AW$8,2)</f>
        <v>00</v>
      </c>
      <c r="K379" s="42" t="str" cm="1">
        <f t="array" ref="K379">MID(INDEX($A$3:$A$70,IF(ISNA(MATCH("720G4H9*",$A$3:$A$70,0))=TRUE,MATCH("7200425*",$A$3:$A$70,0),MATCH("720G4H9*",$A$3:$A$70,0))),$AX$8,2)</f>
        <v>00</v>
      </c>
      <c r="L379" s="43" t="str" cm="1">
        <f t="array" ref="L379">MID(INDEX($A$3:$A$70,IF(ISNA(MATCH("720G4H9*",$A$3:$A$70,0))=TRUE,MATCH("7200425*",$A$3:$A$70,0),MATCH("720G4H9*",$A$3:$A$70,0))),$AY$8,2)</f>
        <v>00</v>
      </c>
      <c r="M379" s="44" t="str" cm="1">
        <f t="array" ref="M379">MID(INDEX($A$3:$A$70,IF(ISNA(MATCH("720G4H9*",$A$3:$A$70,0))=TRUE,MATCH("7200425*",$A$3:$A$70,0),MATCH("720G4H9*",$A$3:$A$70,0))),$AZ$8,2)</f>
        <v>50</v>
      </c>
      <c r="N379" s="8" t="s">
        <v>60</v>
      </c>
      <c r="P379" s="394"/>
      <c r="Q379" s="395"/>
      <c r="R379" s="395"/>
      <c r="S379" s="396"/>
      <c r="T379" s="394"/>
      <c r="U379" s="395"/>
      <c r="V379" s="395"/>
      <c r="W379" s="396"/>
      <c r="X379" s="19" t="s">
        <v>60</v>
      </c>
      <c r="Y379" s="20" t="s">
        <v>61</v>
      </c>
      <c r="Z379" t="s">
        <v>62</v>
      </c>
      <c r="AA379" s="8"/>
      <c r="AB379" s="19" t="s">
        <v>60</v>
      </c>
      <c r="AC379" s="20" t="s">
        <v>61</v>
      </c>
      <c r="AD379" t="s">
        <v>62</v>
      </c>
      <c r="AE379" s="8"/>
      <c r="AF379" s="19" t="s">
        <v>60</v>
      </c>
      <c r="AG379" s="20" t="s">
        <v>61</v>
      </c>
      <c r="AH379" t="s">
        <v>62</v>
      </c>
      <c r="AJ379" s="394" t="s">
        <v>63</v>
      </c>
      <c r="AK379" s="396"/>
    </row>
    <row r="380" spans="3:37" x14ac:dyDescent="0.3">
      <c r="C380" s="7" t="s">
        <v>64</v>
      </c>
      <c r="D380" s="99" t="str">
        <f>HEX2BIN(D379,8)</f>
        <v>00000111</v>
      </c>
      <c r="E380" s="99" t="str">
        <f t="shared" ref="E380:L380" si="361">HEX2BIN(E379,8)</f>
        <v>00100000</v>
      </c>
      <c r="F380" s="99" t="str">
        <f t="shared" si="361"/>
        <v>00000100</v>
      </c>
      <c r="G380" s="99" t="str">
        <f t="shared" si="361"/>
        <v>00100101</v>
      </c>
      <c r="H380" s="99" t="str">
        <f t="shared" si="361"/>
        <v>00000000</v>
      </c>
      <c r="I380" s="99" t="str">
        <f t="shared" si="361"/>
        <v>00000000</v>
      </c>
      <c r="J380" s="99" t="str">
        <f t="shared" si="361"/>
        <v>00000000</v>
      </c>
      <c r="K380" s="99" t="str">
        <f t="shared" si="361"/>
        <v>00000000</v>
      </c>
      <c r="L380" s="99" t="str">
        <f t="shared" si="361"/>
        <v>00000000</v>
      </c>
      <c r="N380" s="8"/>
      <c r="P380" s="400"/>
      <c r="Q380" s="381"/>
      <c r="R380" s="381"/>
      <c r="S380" s="401"/>
      <c r="T380" s="400"/>
      <c r="U380" s="381"/>
      <c r="V380" s="381"/>
      <c r="W380" s="401"/>
      <c r="X380" s="21" t="str">
        <f>MID(J380,1,1)</f>
        <v>0</v>
      </c>
      <c r="Y380" s="26" t="str">
        <f>X380</f>
        <v>0</v>
      </c>
      <c r="Z380" s="7" t="s">
        <v>65</v>
      </c>
      <c r="AA380" s="8" t="s">
        <v>66</v>
      </c>
      <c r="AB380" s="21" t="str">
        <f>MID(K380,1,1)</f>
        <v>0</v>
      </c>
      <c r="AC380" s="26" t="str">
        <f>AB380</f>
        <v>0</v>
      </c>
      <c r="AD380" s="7" t="s">
        <v>65</v>
      </c>
      <c r="AE380" s="8" t="s">
        <v>66</v>
      </c>
      <c r="AF380" s="21" t="str">
        <f>MID(L380,1,1)</f>
        <v>0</v>
      </c>
      <c r="AG380" s="26" t="str">
        <f>AF380</f>
        <v>0</v>
      </c>
      <c r="AH380" s="7" t="s">
        <v>65</v>
      </c>
      <c r="AI380" s="8" t="s">
        <v>66</v>
      </c>
      <c r="AJ380" s="400"/>
      <c r="AK380" s="401"/>
    </row>
    <row r="381" spans="3:37" x14ac:dyDescent="0.3">
      <c r="C381" s="7" t="s">
        <v>67</v>
      </c>
      <c r="D381" s="99">
        <f>HEX2DEC(D379)</f>
        <v>7</v>
      </c>
      <c r="E381" s="99">
        <f t="shared" ref="E381:L381" si="362">HEX2DEC(E379)</f>
        <v>32</v>
      </c>
      <c r="F381" s="99">
        <f t="shared" si="362"/>
        <v>4</v>
      </c>
      <c r="G381" s="99">
        <f t="shared" si="362"/>
        <v>37</v>
      </c>
      <c r="H381" s="99">
        <f t="shared" si="362"/>
        <v>0</v>
      </c>
      <c r="I381" s="99">
        <f t="shared" si="362"/>
        <v>0</v>
      </c>
      <c r="J381" s="99">
        <f t="shared" si="362"/>
        <v>0</v>
      </c>
      <c r="K381" s="99">
        <f t="shared" si="362"/>
        <v>0</v>
      </c>
      <c r="L381" s="99">
        <f t="shared" si="362"/>
        <v>0</v>
      </c>
      <c r="M381" s="99">
        <f>SUM(D381:L381)</f>
        <v>80</v>
      </c>
      <c r="N381" s="8"/>
      <c r="P381" s="400"/>
      <c r="Q381" s="381"/>
      <c r="R381" s="381"/>
      <c r="S381" s="401"/>
      <c r="T381" s="400"/>
      <c r="U381" s="381"/>
      <c r="V381" s="381"/>
      <c r="W381" s="401"/>
      <c r="X381" s="21" t="str">
        <f>MID(J380,2,1)</f>
        <v>0</v>
      </c>
      <c r="Y381" s="26" t="str">
        <f t="shared" ref="Y381:Y387" si="363">X381</f>
        <v>0</v>
      </c>
      <c r="Z381" s="7" t="s">
        <v>68</v>
      </c>
      <c r="AA381" s="8" t="s">
        <v>66</v>
      </c>
      <c r="AB381" s="21" t="str">
        <f>MID(K380,2,1)</f>
        <v>0</v>
      </c>
      <c r="AC381" s="26" t="str">
        <f t="shared" ref="AC381:AC387" si="364">AB381</f>
        <v>0</v>
      </c>
      <c r="AD381" s="7" t="s">
        <v>68</v>
      </c>
      <c r="AE381" s="8" t="s">
        <v>66</v>
      </c>
      <c r="AF381" s="21" t="str">
        <f>MID(L380,2,1)</f>
        <v>0</v>
      </c>
      <c r="AG381" s="26" t="str">
        <f t="shared" ref="AG381:AG387" si="365">AF381</f>
        <v>0</v>
      </c>
      <c r="AH381" s="7" t="s">
        <v>68</v>
      </c>
      <c r="AI381" s="8" t="s">
        <v>66</v>
      </c>
      <c r="AJ381" s="400"/>
      <c r="AK381" s="401"/>
    </row>
    <row r="382" spans="3:37" ht="15" customHeight="1" x14ac:dyDescent="0.3">
      <c r="C382" s="7" t="s">
        <v>1678</v>
      </c>
      <c r="D382" s="333" t="str">
        <f>D379</f>
        <v>07</v>
      </c>
      <c r="E382" s="333" t="str">
        <f>E379</f>
        <v>20</v>
      </c>
      <c r="F382" s="99" t="str">
        <f>MID(INDEX($A$3:$A$70,IF(ISNA(MATCH("720G4H9*",$A$3:$A$70,0))=TRUE,MATCH("7200425*",$A$3:$A$70,0),MATCH("720G4H9*",$A$3:$A$70,0))),$AS$8,2)</f>
        <v>G4</v>
      </c>
      <c r="G382" s="99" t="str">
        <f>MID(INDEX($A$3:$A$70,IF(ISNA(MATCH("720G4H9*",$A$3:$A$70,0))=TRUE,MATCH("7200425*",$A$3:$A$70,0),MATCH("720G4H9*",$A$3:$A$70,0))),$AT$8,2)</f>
        <v>H9</v>
      </c>
      <c r="N382" s="8"/>
      <c r="P382" s="400"/>
      <c r="Q382" s="381"/>
      <c r="R382" s="381"/>
      <c r="S382" s="401"/>
      <c r="T382" s="400"/>
      <c r="U382" s="381"/>
      <c r="V382" s="381"/>
      <c r="W382" s="401"/>
      <c r="X382" s="21" t="str">
        <f>MID(J380,3,1)</f>
        <v>0</v>
      </c>
      <c r="Y382" s="26" t="str">
        <f t="shared" si="363"/>
        <v>0</v>
      </c>
      <c r="Z382" s="7" t="s">
        <v>69</v>
      </c>
      <c r="AA382" s="465" t="s">
        <v>1630</v>
      </c>
      <c r="AB382" s="21" t="str">
        <f>MID(K380,3,1)</f>
        <v>0</v>
      </c>
      <c r="AC382" s="26" t="str">
        <f t="shared" si="364"/>
        <v>0</v>
      </c>
      <c r="AD382" s="7" t="s">
        <v>69</v>
      </c>
      <c r="AE382" s="8" t="s">
        <v>66</v>
      </c>
      <c r="AF382" s="21" t="str">
        <f>MID(L380,3,1)</f>
        <v>0</v>
      </c>
      <c r="AG382" s="26" t="str">
        <f t="shared" si="365"/>
        <v>0</v>
      </c>
      <c r="AH382" s="7" t="s">
        <v>69</v>
      </c>
      <c r="AI382" s="8" t="s">
        <v>66</v>
      </c>
      <c r="AJ382" s="400"/>
      <c r="AK382" s="401"/>
    </row>
    <row r="383" spans="3:37" ht="15" thickBot="1" x14ac:dyDescent="0.35">
      <c r="C383" s="7"/>
      <c r="N383" s="8"/>
      <c r="P383" s="400"/>
      <c r="Q383" s="381"/>
      <c r="R383" s="381"/>
      <c r="S383" s="401"/>
      <c r="T383" s="400"/>
      <c r="U383" s="381"/>
      <c r="V383" s="381"/>
      <c r="W383" s="401"/>
      <c r="X383" s="21" t="str">
        <f>MID(J380,4,1)</f>
        <v>0</v>
      </c>
      <c r="Y383" s="26" t="str">
        <f t="shared" si="363"/>
        <v>0</v>
      </c>
      <c r="Z383" s="7" t="s">
        <v>70</v>
      </c>
      <c r="AA383" s="563"/>
      <c r="AB383" s="21" t="str">
        <f>MID(K380,4,1)</f>
        <v>0</v>
      </c>
      <c r="AC383" s="26" t="str">
        <f t="shared" si="364"/>
        <v>0</v>
      </c>
      <c r="AD383" s="7" t="s">
        <v>70</v>
      </c>
      <c r="AE383" s="8" t="s">
        <v>66</v>
      </c>
      <c r="AF383" s="21" t="str">
        <f>MID(L380,4,1)</f>
        <v>0</v>
      </c>
      <c r="AG383" s="26" t="str">
        <f t="shared" si="365"/>
        <v>0</v>
      </c>
      <c r="AH383" s="7" t="s">
        <v>70</v>
      </c>
      <c r="AI383" s="8" t="s">
        <v>66</v>
      </c>
      <c r="AJ383" s="400"/>
      <c r="AK383" s="401"/>
    </row>
    <row r="384" spans="3:37" ht="15" thickBot="1" x14ac:dyDescent="0.35">
      <c r="C384" s="7" t="s">
        <v>56</v>
      </c>
      <c r="D384" s="15" t="str">
        <f t="shared" ref="D384:I384" si="366">D379</f>
        <v>07</v>
      </c>
      <c r="E384" s="16" t="str">
        <f t="shared" si="366"/>
        <v>20</v>
      </c>
      <c r="F384" s="16" t="str">
        <f t="shared" si="366"/>
        <v>04</v>
      </c>
      <c r="G384" s="17" t="str">
        <f t="shared" si="366"/>
        <v>25</v>
      </c>
      <c r="H384" s="50" t="str">
        <f t="shared" si="366"/>
        <v>00</v>
      </c>
      <c r="I384" s="47" t="str">
        <f t="shared" si="366"/>
        <v>00</v>
      </c>
      <c r="J384" s="24" t="str">
        <f t="shared" ref="J384:L384" si="367">BIN2HEX(J385,2)</f>
        <v>00</v>
      </c>
      <c r="K384" s="2" t="str">
        <f t="shared" si="367"/>
        <v>00</v>
      </c>
      <c r="L384" s="18" t="str">
        <f t="shared" si="367"/>
        <v>00</v>
      </c>
      <c r="M384" s="3" t="str">
        <f>IF(LEN(M385)&gt;2,MID(M385,2,2),M385)</f>
        <v>50</v>
      </c>
      <c r="N384" s="8" t="s">
        <v>61</v>
      </c>
      <c r="P384" s="400"/>
      <c r="Q384" s="381"/>
      <c r="R384" s="381"/>
      <c r="S384" s="401"/>
      <c r="T384" s="400"/>
      <c r="U384" s="381"/>
      <c r="V384" s="381"/>
      <c r="W384" s="401"/>
      <c r="X384" s="21" t="str">
        <f>MID(J380,5,1)</f>
        <v>0</v>
      </c>
      <c r="Y384" s="26" t="str">
        <f t="shared" si="363"/>
        <v>0</v>
      </c>
      <c r="Z384" s="7" t="s">
        <v>71</v>
      </c>
      <c r="AA384" s="8" t="s">
        <v>66</v>
      </c>
      <c r="AB384" s="21" t="str">
        <f>MID(K380,5,1)</f>
        <v>0</v>
      </c>
      <c r="AC384" s="26" t="str">
        <f t="shared" si="364"/>
        <v>0</v>
      </c>
      <c r="AD384" s="7" t="s">
        <v>71</v>
      </c>
      <c r="AE384" s="8" t="s">
        <v>66</v>
      </c>
      <c r="AF384" s="21" t="str">
        <f>MID(L380,5,1)</f>
        <v>0</v>
      </c>
      <c r="AG384" s="26" t="str">
        <f t="shared" si="365"/>
        <v>0</v>
      </c>
      <c r="AH384" s="7" t="s">
        <v>71</v>
      </c>
      <c r="AI384" s="8" t="s">
        <v>66</v>
      </c>
      <c r="AJ384" s="400"/>
      <c r="AK384" s="401"/>
    </row>
    <row r="385" spans="3:37" x14ac:dyDescent="0.3">
      <c r="C385" s="7" t="s">
        <v>64</v>
      </c>
      <c r="D385" s="99" t="str">
        <f>HEX2BIN(D384,8)</f>
        <v>00000111</v>
      </c>
      <c r="E385" s="99" t="str">
        <f t="shared" ref="E385:G385" si="368">HEX2BIN(E384,8)</f>
        <v>00100000</v>
      </c>
      <c r="F385" s="99" t="str">
        <f t="shared" si="368"/>
        <v>00000100</v>
      </c>
      <c r="G385" s="99" t="str">
        <f t="shared" si="368"/>
        <v>00100101</v>
      </c>
      <c r="H385" s="29"/>
      <c r="I385" s="99"/>
      <c r="J385" s="29" t="str">
        <f>Y380&amp;Y381&amp;Y382&amp;Y383&amp;Y384&amp;Y385&amp;Y386&amp;Y387</f>
        <v>00000000</v>
      </c>
      <c r="K385" s="29" t="str">
        <f>AC380&amp;AC381&amp;AC382&amp;AC383&amp;AC384&amp;AC385&amp;AC386&amp;AC387</f>
        <v>00000000</v>
      </c>
      <c r="L385" s="99" t="str">
        <f>AG380&amp;AG381&amp;AG382&amp;AG383&amp;AG384&amp;AG385&amp;AG386&amp;AG387</f>
        <v>00000000</v>
      </c>
      <c r="M385" s="99" t="str">
        <f>DEC2HEX(M386)</f>
        <v>50</v>
      </c>
      <c r="N385" s="8"/>
      <c r="P385" s="400"/>
      <c r="Q385" s="381"/>
      <c r="R385" s="381"/>
      <c r="S385" s="401"/>
      <c r="T385" s="400"/>
      <c r="U385" s="381"/>
      <c r="V385" s="381"/>
      <c r="W385" s="401"/>
      <c r="X385" s="21" t="str">
        <f>MID(J380,6,1)</f>
        <v>0</v>
      </c>
      <c r="Y385" s="26" t="str">
        <f t="shared" si="363"/>
        <v>0</v>
      </c>
      <c r="Z385" s="7" t="s">
        <v>72</v>
      </c>
      <c r="AA385" s="8" t="s">
        <v>66</v>
      </c>
      <c r="AB385" s="21" t="str">
        <f>MID(K380,6,1)</f>
        <v>0</v>
      </c>
      <c r="AC385" s="26" t="str">
        <f t="shared" si="364"/>
        <v>0</v>
      </c>
      <c r="AD385" s="7" t="s">
        <v>72</v>
      </c>
      <c r="AE385" s="8" t="s">
        <v>66</v>
      </c>
      <c r="AF385" s="21" t="str">
        <f>MID(L380,6,1)</f>
        <v>0</v>
      </c>
      <c r="AG385" s="26" t="str">
        <f t="shared" si="365"/>
        <v>0</v>
      </c>
      <c r="AH385" s="7" t="s">
        <v>72</v>
      </c>
      <c r="AI385" s="8" t="s">
        <v>66</v>
      </c>
      <c r="AJ385" s="400"/>
      <c r="AK385" s="401"/>
    </row>
    <row r="386" spans="3:37" x14ac:dyDescent="0.3">
      <c r="C386" s="7" t="s">
        <v>67</v>
      </c>
      <c r="D386" s="99">
        <f>HEX2DEC(D384)</f>
        <v>7</v>
      </c>
      <c r="E386" s="99">
        <f t="shared" ref="E386:L386" si="369">HEX2DEC(E384)</f>
        <v>32</v>
      </c>
      <c r="F386" s="99">
        <f t="shared" si="369"/>
        <v>4</v>
      </c>
      <c r="G386" s="99">
        <f t="shared" si="369"/>
        <v>37</v>
      </c>
      <c r="H386" s="99">
        <f t="shared" si="369"/>
        <v>0</v>
      </c>
      <c r="I386" s="99">
        <f t="shared" si="369"/>
        <v>0</v>
      </c>
      <c r="J386" s="99">
        <f t="shared" si="369"/>
        <v>0</v>
      </c>
      <c r="K386" s="99">
        <f t="shared" si="369"/>
        <v>0</v>
      </c>
      <c r="L386" s="99">
        <f t="shared" si="369"/>
        <v>0</v>
      </c>
      <c r="M386" s="99">
        <f>SUM(D386:L386)</f>
        <v>80</v>
      </c>
      <c r="N386" s="8"/>
      <c r="P386" s="400"/>
      <c r="Q386" s="381"/>
      <c r="R386" s="381"/>
      <c r="S386" s="401"/>
      <c r="T386" s="400"/>
      <c r="U386" s="381"/>
      <c r="V386" s="381"/>
      <c r="W386" s="401"/>
      <c r="X386" s="21" t="str">
        <f>MID(J380,7,1)</f>
        <v>0</v>
      </c>
      <c r="Y386" s="26" t="str">
        <f t="shared" si="363"/>
        <v>0</v>
      </c>
      <c r="Z386" s="7" t="s">
        <v>73</v>
      </c>
      <c r="AA386" s="8" t="s">
        <v>66</v>
      </c>
      <c r="AB386" s="21" t="str">
        <f>MID(K380,7,1)</f>
        <v>0</v>
      </c>
      <c r="AC386" s="26" t="str">
        <f t="shared" si="364"/>
        <v>0</v>
      </c>
      <c r="AD386" s="7" t="s">
        <v>73</v>
      </c>
      <c r="AE386" s="8" t="s">
        <v>66</v>
      </c>
      <c r="AF386" s="21" t="str">
        <f>MID(L380,7,1)</f>
        <v>0</v>
      </c>
      <c r="AG386" s="26" t="str">
        <f t="shared" si="365"/>
        <v>0</v>
      </c>
      <c r="AH386" s="7" t="s">
        <v>73</v>
      </c>
      <c r="AI386" s="8" t="s">
        <v>66</v>
      </c>
      <c r="AJ386" s="400"/>
      <c r="AK386" s="401"/>
    </row>
    <row r="387" spans="3:37" ht="15" thickBot="1" x14ac:dyDescent="0.35">
      <c r="C387" s="9" t="s">
        <v>1678</v>
      </c>
      <c r="D387" s="334" t="str">
        <f>D382</f>
        <v>07</v>
      </c>
      <c r="E387" s="334" t="str">
        <f t="shared" ref="E387:G387" si="370">E382</f>
        <v>20</v>
      </c>
      <c r="F387" s="334" t="str">
        <f t="shared" si="370"/>
        <v>G4</v>
      </c>
      <c r="G387" s="334" t="str">
        <f t="shared" si="370"/>
        <v>H9</v>
      </c>
      <c r="H387" s="10"/>
      <c r="I387" s="10"/>
      <c r="J387" s="10"/>
      <c r="K387" s="10"/>
      <c r="L387" s="10"/>
      <c r="M387" s="10"/>
      <c r="N387" s="11"/>
      <c r="P387" s="402"/>
      <c r="Q387" s="403"/>
      <c r="R387" s="403"/>
      <c r="S387" s="404"/>
      <c r="T387" s="402"/>
      <c r="U387" s="403"/>
      <c r="V387" s="403"/>
      <c r="W387" s="404"/>
      <c r="X387" s="22" t="str">
        <f>MID(J380,8,1)</f>
        <v>0</v>
      </c>
      <c r="Y387" s="55" t="str">
        <f t="shared" si="363"/>
        <v>0</v>
      </c>
      <c r="Z387" s="9" t="s">
        <v>74</v>
      </c>
      <c r="AA387" s="11" t="s">
        <v>66</v>
      </c>
      <c r="AB387" s="22" t="str">
        <f>MID(K380,8,1)</f>
        <v>0</v>
      </c>
      <c r="AC387" s="55" t="str">
        <f t="shared" si="364"/>
        <v>0</v>
      </c>
      <c r="AD387" s="9" t="s">
        <v>74</v>
      </c>
      <c r="AE387" s="11" t="s">
        <v>66</v>
      </c>
      <c r="AF387" s="22" t="str">
        <f>MID(L380,8,1)</f>
        <v>0</v>
      </c>
      <c r="AG387" s="55" t="str">
        <f t="shared" si="365"/>
        <v>0</v>
      </c>
      <c r="AH387" s="9" t="s">
        <v>74</v>
      </c>
      <c r="AI387" s="11" t="s">
        <v>66</v>
      </c>
      <c r="AJ387" s="402"/>
      <c r="AK387" s="404"/>
    </row>
    <row r="388" spans="3:37" ht="15" thickBot="1" x14ac:dyDescent="0.35">
      <c r="C388" s="4"/>
      <c r="D388" s="5"/>
      <c r="E388" s="5"/>
      <c r="F388" s="5"/>
      <c r="G388" s="5"/>
      <c r="H388" s="5"/>
      <c r="I388" s="5"/>
      <c r="J388" s="5"/>
      <c r="K388" s="5"/>
      <c r="L388" s="5"/>
      <c r="M388" s="5" t="s">
        <v>41</v>
      </c>
      <c r="N388" s="6"/>
      <c r="P388" s="530" t="s">
        <v>436</v>
      </c>
      <c r="Q388" s="530"/>
      <c r="R388" s="530"/>
      <c r="S388" s="530"/>
      <c r="T388" s="530"/>
      <c r="U388" s="530"/>
      <c r="V388" s="530"/>
      <c r="W388" s="530"/>
      <c r="X388" s="530"/>
      <c r="Y388" s="530"/>
      <c r="Z388" s="530"/>
      <c r="AA388" s="530"/>
      <c r="AB388" s="530"/>
      <c r="AC388" s="530"/>
      <c r="AD388" s="530"/>
      <c r="AE388" s="530"/>
      <c r="AF388" s="530"/>
      <c r="AG388" s="530"/>
      <c r="AH388" s="530"/>
      <c r="AI388" s="530"/>
      <c r="AJ388" s="530"/>
      <c r="AK388" s="530"/>
    </row>
    <row r="389" spans="3:37" ht="15" thickBot="1" x14ac:dyDescent="0.35">
      <c r="C389" s="7"/>
      <c r="D389" s="393" t="s">
        <v>1522</v>
      </c>
      <c r="E389" s="393"/>
      <c r="F389" s="393"/>
      <c r="G389" s="393"/>
      <c r="H389" s="99" t="s">
        <v>44</v>
      </c>
      <c r="I389" s="99" t="s">
        <v>45</v>
      </c>
      <c r="J389" s="99" t="s">
        <v>46</v>
      </c>
      <c r="K389" s="99" t="s">
        <v>47</v>
      </c>
      <c r="L389" s="99" t="s">
        <v>48</v>
      </c>
      <c r="M389" s="99" t="s">
        <v>49</v>
      </c>
      <c r="N389" s="8"/>
      <c r="P389" s="394" t="s">
        <v>50</v>
      </c>
      <c r="Q389" s="395"/>
      <c r="R389" s="395"/>
      <c r="S389" s="396"/>
      <c r="T389" s="394" t="s">
        <v>51</v>
      </c>
      <c r="U389" s="395"/>
      <c r="V389" s="395"/>
      <c r="W389" s="396"/>
      <c r="X389" s="394" t="s">
        <v>52</v>
      </c>
      <c r="Y389" s="395"/>
      <c r="Z389" s="395"/>
      <c r="AA389" s="396"/>
      <c r="AB389" s="448" t="s">
        <v>239</v>
      </c>
      <c r="AC389" s="407"/>
      <c r="AD389" s="407"/>
      <c r="AE389" s="408"/>
      <c r="AF389" s="448" t="s">
        <v>277</v>
      </c>
      <c r="AG389" s="407"/>
      <c r="AH389" s="407"/>
      <c r="AI389" s="408"/>
      <c r="AJ389" s="448" t="s">
        <v>55</v>
      </c>
      <c r="AK389" s="408"/>
    </row>
    <row r="390" spans="3:37" ht="15" thickBot="1" x14ac:dyDescent="0.35">
      <c r="C390" s="7" t="s">
        <v>56</v>
      </c>
      <c r="D390" s="12" t="s">
        <v>57</v>
      </c>
      <c r="E390" s="13" t="s">
        <v>130</v>
      </c>
      <c r="F390" s="13" t="s">
        <v>111</v>
      </c>
      <c r="G390" s="14" t="s">
        <v>100</v>
      </c>
      <c r="H390" s="24" t="str" cm="1">
        <f t="array" ref="H390">MID(INDEX($A$3:$A$70,IF(ISNA(MATCH("720G4HA*",$A$3:$A$70,0))=TRUE,MATCH("7200426*",$A$3:$A$70,0),MATCH("720G4HA*",$A$3:$A$70,0))),$AU$8,2)</f>
        <v>00</v>
      </c>
      <c r="I390" s="42" t="str" cm="1">
        <f t="array" ref="I390">MID(INDEX($A$3:$A$70,IF(ISNA(MATCH("720G4HA*",$A$3:$A$70,0))=TRUE,MATCH("7200426*",$A$3:$A$70,0),MATCH("720G4HA*",$A$3:$A$70,0))),$AV$8,2)</f>
        <v>00</v>
      </c>
      <c r="J390" s="42" t="str" cm="1">
        <f t="array" ref="J390">MID(INDEX($A$3:$A$70,IF(ISNA(MATCH("720G4HA*",$A$3:$A$70,0))=TRUE,MATCH("7200426*",$A$3:$A$70,0),MATCH("720G4HA*",$A$3:$A$70,0))),$AW$8,2)</f>
        <v>00</v>
      </c>
      <c r="K390" s="43" t="str" cm="1">
        <f t="array" ref="K390">MID(INDEX($A$3:$A$70,IF(ISNA(MATCH("720G4HA*",$A$3:$A$70,0))=TRUE,MATCH("7200426*",$A$3:$A$70,0),MATCH("720G4HA*",$A$3:$A$70,0))),$AX$8,2)</f>
        <v>00</v>
      </c>
      <c r="L390" s="43" t="str" cm="1">
        <f t="array" ref="L390">MID(INDEX($A$3:$A$70,IF(ISNA(MATCH("720G4HA*",$A$3:$A$70,0))=TRUE,MATCH("7200426*",$A$3:$A$70,0),MATCH("720G4HA*",$A$3:$A$70,0))),$AY$8,2)</f>
        <v>00</v>
      </c>
      <c r="M390" s="44" t="str" cm="1">
        <f t="array" ref="M390">MID(INDEX($A$3:$A$70,IF(ISNA(MATCH("720G4HA*",$A$3:$A$70,0))=TRUE,MATCH("7200426*",$A$3:$A$70,0),MATCH("720G4HA*",$A$3:$A$70,0))),$AZ$8,2)</f>
        <v>51</v>
      </c>
      <c r="N390" s="8" t="s">
        <v>60</v>
      </c>
      <c r="P390" s="19" t="s">
        <v>60</v>
      </c>
      <c r="Q390" s="20" t="s">
        <v>61</v>
      </c>
      <c r="R390" t="s">
        <v>62</v>
      </c>
      <c r="S390" s="8"/>
      <c r="T390" s="19" t="s">
        <v>60</v>
      </c>
      <c r="U390" s="20" t="s">
        <v>61</v>
      </c>
      <c r="V390" t="s">
        <v>62</v>
      </c>
      <c r="W390" s="8"/>
      <c r="X390" s="19" t="s">
        <v>60</v>
      </c>
      <c r="Y390" s="20" t="s">
        <v>61</v>
      </c>
      <c r="Z390" t="s">
        <v>62</v>
      </c>
      <c r="AA390" s="8"/>
      <c r="AB390" s="394"/>
      <c r="AC390" s="395"/>
      <c r="AD390" s="395"/>
      <c r="AE390" s="396"/>
      <c r="AF390" s="394"/>
      <c r="AG390" s="395"/>
      <c r="AH390" s="395"/>
      <c r="AI390" s="396"/>
      <c r="AJ390" s="394" t="s">
        <v>63</v>
      </c>
      <c r="AK390" s="396"/>
    </row>
    <row r="391" spans="3:37" x14ac:dyDescent="0.3">
      <c r="C391" s="7" t="s">
        <v>64</v>
      </c>
      <c r="D391" s="99" t="str">
        <f>HEX2BIN(D390,8)</f>
        <v>00000111</v>
      </c>
      <c r="E391" s="99" t="str">
        <f t="shared" ref="E391:L391" si="371">HEX2BIN(E390,8)</f>
        <v>00100000</v>
      </c>
      <c r="F391" s="99" t="str">
        <f t="shared" si="371"/>
        <v>00000100</v>
      </c>
      <c r="G391" s="99" t="str">
        <f t="shared" si="371"/>
        <v>00100110</v>
      </c>
      <c r="H391" s="99" t="str">
        <f t="shared" si="371"/>
        <v>00000000</v>
      </c>
      <c r="I391" s="99" t="str">
        <f t="shared" si="371"/>
        <v>00000000</v>
      </c>
      <c r="J391" s="99" t="str">
        <f t="shared" si="371"/>
        <v>00000000</v>
      </c>
      <c r="K391" s="99" t="str">
        <f t="shared" si="371"/>
        <v>00000000</v>
      </c>
      <c r="L391" s="99" t="str">
        <f t="shared" si="371"/>
        <v>00000000</v>
      </c>
      <c r="N391" s="8"/>
      <c r="P391" s="21" t="str">
        <f>MID(H391,1,1)</f>
        <v>0</v>
      </c>
      <c r="Q391" s="26" t="str">
        <f>P391</f>
        <v>0</v>
      </c>
      <c r="R391" s="7" t="s">
        <v>65</v>
      </c>
      <c r="S391" s="8" t="s">
        <v>66</v>
      </c>
      <c r="T391" s="21" t="str">
        <f>MID(I391,1,1)</f>
        <v>0</v>
      </c>
      <c r="U391" s="26" t="str">
        <f>T391</f>
        <v>0</v>
      </c>
      <c r="V391" s="7" t="s">
        <v>65</v>
      </c>
      <c r="W391" s="8" t="s">
        <v>66</v>
      </c>
      <c r="X391" s="21" t="str">
        <f>MID(J391,1,1)</f>
        <v>0</v>
      </c>
      <c r="Y391" s="26" t="str">
        <f>X391</f>
        <v>0</v>
      </c>
      <c r="Z391" s="7" t="s">
        <v>65</v>
      </c>
      <c r="AA391" s="8" t="s">
        <v>66</v>
      </c>
      <c r="AB391" s="400"/>
      <c r="AC391" s="381"/>
      <c r="AD391" s="381"/>
      <c r="AE391" s="401"/>
      <c r="AF391" s="400"/>
      <c r="AG391" s="381"/>
      <c r="AH391" s="381"/>
      <c r="AI391" s="401"/>
      <c r="AJ391" s="400"/>
      <c r="AK391" s="401"/>
    </row>
    <row r="392" spans="3:37" x14ac:dyDescent="0.3">
      <c r="C392" s="7" t="s">
        <v>67</v>
      </c>
      <c r="D392" s="99">
        <f>HEX2DEC(D390)</f>
        <v>7</v>
      </c>
      <c r="E392" s="99">
        <f t="shared" ref="E392:L392" si="372">HEX2DEC(E390)</f>
        <v>32</v>
      </c>
      <c r="F392" s="99">
        <f t="shared" si="372"/>
        <v>4</v>
      </c>
      <c r="G392" s="99">
        <f t="shared" si="372"/>
        <v>38</v>
      </c>
      <c r="H392" s="99">
        <f t="shared" si="372"/>
        <v>0</v>
      </c>
      <c r="I392" s="99">
        <f t="shared" si="372"/>
        <v>0</v>
      </c>
      <c r="J392" s="99">
        <f t="shared" si="372"/>
        <v>0</v>
      </c>
      <c r="K392" s="99">
        <f t="shared" si="372"/>
        <v>0</v>
      </c>
      <c r="L392" s="99">
        <f t="shared" si="372"/>
        <v>0</v>
      </c>
      <c r="M392" s="99">
        <f>SUM(D392:L392)</f>
        <v>81</v>
      </c>
      <c r="N392" s="8"/>
      <c r="P392" s="21" t="str">
        <f>MID(H391,2,1)</f>
        <v>0</v>
      </c>
      <c r="Q392" s="26" t="str">
        <f t="shared" ref="Q392:Q398" si="373">P392</f>
        <v>0</v>
      </c>
      <c r="R392" s="7" t="s">
        <v>68</v>
      </c>
      <c r="S392" s="8" t="s">
        <v>66</v>
      </c>
      <c r="T392" s="21" t="str">
        <f>MID(I391,2,1)</f>
        <v>0</v>
      </c>
      <c r="U392" s="26" t="str">
        <f t="shared" ref="U392:U398" si="374">T392</f>
        <v>0</v>
      </c>
      <c r="V392" s="7" t="s">
        <v>68</v>
      </c>
      <c r="W392" s="8" t="s">
        <v>66</v>
      </c>
      <c r="X392" s="21" t="str">
        <f>MID(J391,2,1)</f>
        <v>0</v>
      </c>
      <c r="Y392" s="26" t="str">
        <f t="shared" ref="Y392:Y398" si="375">X392</f>
        <v>0</v>
      </c>
      <c r="Z392" s="7" t="s">
        <v>68</v>
      </c>
      <c r="AA392" s="8" t="s">
        <v>66</v>
      </c>
      <c r="AB392" s="400"/>
      <c r="AC392" s="381"/>
      <c r="AD392" s="381"/>
      <c r="AE392" s="401"/>
      <c r="AF392" s="400"/>
      <c r="AG392" s="381"/>
      <c r="AH392" s="381"/>
      <c r="AI392" s="401"/>
      <c r="AJ392" s="400"/>
      <c r="AK392" s="401"/>
    </row>
    <row r="393" spans="3:37" x14ac:dyDescent="0.3">
      <c r="C393" s="7" t="s">
        <v>1678</v>
      </c>
      <c r="D393" s="333" t="str">
        <f>D390</f>
        <v>07</v>
      </c>
      <c r="E393" s="333" t="str">
        <f>E390</f>
        <v>20</v>
      </c>
      <c r="F393" s="99" t="str">
        <f>MID(INDEX($A$3:$A$70,IF(ISNA(MATCH("720G4HA*",$A$3:$A$70,0))=TRUE,MATCH("7200426*",$A$3:$A$70,0),MATCH("720G4HA*",$A$3:$A$70,0))),$AS$8,2)</f>
        <v>G4</v>
      </c>
      <c r="G393" s="99" t="str">
        <f>MID(INDEX($A$3:$A$70,IF(ISNA(MATCH("720G4HA*",$A$3:$A$70,0))=TRUE,MATCH("7200426*",$A$3:$A$70,0),MATCH("720G4HA*",$A$3:$A$70,0))),$AT$8,2)</f>
        <v>HA</v>
      </c>
      <c r="N393" s="8"/>
      <c r="P393" s="21" t="str">
        <f>MID(H391,3,1)</f>
        <v>0</v>
      </c>
      <c r="Q393" s="26" t="str">
        <f t="shared" si="373"/>
        <v>0</v>
      </c>
      <c r="R393" s="7" t="s">
        <v>69</v>
      </c>
      <c r="S393" s="577" t="s">
        <v>1800</v>
      </c>
      <c r="T393" s="21" t="str">
        <f>MID(I391,3,1)</f>
        <v>0</v>
      </c>
      <c r="U393" s="26" t="str">
        <f t="shared" si="374"/>
        <v>0</v>
      </c>
      <c r="V393" s="7" t="s">
        <v>69</v>
      </c>
      <c r="W393" s="8" t="s">
        <v>66</v>
      </c>
      <c r="X393" s="21" t="str">
        <f>MID(J391,3,1)</f>
        <v>0</v>
      </c>
      <c r="Y393" s="26" t="str">
        <f t="shared" si="375"/>
        <v>0</v>
      </c>
      <c r="Z393" s="7" t="s">
        <v>69</v>
      </c>
      <c r="AA393" s="8" t="s">
        <v>66</v>
      </c>
      <c r="AB393" s="400"/>
      <c r="AC393" s="381"/>
      <c r="AD393" s="381"/>
      <c r="AE393" s="401"/>
      <c r="AF393" s="400"/>
      <c r="AG393" s="381"/>
      <c r="AH393" s="381"/>
      <c r="AI393" s="401"/>
      <c r="AJ393" s="400"/>
      <c r="AK393" s="401"/>
    </row>
    <row r="394" spans="3:37" ht="15" thickBot="1" x14ac:dyDescent="0.35">
      <c r="C394" s="7"/>
      <c r="N394" s="8"/>
      <c r="P394" s="21" t="str">
        <f>MID(H391,4,1)</f>
        <v>0</v>
      </c>
      <c r="Q394" s="26" t="str">
        <f t="shared" si="373"/>
        <v>0</v>
      </c>
      <c r="R394" s="7" t="s">
        <v>70</v>
      </c>
      <c r="S394" s="578"/>
      <c r="T394" s="21" t="str">
        <f>MID(I391,4,1)</f>
        <v>0</v>
      </c>
      <c r="U394" s="26" t="str">
        <f t="shared" si="374"/>
        <v>0</v>
      </c>
      <c r="V394" s="7" t="s">
        <v>70</v>
      </c>
      <c r="W394" s="8" t="s">
        <v>66</v>
      </c>
      <c r="X394" s="21" t="str">
        <f>MID(J391,4,1)</f>
        <v>0</v>
      </c>
      <c r="Y394" s="26" t="str">
        <f t="shared" si="375"/>
        <v>0</v>
      </c>
      <c r="Z394" s="7" t="s">
        <v>70</v>
      </c>
      <c r="AA394" s="8" t="s">
        <v>66</v>
      </c>
      <c r="AB394" s="400"/>
      <c r="AC394" s="381"/>
      <c r="AD394" s="381"/>
      <c r="AE394" s="401"/>
      <c r="AF394" s="400"/>
      <c r="AG394" s="381"/>
      <c r="AH394" s="381"/>
      <c r="AI394" s="401"/>
      <c r="AJ394" s="400"/>
      <c r="AK394" s="401"/>
    </row>
    <row r="395" spans="3:37" ht="15" thickBot="1" x14ac:dyDescent="0.35">
      <c r="C395" s="7" t="s">
        <v>56</v>
      </c>
      <c r="D395" s="15" t="str">
        <f t="shared" ref="D395:G395" si="376">D390</f>
        <v>07</v>
      </c>
      <c r="E395" s="16" t="str">
        <f t="shared" si="376"/>
        <v>20</v>
      </c>
      <c r="F395" s="16" t="str">
        <f t="shared" si="376"/>
        <v>04</v>
      </c>
      <c r="G395" s="17" t="str">
        <f t="shared" si="376"/>
        <v>26</v>
      </c>
      <c r="H395" s="23" t="str">
        <f>BIN2HEX(H396,2)</f>
        <v>00</v>
      </c>
      <c r="I395" s="25" t="str">
        <f t="shared" ref="I395:J395" si="377">BIN2HEX(I396,2)</f>
        <v>00</v>
      </c>
      <c r="J395" s="24" t="str">
        <f t="shared" si="377"/>
        <v>00</v>
      </c>
      <c r="K395" s="47" t="str">
        <f>K390</f>
        <v>00</v>
      </c>
      <c r="L395" s="49" t="str">
        <f>L390</f>
        <v>00</v>
      </c>
      <c r="M395" s="3" t="str">
        <f>IF(LEN(M396)&gt;2,MID(M396,2,2),M396)</f>
        <v>51</v>
      </c>
      <c r="N395" s="8" t="s">
        <v>61</v>
      </c>
      <c r="P395" s="21" t="str">
        <f>MID(H391,5,1)</f>
        <v>0</v>
      </c>
      <c r="Q395" s="26" t="str">
        <f t="shared" si="373"/>
        <v>0</v>
      </c>
      <c r="R395" s="7" t="s">
        <v>71</v>
      </c>
      <c r="S395" s="8" t="s">
        <v>66</v>
      </c>
      <c r="T395" s="21" t="str">
        <f>MID(I391,5,1)</f>
        <v>0</v>
      </c>
      <c r="U395" s="26" t="str">
        <f t="shared" si="374"/>
        <v>0</v>
      </c>
      <c r="V395" s="7" t="s">
        <v>71</v>
      </c>
      <c r="W395" s="8" t="s">
        <v>66</v>
      </c>
      <c r="X395" s="21" t="str">
        <f>MID(J391,5,1)</f>
        <v>0</v>
      </c>
      <c r="Y395" s="26" t="str">
        <f t="shared" si="375"/>
        <v>0</v>
      </c>
      <c r="Z395" s="7" t="s">
        <v>71</v>
      </c>
      <c r="AA395" s="8" t="s">
        <v>66</v>
      </c>
      <c r="AB395" s="400"/>
      <c r="AC395" s="381"/>
      <c r="AD395" s="381"/>
      <c r="AE395" s="401"/>
      <c r="AF395" s="400"/>
      <c r="AG395" s="381"/>
      <c r="AH395" s="381"/>
      <c r="AI395" s="401"/>
      <c r="AJ395" s="400"/>
      <c r="AK395" s="401"/>
    </row>
    <row r="396" spans="3:37" x14ac:dyDescent="0.3">
      <c r="C396" s="7" t="s">
        <v>64</v>
      </c>
      <c r="D396" s="99" t="str">
        <f>HEX2BIN(D395,8)</f>
        <v>00000111</v>
      </c>
      <c r="E396" s="99" t="str">
        <f t="shared" ref="E396:G396" si="378">HEX2BIN(E395,8)</f>
        <v>00100000</v>
      </c>
      <c r="F396" s="99" t="str">
        <f t="shared" si="378"/>
        <v>00000100</v>
      </c>
      <c r="G396" s="99" t="str">
        <f t="shared" si="378"/>
        <v>00100110</v>
      </c>
      <c r="H396" s="29" t="str">
        <f>Q391&amp;Q392&amp;Q393&amp;Q394&amp;Q395&amp;Q396&amp;Q397&amp;Q398</f>
        <v>00000000</v>
      </c>
      <c r="I396" s="99" t="str">
        <f>U391&amp;U392&amp;U393&amp;U394&amp;U395&amp;U396&amp;U397&amp;U398</f>
        <v>00000000</v>
      </c>
      <c r="J396" s="29" t="str">
        <f>Y391&amp;Y392&amp;Y393&amp;Y394&amp;Y395&amp;Y396&amp;Y397&amp;Y398</f>
        <v>00000000</v>
      </c>
      <c r="K396" s="29"/>
      <c r="L396" s="99"/>
      <c r="M396" s="99" t="str">
        <f>DEC2HEX(M397)</f>
        <v>51</v>
      </c>
      <c r="N396" s="8"/>
      <c r="P396" s="21" t="str">
        <f>MID(H391,6,1)</f>
        <v>0</v>
      </c>
      <c r="Q396" s="26" t="str">
        <f t="shared" si="373"/>
        <v>0</v>
      </c>
      <c r="R396" s="7" t="s">
        <v>72</v>
      </c>
      <c r="S396" s="8" t="s">
        <v>66</v>
      </c>
      <c r="T396" s="21" t="str">
        <f>MID(I391,6,1)</f>
        <v>0</v>
      </c>
      <c r="U396" s="26" t="str">
        <f t="shared" si="374"/>
        <v>0</v>
      </c>
      <c r="V396" s="7" t="s">
        <v>72</v>
      </c>
      <c r="W396" s="8" t="s">
        <v>66</v>
      </c>
      <c r="X396" s="21" t="str">
        <f>MID(J391,6,1)</f>
        <v>0</v>
      </c>
      <c r="Y396" s="26" t="str">
        <f t="shared" si="375"/>
        <v>0</v>
      </c>
      <c r="Z396" s="7" t="s">
        <v>72</v>
      </c>
      <c r="AA396" s="8" t="s">
        <v>66</v>
      </c>
      <c r="AB396" s="400"/>
      <c r="AC396" s="381"/>
      <c r="AD396" s="381"/>
      <c r="AE396" s="401"/>
      <c r="AF396" s="400"/>
      <c r="AG396" s="381"/>
      <c r="AH396" s="381"/>
      <c r="AI396" s="401"/>
      <c r="AJ396" s="400"/>
      <c r="AK396" s="401"/>
    </row>
    <row r="397" spans="3:37" x14ac:dyDescent="0.3">
      <c r="C397" s="7" t="s">
        <v>67</v>
      </c>
      <c r="D397" s="99">
        <f>HEX2DEC(D395)</f>
        <v>7</v>
      </c>
      <c r="E397" s="99">
        <f t="shared" ref="E397:L397" si="379">HEX2DEC(E395)</f>
        <v>32</v>
      </c>
      <c r="F397" s="99">
        <f t="shared" si="379"/>
        <v>4</v>
      </c>
      <c r="G397" s="99">
        <f t="shared" si="379"/>
        <v>38</v>
      </c>
      <c r="H397" s="99">
        <f t="shared" si="379"/>
        <v>0</v>
      </c>
      <c r="I397" s="99">
        <f t="shared" si="379"/>
        <v>0</v>
      </c>
      <c r="J397" s="99">
        <f t="shared" si="379"/>
        <v>0</v>
      </c>
      <c r="K397" s="99">
        <f t="shared" si="379"/>
        <v>0</v>
      </c>
      <c r="L397" s="99">
        <f t="shared" si="379"/>
        <v>0</v>
      </c>
      <c r="M397" s="99">
        <f>SUM(D397:L397)</f>
        <v>81</v>
      </c>
      <c r="N397" s="8"/>
      <c r="P397" s="21" t="str">
        <f>MID(H391,7,1)</f>
        <v>0</v>
      </c>
      <c r="Q397" s="26" t="str">
        <f t="shared" si="373"/>
        <v>0</v>
      </c>
      <c r="R397" s="7" t="s">
        <v>73</v>
      </c>
      <c r="S397" s="8" t="s">
        <v>66</v>
      </c>
      <c r="T397" s="21" t="str">
        <f>MID(I391,7,1)</f>
        <v>0</v>
      </c>
      <c r="U397" s="26" t="str">
        <f t="shared" si="374"/>
        <v>0</v>
      </c>
      <c r="V397" s="7" t="s">
        <v>73</v>
      </c>
      <c r="W397" s="8" t="s">
        <v>66</v>
      </c>
      <c r="X397" s="21" t="str">
        <f>MID(J391,7,1)</f>
        <v>0</v>
      </c>
      <c r="Y397" s="26" t="str">
        <f t="shared" si="375"/>
        <v>0</v>
      </c>
      <c r="Z397" s="7" t="s">
        <v>73</v>
      </c>
      <c r="AA397" s="554" t="s">
        <v>1801</v>
      </c>
      <c r="AB397" s="400"/>
      <c r="AC397" s="381"/>
      <c r="AD397" s="381"/>
      <c r="AE397" s="401"/>
      <c r="AF397" s="400"/>
      <c r="AG397" s="381"/>
      <c r="AH397" s="381"/>
      <c r="AI397" s="401"/>
      <c r="AJ397" s="400"/>
      <c r="AK397" s="401"/>
    </row>
    <row r="398" spans="3:37" ht="15" thickBot="1" x14ac:dyDescent="0.35">
      <c r="C398" s="9" t="s">
        <v>1678</v>
      </c>
      <c r="D398" s="334" t="str">
        <f>D393</f>
        <v>07</v>
      </c>
      <c r="E398" s="334" t="str">
        <f t="shared" ref="E398:G398" si="380">E393</f>
        <v>20</v>
      </c>
      <c r="F398" s="334" t="str">
        <f t="shared" si="380"/>
        <v>G4</v>
      </c>
      <c r="G398" s="334" t="str">
        <f t="shared" si="380"/>
        <v>HA</v>
      </c>
      <c r="H398" s="10"/>
      <c r="I398" s="10"/>
      <c r="J398" s="10"/>
      <c r="K398" s="10"/>
      <c r="L398" s="10"/>
      <c r="M398" s="10"/>
      <c r="N398" s="11"/>
      <c r="P398" s="22" t="str">
        <f>MID(H391,8,1)</f>
        <v>0</v>
      </c>
      <c r="Q398" s="55" t="str">
        <f t="shared" si="373"/>
        <v>0</v>
      </c>
      <c r="R398" s="9" t="s">
        <v>74</v>
      </c>
      <c r="S398" s="11" t="s">
        <v>66</v>
      </c>
      <c r="T398" s="22" t="str">
        <f>MID(I391,8,1)</f>
        <v>0</v>
      </c>
      <c r="U398" s="55" t="str">
        <f t="shared" si="374"/>
        <v>0</v>
      </c>
      <c r="V398" s="9" t="s">
        <v>74</v>
      </c>
      <c r="W398" s="11" t="s">
        <v>66</v>
      </c>
      <c r="X398" s="22" t="str">
        <f>MID(J391,8,1)</f>
        <v>0</v>
      </c>
      <c r="Y398" s="55" t="str">
        <f t="shared" si="375"/>
        <v>0</v>
      </c>
      <c r="Z398" s="9" t="s">
        <v>74</v>
      </c>
      <c r="AA398" s="466"/>
      <c r="AB398" s="402"/>
      <c r="AC398" s="403"/>
      <c r="AD398" s="403"/>
      <c r="AE398" s="404"/>
      <c r="AF398" s="402"/>
      <c r="AG398" s="403"/>
      <c r="AH398" s="403"/>
      <c r="AI398" s="404"/>
      <c r="AJ398" s="402"/>
      <c r="AK398" s="404"/>
    </row>
    <row r="399" spans="3:37" ht="15" thickBot="1" x14ac:dyDescent="0.35">
      <c r="C399" s="4"/>
      <c r="D399" s="5"/>
      <c r="E399" s="5"/>
      <c r="F399" s="5"/>
      <c r="G399" s="5"/>
      <c r="H399" s="5"/>
      <c r="I399" s="5"/>
      <c r="J399" s="5"/>
      <c r="K399" s="5"/>
      <c r="L399" s="5"/>
      <c r="M399" s="5" t="s">
        <v>41</v>
      </c>
      <c r="N399" s="6"/>
      <c r="P399" s="530" t="s">
        <v>437</v>
      </c>
      <c r="Q399" s="530"/>
      <c r="R399" s="530"/>
      <c r="S399" s="530"/>
      <c r="T399" s="530"/>
      <c r="U399" s="530"/>
      <c r="V399" s="530"/>
      <c r="W399" s="530"/>
      <c r="X399" s="530"/>
      <c r="Y399" s="530"/>
      <c r="Z399" s="530"/>
      <c r="AA399" s="530"/>
      <c r="AB399" s="530"/>
      <c r="AC399" s="530"/>
      <c r="AD399" s="530"/>
      <c r="AE399" s="530"/>
      <c r="AF399" s="530"/>
      <c r="AG399" s="530"/>
      <c r="AH399" s="530"/>
      <c r="AI399" s="530"/>
      <c r="AJ399" s="530"/>
      <c r="AK399" s="530"/>
    </row>
    <row r="400" spans="3:37" ht="15" thickBot="1" x14ac:dyDescent="0.35">
      <c r="C400" s="7"/>
      <c r="D400" s="393" t="s">
        <v>1556</v>
      </c>
      <c r="E400" s="393"/>
      <c r="F400" s="393"/>
      <c r="G400" s="393"/>
      <c r="H400" s="99" t="s">
        <v>44</v>
      </c>
      <c r="I400" s="99" t="s">
        <v>45</v>
      </c>
      <c r="J400" s="99" t="s">
        <v>46</v>
      </c>
      <c r="K400" s="99" t="s">
        <v>47</v>
      </c>
      <c r="L400" s="99" t="s">
        <v>48</v>
      </c>
      <c r="M400" s="99" t="s">
        <v>49</v>
      </c>
      <c r="N400" s="8"/>
      <c r="P400" s="394" t="s">
        <v>50</v>
      </c>
      <c r="Q400" s="395"/>
      <c r="R400" s="395"/>
      <c r="S400" s="396"/>
      <c r="T400" s="394" t="s">
        <v>51</v>
      </c>
      <c r="U400" s="395"/>
      <c r="V400" s="395"/>
      <c r="W400" s="396"/>
      <c r="X400" s="394" t="s">
        <v>52</v>
      </c>
      <c r="Y400" s="395"/>
      <c r="Z400" s="395"/>
      <c r="AA400" s="396"/>
      <c r="AB400" s="394" t="s">
        <v>53</v>
      </c>
      <c r="AC400" s="395"/>
      <c r="AD400" s="395"/>
      <c r="AE400" s="396"/>
      <c r="AF400" s="394" t="s">
        <v>97</v>
      </c>
      <c r="AG400" s="395"/>
      <c r="AH400" s="395"/>
      <c r="AI400" s="396"/>
      <c r="AJ400" s="448" t="s">
        <v>55</v>
      </c>
      <c r="AK400" s="408"/>
    </row>
    <row r="401" spans="3:37" ht="15" thickBot="1" x14ac:dyDescent="0.35">
      <c r="C401" s="7" t="s">
        <v>56</v>
      </c>
      <c r="D401" s="12" t="s">
        <v>57</v>
      </c>
      <c r="E401" s="13" t="s">
        <v>130</v>
      </c>
      <c r="F401" s="13" t="s">
        <v>111</v>
      </c>
      <c r="G401" s="14" t="s">
        <v>278</v>
      </c>
      <c r="H401" s="41" t="str" cm="1">
        <f t="array" ref="H401">MID(INDEX($A$3:$A$70,IF(ISNA(MATCH("720G4HB*",$A$3:$A$70,0))=TRUE,MATCH("7200427*",$A$3:$A$70,0),MATCH("720G4HB*",$A$3:$A$70,0))),$AU$8,2)</f>
        <v>00</v>
      </c>
      <c r="I401" s="42" t="str" cm="1">
        <f t="array" ref="I401">MID(INDEX($A$3:$A$70,IF(ISNA(MATCH("720G4HB*",$A$3:$A$70,0))=TRUE,MATCH("7200427*",$A$3:$A$70,0),MATCH("720G4HB*",$A$3:$A$70,0))),$AV$8,2)</f>
        <v>00</v>
      </c>
      <c r="J401" s="24" t="str" cm="1">
        <f t="array" ref="J401">MID(INDEX($A$3:$A$70,IF(ISNA(MATCH("720G4HB*",$A$3:$A$70,0))=TRUE,MATCH("7200427*",$A$3:$A$70,0),MATCH("720G4HB*",$A$3:$A$70,0))),$AW$8,2)</f>
        <v>00</v>
      </c>
      <c r="K401" s="42" t="str" cm="1">
        <f t="array" ref="K401">MID(INDEX($A$3:$A$70,IF(ISNA(MATCH("720G4HB*",$A$3:$A$70,0))=TRUE,MATCH("7200427*",$A$3:$A$70,0),MATCH("720G4HB*",$A$3:$A$70,0))),$AX$8,2)</f>
        <v>00</v>
      </c>
      <c r="L401" s="43" t="str" cm="1">
        <f t="array" ref="L401">MID(INDEX($A$3:$A$70,IF(ISNA(MATCH("720G4HB*",$A$3:$A$70,0))=TRUE,MATCH("7200427*",$A$3:$A$70,0),MATCH("720G4HB*",$A$3:$A$70,0))),$AY$8,2)</f>
        <v>00</v>
      </c>
      <c r="M401" s="44" t="str" cm="1">
        <f t="array" ref="M401">MID(INDEX($A$3:$A$70,IF(ISNA(MATCH("720G4HB*",$A$3:$A$70,0))=TRUE,MATCH("7200427*",$A$3:$A$70,0),MATCH("720G4HB*",$A$3:$A$70,0))),$AZ$8,2)</f>
        <v>52</v>
      </c>
      <c r="N401" s="8" t="s">
        <v>60</v>
      </c>
      <c r="P401" s="19" t="s">
        <v>60</v>
      </c>
      <c r="Q401" s="20" t="s">
        <v>61</v>
      </c>
      <c r="R401" t="s">
        <v>62</v>
      </c>
      <c r="S401" s="8"/>
      <c r="T401" s="19" t="s">
        <v>60</v>
      </c>
      <c r="U401" s="20" t="s">
        <v>61</v>
      </c>
      <c r="V401" t="s">
        <v>62</v>
      </c>
      <c r="W401" s="8"/>
      <c r="X401" s="19" t="s">
        <v>60</v>
      </c>
      <c r="Y401" s="20" t="s">
        <v>61</v>
      </c>
      <c r="Z401" t="s">
        <v>62</v>
      </c>
      <c r="AA401" s="8"/>
      <c r="AB401" s="19" t="s">
        <v>60</v>
      </c>
      <c r="AC401" s="20" t="s">
        <v>61</v>
      </c>
      <c r="AD401" t="s">
        <v>62</v>
      </c>
      <c r="AE401" s="8"/>
      <c r="AF401" s="19" t="s">
        <v>60</v>
      </c>
      <c r="AG401" s="20" t="s">
        <v>61</v>
      </c>
      <c r="AH401" t="s">
        <v>62</v>
      </c>
      <c r="AJ401" s="394" t="s">
        <v>63</v>
      </c>
      <c r="AK401" s="396"/>
    </row>
    <row r="402" spans="3:37" x14ac:dyDescent="0.3">
      <c r="C402" s="7" t="s">
        <v>64</v>
      </c>
      <c r="D402" s="99" t="str">
        <f>HEX2BIN(D401,8)</f>
        <v>00000111</v>
      </c>
      <c r="E402" s="99" t="str">
        <f t="shared" ref="E402:L402" si="381">HEX2BIN(E401,8)</f>
        <v>00100000</v>
      </c>
      <c r="F402" s="99" t="str">
        <f t="shared" si="381"/>
        <v>00000100</v>
      </c>
      <c r="G402" s="99" t="str">
        <f t="shared" si="381"/>
        <v>00100111</v>
      </c>
      <c r="H402" s="99" t="str">
        <f t="shared" si="381"/>
        <v>00000000</v>
      </c>
      <c r="I402" s="99" t="str">
        <f t="shared" si="381"/>
        <v>00000000</v>
      </c>
      <c r="J402" s="99" t="str">
        <f t="shared" si="381"/>
        <v>00000000</v>
      </c>
      <c r="K402" s="99" t="str">
        <f t="shared" si="381"/>
        <v>00000000</v>
      </c>
      <c r="L402" s="99" t="str">
        <f t="shared" si="381"/>
        <v>00000000</v>
      </c>
      <c r="N402" s="8"/>
      <c r="P402" s="21" t="str">
        <f>MID(H402,1,1)</f>
        <v>0</v>
      </c>
      <c r="Q402" s="26" t="str">
        <f>P402</f>
        <v>0</v>
      </c>
      <c r="R402" s="7" t="s">
        <v>65</v>
      </c>
      <c r="S402" s="8" t="s">
        <v>66</v>
      </c>
      <c r="T402" s="21" t="str">
        <f>MID(I402,1,1)</f>
        <v>0</v>
      </c>
      <c r="U402" s="26" t="str">
        <f>T402</f>
        <v>0</v>
      </c>
      <c r="V402" s="7" t="s">
        <v>65</v>
      </c>
      <c r="W402" s="8" t="s">
        <v>66</v>
      </c>
      <c r="X402" s="21" t="str">
        <f>MID(J402,1,1)</f>
        <v>0</v>
      </c>
      <c r="Y402" s="26" t="str">
        <f>X402</f>
        <v>0</v>
      </c>
      <c r="Z402" s="7" t="s">
        <v>65</v>
      </c>
      <c r="AA402" s="8" t="s">
        <v>66</v>
      </c>
      <c r="AB402" s="21" t="str">
        <f>MID(K402,1,1)</f>
        <v>0</v>
      </c>
      <c r="AC402" s="26" t="str">
        <f>AB402</f>
        <v>0</v>
      </c>
      <c r="AD402" s="7" t="s">
        <v>65</v>
      </c>
      <c r="AE402" s="8" t="s">
        <v>66</v>
      </c>
      <c r="AF402" s="21" t="str">
        <f>MID(L402,1,1)</f>
        <v>0</v>
      </c>
      <c r="AG402" s="26" t="str">
        <f>AF402</f>
        <v>0</v>
      </c>
      <c r="AH402" s="7" t="s">
        <v>65</v>
      </c>
      <c r="AI402" s="8" t="s">
        <v>66</v>
      </c>
      <c r="AJ402" s="400"/>
      <c r="AK402" s="401"/>
    </row>
    <row r="403" spans="3:37" x14ac:dyDescent="0.3">
      <c r="C403" s="7" t="s">
        <v>67</v>
      </c>
      <c r="D403" s="99">
        <f>HEX2DEC(D401)</f>
        <v>7</v>
      </c>
      <c r="E403" s="99">
        <f t="shared" ref="E403:L403" si="382">HEX2DEC(E401)</f>
        <v>32</v>
      </c>
      <c r="F403" s="99">
        <f t="shared" si="382"/>
        <v>4</v>
      </c>
      <c r="G403" s="99">
        <f t="shared" si="382"/>
        <v>39</v>
      </c>
      <c r="H403" s="99">
        <f t="shared" si="382"/>
        <v>0</v>
      </c>
      <c r="I403" s="99">
        <f t="shared" si="382"/>
        <v>0</v>
      </c>
      <c r="J403" s="99">
        <f t="shared" si="382"/>
        <v>0</v>
      </c>
      <c r="K403" s="99">
        <f t="shared" si="382"/>
        <v>0</v>
      </c>
      <c r="L403" s="99">
        <f t="shared" si="382"/>
        <v>0</v>
      </c>
      <c r="M403" s="99">
        <f>SUM(D403:L403)</f>
        <v>82</v>
      </c>
      <c r="N403" s="8"/>
      <c r="P403" s="21" t="str">
        <f>MID(H402,2,1)</f>
        <v>0</v>
      </c>
      <c r="Q403" s="26" t="str">
        <f t="shared" ref="Q403:Q409" si="383">P403</f>
        <v>0</v>
      </c>
      <c r="R403" s="7" t="s">
        <v>68</v>
      </c>
      <c r="S403" s="8" t="s">
        <v>66</v>
      </c>
      <c r="T403" s="21" t="str">
        <f>MID(I402,2,1)</f>
        <v>0</v>
      </c>
      <c r="U403" s="26" t="str">
        <f t="shared" ref="U403:U409" si="384">T403</f>
        <v>0</v>
      </c>
      <c r="V403" s="7" t="s">
        <v>68</v>
      </c>
      <c r="W403" s="8" t="s">
        <v>66</v>
      </c>
      <c r="X403" s="21" t="str">
        <f>MID(J402,2,1)</f>
        <v>0</v>
      </c>
      <c r="Y403" s="26" t="str">
        <f t="shared" ref="Y403:Y409" si="385">X403</f>
        <v>0</v>
      </c>
      <c r="Z403" s="7" t="s">
        <v>68</v>
      </c>
      <c r="AA403" s="8" t="s">
        <v>66</v>
      </c>
      <c r="AB403" s="21" t="str">
        <f>MID(K402,2,1)</f>
        <v>0</v>
      </c>
      <c r="AC403" s="26" t="str">
        <f t="shared" ref="AC403:AC409" si="386">AB403</f>
        <v>0</v>
      </c>
      <c r="AD403" s="7" t="s">
        <v>68</v>
      </c>
      <c r="AE403" s="8" t="s">
        <v>66</v>
      </c>
      <c r="AF403" s="21" t="str">
        <f>MID(L402,2,1)</f>
        <v>0</v>
      </c>
      <c r="AG403" s="26" t="str">
        <f t="shared" ref="AG403:AG409" si="387">AF403</f>
        <v>0</v>
      </c>
      <c r="AH403" s="7" t="s">
        <v>68</v>
      </c>
      <c r="AI403" s="8" t="s">
        <v>66</v>
      </c>
      <c r="AJ403" s="400"/>
      <c r="AK403" s="401"/>
    </row>
    <row r="404" spans="3:37" x14ac:dyDescent="0.3">
      <c r="C404" s="7" t="s">
        <v>1678</v>
      </c>
      <c r="D404" s="333" t="str">
        <f>D401</f>
        <v>07</v>
      </c>
      <c r="E404" s="333" t="str">
        <f>E401</f>
        <v>20</v>
      </c>
      <c r="F404" s="99" t="str">
        <f>MID(INDEX($A$3:$A$70,IF(ISNA(MATCH("720G4HB*",$A$3:$A$70,0))=TRUE,MATCH("7200427*",$A$3:$A$70,0),MATCH("720G4HB*",$A$3:$A$70,0))),$AS$8,2)</f>
        <v>G4</v>
      </c>
      <c r="G404" s="99" t="str">
        <f>MID(INDEX($A$3:$A$70,IF(ISNA(MATCH("720G4HB*",$A$3:$A$70,0))=TRUE,MATCH("7200427*",$A$3:$A$70,0),MATCH("720G4HB*",$A$3:$A$70,0))),$AT$8,2)</f>
        <v>HB</v>
      </c>
      <c r="N404" s="8"/>
      <c r="P404" s="21" t="str">
        <f>MID(H402,3,1)</f>
        <v>0</v>
      </c>
      <c r="Q404" s="26" t="str">
        <f t="shared" si="383"/>
        <v>0</v>
      </c>
      <c r="R404" s="7" t="s">
        <v>69</v>
      </c>
      <c r="S404" s="288" t="s">
        <v>1698</v>
      </c>
      <c r="T404" s="21" t="str">
        <f>MID(I402,3,1)</f>
        <v>0</v>
      </c>
      <c r="U404" s="26" t="str">
        <f t="shared" si="384"/>
        <v>0</v>
      </c>
      <c r="V404" s="7" t="s">
        <v>69</v>
      </c>
      <c r="W404" s="323" t="s">
        <v>1634</v>
      </c>
      <c r="X404" s="21" t="str">
        <f>MID(J402,3,1)</f>
        <v>0</v>
      </c>
      <c r="Y404" s="26" t="str">
        <f t="shared" si="385"/>
        <v>0</v>
      </c>
      <c r="Z404" s="7" t="s">
        <v>69</v>
      </c>
      <c r="AA404" s="8" t="s">
        <v>66</v>
      </c>
      <c r="AB404" s="21" t="str">
        <f>MID(K402,3,1)</f>
        <v>0</v>
      </c>
      <c r="AC404" s="26" t="str">
        <f t="shared" si="386"/>
        <v>0</v>
      </c>
      <c r="AD404" s="7" t="s">
        <v>69</v>
      </c>
      <c r="AE404" s="8" t="s">
        <v>66</v>
      </c>
      <c r="AF404" s="21" t="str">
        <f>MID(L402,3,1)</f>
        <v>0</v>
      </c>
      <c r="AG404" s="26" t="str">
        <f t="shared" si="387"/>
        <v>0</v>
      </c>
      <c r="AH404" s="7" t="s">
        <v>69</v>
      </c>
      <c r="AI404" s="8" t="s">
        <v>66</v>
      </c>
      <c r="AJ404" s="400"/>
      <c r="AK404" s="401"/>
    </row>
    <row r="405" spans="3:37" ht="15" thickBot="1" x14ac:dyDescent="0.35">
      <c r="C405" s="7"/>
      <c r="N405" s="8"/>
      <c r="P405" s="21" t="str">
        <f>MID(H402,4,1)</f>
        <v>0</v>
      </c>
      <c r="Q405" s="26" t="str">
        <f t="shared" si="383"/>
        <v>0</v>
      </c>
      <c r="R405" s="7" t="s">
        <v>70</v>
      </c>
      <c r="S405" s="8" t="s">
        <v>66</v>
      </c>
      <c r="T405" s="21" t="str">
        <f>MID(I402,4,1)</f>
        <v>0</v>
      </c>
      <c r="U405" s="26" t="str">
        <f t="shared" si="384"/>
        <v>0</v>
      </c>
      <c r="V405" s="7" t="s">
        <v>70</v>
      </c>
      <c r="W405" s="323" t="s">
        <v>1631</v>
      </c>
      <c r="X405" s="21" t="str">
        <f>MID(J402,4,1)</f>
        <v>0</v>
      </c>
      <c r="Y405" s="26" t="str">
        <f t="shared" si="385"/>
        <v>0</v>
      </c>
      <c r="Z405" s="7" t="s">
        <v>70</v>
      </c>
      <c r="AA405" s="8" t="s">
        <v>66</v>
      </c>
      <c r="AB405" s="21" t="str">
        <f>MID(K402,4,1)</f>
        <v>0</v>
      </c>
      <c r="AC405" s="26" t="str">
        <f t="shared" si="386"/>
        <v>0</v>
      </c>
      <c r="AD405" s="7" t="s">
        <v>70</v>
      </c>
      <c r="AE405" s="8" t="s">
        <v>66</v>
      </c>
      <c r="AF405" s="21" t="str">
        <f>MID(L402,4,1)</f>
        <v>0</v>
      </c>
      <c r="AG405" s="26" t="str">
        <f t="shared" si="387"/>
        <v>0</v>
      </c>
      <c r="AH405" s="7" t="s">
        <v>70</v>
      </c>
      <c r="AI405" s="8" t="s">
        <v>66</v>
      </c>
      <c r="AJ405" s="400"/>
      <c r="AK405" s="401"/>
    </row>
    <row r="406" spans="3:37" ht="15" thickBot="1" x14ac:dyDescent="0.35">
      <c r="C406" s="7" t="s">
        <v>56</v>
      </c>
      <c r="D406" s="15" t="str">
        <f>D401</f>
        <v>07</v>
      </c>
      <c r="E406" s="16" t="str">
        <f>E401</f>
        <v>20</v>
      </c>
      <c r="F406" s="16" t="str">
        <f>F401</f>
        <v>04</v>
      </c>
      <c r="G406" s="17" t="str">
        <f>G401</f>
        <v>27</v>
      </c>
      <c r="H406" s="23" t="str">
        <f>BIN2HEX(H407,2)</f>
        <v>00</v>
      </c>
      <c r="I406" s="25" t="str">
        <f t="shared" ref="I406:L406" si="388">BIN2HEX(I407,2)</f>
        <v>00</v>
      </c>
      <c r="J406" s="24" t="str">
        <f t="shared" si="388"/>
        <v>00</v>
      </c>
      <c r="K406" s="2" t="str">
        <f t="shared" si="388"/>
        <v>00</v>
      </c>
      <c r="L406" s="18" t="str">
        <f t="shared" si="388"/>
        <v>00</v>
      </c>
      <c r="M406" s="3" t="str">
        <f>IF(LEN(M407)&gt;2,MID(M407,2,2),M407)</f>
        <v>52</v>
      </c>
      <c r="N406" s="8" t="s">
        <v>61</v>
      </c>
      <c r="P406" s="21" t="str">
        <f>MID(H402,5,1)</f>
        <v>0</v>
      </c>
      <c r="Q406" s="26" t="str">
        <f t="shared" si="383"/>
        <v>0</v>
      </c>
      <c r="R406" s="7" t="s">
        <v>71</v>
      </c>
      <c r="S406" s="8" t="s">
        <v>66</v>
      </c>
      <c r="T406" s="21" t="str">
        <f>MID(I402,5,1)</f>
        <v>0</v>
      </c>
      <c r="U406" s="26" t="str">
        <f t="shared" si="384"/>
        <v>0</v>
      </c>
      <c r="V406" s="7" t="s">
        <v>71</v>
      </c>
      <c r="W406" s="323" t="s">
        <v>1632</v>
      </c>
      <c r="X406" s="21" t="str">
        <f>MID(J402,5,1)</f>
        <v>0</v>
      </c>
      <c r="Y406" s="26" t="str">
        <f t="shared" si="385"/>
        <v>0</v>
      </c>
      <c r="Z406" s="7" t="s">
        <v>71</v>
      </c>
      <c r="AA406" s="30" t="s">
        <v>1766</v>
      </c>
      <c r="AB406" s="21" t="str">
        <f>MID(K402,5,1)</f>
        <v>0</v>
      </c>
      <c r="AC406" s="26" t="str">
        <f t="shared" si="386"/>
        <v>0</v>
      </c>
      <c r="AD406" s="7" t="s">
        <v>71</v>
      </c>
      <c r="AE406" s="8" t="s">
        <v>66</v>
      </c>
      <c r="AF406" s="21" t="str">
        <f>MID(L402,5,1)</f>
        <v>0</v>
      </c>
      <c r="AG406" s="26" t="str">
        <f t="shared" si="387"/>
        <v>0</v>
      </c>
      <c r="AH406" s="7" t="s">
        <v>71</v>
      </c>
      <c r="AI406" s="8" t="s">
        <v>66</v>
      </c>
      <c r="AJ406" s="400"/>
      <c r="AK406" s="401"/>
    </row>
    <row r="407" spans="3:37" x14ac:dyDescent="0.3">
      <c r="C407" s="7" t="s">
        <v>64</v>
      </c>
      <c r="D407" s="99" t="str">
        <f>HEX2BIN(D406,8)</f>
        <v>00000111</v>
      </c>
      <c r="E407" s="99" t="str">
        <f t="shared" ref="E407:G407" si="389">HEX2BIN(E406,8)</f>
        <v>00100000</v>
      </c>
      <c r="F407" s="99" t="str">
        <f t="shared" si="389"/>
        <v>00000100</v>
      </c>
      <c r="G407" s="99" t="str">
        <f t="shared" si="389"/>
        <v>00100111</v>
      </c>
      <c r="H407" s="29" t="str">
        <f>Q402&amp;Q403&amp;Q404&amp;Q405&amp;Q406&amp;Q407&amp;Q408&amp;Q409</f>
        <v>00000000</v>
      </c>
      <c r="I407" s="99" t="str">
        <f>U402&amp;U403&amp;U404&amp;U405&amp;U406&amp;U407&amp;U408&amp;U409</f>
        <v>00000000</v>
      </c>
      <c r="J407" s="29" t="str">
        <f>Y402&amp;Y403&amp;Y404&amp;Y405&amp;Y406&amp;Y407&amp;Y408&amp;Y409</f>
        <v>00000000</v>
      </c>
      <c r="K407" s="29" t="str">
        <f>AC402&amp;AC403&amp;AC404&amp;AC405&amp;AC406&amp;AC407&amp;AC408&amp;AC409</f>
        <v>00000000</v>
      </c>
      <c r="L407" s="99" t="str">
        <f>AG402&amp;AG403&amp;AG404&amp;AG405&amp;AG406&amp;AG407&amp;AG408&amp;AG409</f>
        <v>00000000</v>
      </c>
      <c r="M407" s="99" t="str">
        <f>DEC2HEX(M408)</f>
        <v>52</v>
      </c>
      <c r="N407" s="8"/>
      <c r="P407" s="21" t="str">
        <f>MID(H402,6,1)</f>
        <v>0</v>
      </c>
      <c r="Q407" s="26" t="str">
        <f t="shared" si="383"/>
        <v>0</v>
      </c>
      <c r="R407" s="7" t="s">
        <v>72</v>
      </c>
      <c r="S407" s="8" t="s">
        <v>66</v>
      </c>
      <c r="T407" s="21" t="str">
        <f>MID(I402,6,1)</f>
        <v>0</v>
      </c>
      <c r="U407" s="26" t="str">
        <f t="shared" si="384"/>
        <v>0</v>
      </c>
      <c r="V407" s="7" t="s">
        <v>72</v>
      </c>
      <c r="W407" s="323" t="s">
        <v>1633</v>
      </c>
      <c r="X407" s="21" t="str">
        <f>MID(J402,6,1)</f>
        <v>0</v>
      </c>
      <c r="Y407" s="26" t="str">
        <f t="shared" si="385"/>
        <v>0</v>
      </c>
      <c r="Z407" s="7" t="s">
        <v>72</v>
      </c>
      <c r="AA407" s="8" t="s">
        <v>66</v>
      </c>
      <c r="AB407" s="21" t="str">
        <f>MID(K402,6,1)</f>
        <v>0</v>
      </c>
      <c r="AC407" s="26" t="str">
        <f t="shared" si="386"/>
        <v>0</v>
      </c>
      <c r="AD407" s="7" t="s">
        <v>72</v>
      </c>
      <c r="AE407" s="8" t="s">
        <v>66</v>
      </c>
      <c r="AF407" s="21" t="str">
        <f>MID(L402,6,1)</f>
        <v>0</v>
      </c>
      <c r="AG407" s="26" t="str">
        <f t="shared" si="387"/>
        <v>0</v>
      </c>
      <c r="AH407" s="7" t="s">
        <v>72</v>
      </c>
      <c r="AI407" s="8" t="s">
        <v>66</v>
      </c>
      <c r="AJ407" s="400"/>
      <c r="AK407" s="401"/>
    </row>
    <row r="408" spans="3:37" x14ac:dyDescent="0.3">
      <c r="C408" s="7" t="s">
        <v>67</v>
      </c>
      <c r="D408" s="99">
        <f>HEX2DEC(D406)</f>
        <v>7</v>
      </c>
      <c r="E408" s="99">
        <f t="shared" ref="E408:L408" si="390">HEX2DEC(E406)</f>
        <v>32</v>
      </c>
      <c r="F408" s="99">
        <f t="shared" si="390"/>
        <v>4</v>
      </c>
      <c r="G408" s="99">
        <f t="shared" si="390"/>
        <v>39</v>
      </c>
      <c r="H408" s="99">
        <f t="shared" si="390"/>
        <v>0</v>
      </c>
      <c r="I408" s="99">
        <f t="shared" si="390"/>
        <v>0</v>
      </c>
      <c r="J408" s="99">
        <f t="shared" si="390"/>
        <v>0</v>
      </c>
      <c r="K408" s="99">
        <f t="shared" si="390"/>
        <v>0</v>
      </c>
      <c r="L408" s="99">
        <f t="shared" si="390"/>
        <v>0</v>
      </c>
      <c r="M408" s="99">
        <f>SUM(D408:L408)</f>
        <v>82</v>
      </c>
      <c r="N408" s="8"/>
      <c r="P408" s="21" t="str">
        <f>MID(H402,7,1)</f>
        <v>0</v>
      </c>
      <c r="Q408" s="26" t="str">
        <f t="shared" si="383"/>
        <v>0</v>
      </c>
      <c r="R408" s="7" t="s">
        <v>73</v>
      </c>
      <c r="S408" s="8" t="s">
        <v>66</v>
      </c>
      <c r="T408" s="21" t="str">
        <f>MID(I402,7,1)</f>
        <v>0</v>
      </c>
      <c r="U408" s="26" t="str">
        <f t="shared" si="384"/>
        <v>0</v>
      </c>
      <c r="V408" s="7" t="s">
        <v>73</v>
      </c>
      <c r="W408" s="8" t="s">
        <v>66</v>
      </c>
      <c r="X408" s="21" t="str">
        <f>MID(J402,7,1)</f>
        <v>0</v>
      </c>
      <c r="Y408" s="26" t="str">
        <f t="shared" si="385"/>
        <v>0</v>
      </c>
      <c r="Z408" s="7" t="s">
        <v>73</v>
      </c>
      <c r="AA408" s="8" t="s">
        <v>66</v>
      </c>
      <c r="AB408" s="21" t="str">
        <f>MID(K402,7,1)</f>
        <v>0</v>
      </c>
      <c r="AC408" s="26" t="str">
        <f t="shared" si="386"/>
        <v>0</v>
      </c>
      <c r="AD408" s="7" t="s">
        <v>73</v>
      </c>
      <c r="AE408" s="8" t="s">
        <v>66</v>
      </c>
      <c r="AF408" s="21" t="str">
        <f>MID(L402,7,1)</f>
        <v>0</v>
      </c>
      <c r="AG408" s="26" t="str">
        <f t="shared" si="387"/>
        <v>0</v>
      </c>
      <c r="AH408" s="7" t="s">
        <v>73</v>
      </c>
      <c r="AI408" s="8" t="s">
        <v>66</v>
      </c>
      <c r="AJ408" s="400"/>
      <c r="AK408" s="401"/>
    </row>
    <row r="409" spans="3:37" ht="15" thickBot="1" x14ac:dyDescent="0.35">
      <c r="C409" s="9" t="s">
        <v>1678</v>
      </c>
      <c r="D409" s="334" t="str">
        <f>D404</f>
        <v>07</v>
      </c>
      <c r="E409" s="334" t="str">
        <f t="shared" ref="E409:G409" si="391">E404</f>
        <v>20</v>
      </c>
      <c r="F409" s="334" t="str">
        <f t="shared" si="391"/>
        <v>G4</v>
      </c>
      <c r="G409" s="334" t="str">
        <f t="shared" si="391"/>
        <v>HB</v>
      </c>
      <c r="H409" s="10"/>
      <c r="I409" s="10"/>
      <c r="J409" s="10"/>
      <c r="K409" s="10"/>
      <c r="L409" s="10"/>
      <c r="M409" s="10"/>
      <c r="N409" s="11"/>
      <c r="P409" s="22" t="str">
        <f>MID(H402,8,1)</f>
        <v>0</v>
      </c>
      <c r="Q409" s="55" t="str">
        <f t="shared" si="383"/>
        <v>0</v>
      </c>
      <c r="R409" s="9" t="s">
        <v>74</v>
      </c>
      <c r="S409" s="11" t="s">
        <v>66</v>
      </c>
      <c r="T409" s="22" t="str">
        <f>MID(I402,8,1)</f>
        <v>0</v>
      </c>
      <c r="U409" s="55" t="str">
        <f t="shared" si="384"/>
        <v>0</v>
      </c>
      <c r="V409" s="9" t="s">
        <v>74</v>
      </c>
      <c r="W409" s="11" t="s">
        <v>66</v>
      </c>
      <c r="X409" s="22" t="str">
        <f>MID(J402,8,1)</f>
        <v>0</v>
      </c>
      <c r="Y409" s="55" t="str">
        <f t="shared" si="385"/>
        <v>0</v>
      </c>
      <c r="Z409" s="9" t="s">
        <v>74</v>
      </c>
      <c r="AA409" s="11" t="s">
        <v>66</v>
      </c>
      <c r="AB409" s="22" t="str">
        <f>MID(K402,8,1)</f>
        <v>0</v>
      </c>
      <c r="AC409" s="55" t="str">
        <f t="shared" si="386"/>
        <v>0</v>
      </c>
      <c r="AD409" s="9" t="s">
        <v>74</v>
      </c>
      <c r="AE409" s="11" t="s">
        <v>66</v>
      </c>
      <c r="AF409" s="22" t="str">
        <f>MID(L402,8,1)</f>
        <v>0</v>
      </c>
      <c r="AG409" s="55" t="str">
        <f t="shared" si="387"/>
        <v>0</v>
      </c>
      <c r="AH409" s="9" t="s">
        <v>74</v>
      </c>
      <c r="AI409" s="11" t="s">
        <v>66</v>
      </c>
      <c r="AJ409" s="402"/>
      <c r="AK409" s="404"/>
    </row>
    <row r="410" spans="3:37" ht="15" thickBot="1" x14ac:dyDescent="0.35">
      <c r="C410" s="4"/>
      <c r="D410" s="5"/>
      <c r="E410" s="5"/>
      <c r="F410" s="5"/>
      <c r="G410" s="5"/>
      <c r="H410" s="5"/>
      <c r="I410" s="5" t="str">
        <f>IF(J412="","checksum","")</f>
        <v>checksum</v>
      </c>
      <c r="J410" s="5"/>
      <c r="K410" s="5"/>
      <c r="L410" s="5"/>
      <c r="M410" s="5" t="str">
        <f>IF(J412&lt;&gt;"","checksum","")</f>
        <v/>
      </c>
      <c r="N410" s="6"/>
      <c r="P410" s="530" t="s">
        <v>1808</v>
      </c>
      <c r="Q410" s="530"/>
      <c r="R410" s="530"/>
      <c r="S410" s="530"/>
      <c r="T410" s="530"/>
      <c r="U410" s="530"/>
      <c r="V410" s="530"/>
      <c r="W410" s="530"/>
      <c r="X410" s="530"/>
      <c r="Y410" s="530"/>
      <c r="Z410" s="530"/>
      <c r="AA410" s="530"/>
      <c r="AB410" s="530"/>
      <c r="AC410" s="530"/>
      <c r="AD410" s="530"/>
      <c r="AE410" s="530"/>
      <c r="AF410" s="530"/>
      <c r="AG410" s="530"/>
      <c r="AH410" s="530"/>
      <c r="AI410" s="530"/>
      <c r="AJ410" s="530"/>
      <c r="AK410" s="530"/>
    </row>
    <row r="411" spans="3:37" ht="15" thickBot="1" x14ac:dyDescent="0.35">
      <c r="C411" s="7"/>
      <c r="D411" s="393" t="s">
        <v>1555</v>
      </c>
      <c r="E411" s="393"/>
      <c r="F411" s="393"/>
      <c r="G411" s="393"/>
      <c r="H411" s="99" t="s">
        <v>44</v>
      </c>
      <c r="I411" s="99" t="s">
        <v>45</v>
      </c>
      <c r="J411" s="99" t="s">
        <v>46</v>
      </c>
      <c r="K411" s="99" t="s">
        <v>47</v>
      </c>
      <c r="L411" s="99" t="s">
        <v>48</v>
      </c>
      <c r="M411" s="99" t="s">
        <v>49</v>
      </c>
      <c r="N411" s="8"/>
      <c r="P411" s="394" t="s">
        <v>50</v>
      </c>
      <c r="Q411" s="395"/>
      <c r="R411" s="395"/>
      <c r="S411" s="396"/>
      <c r="T411" s="394" t="str">
        <f>IF(J412="","B1 - CHECKSUM","B1 - Config Start Byte [BF]")</f>
        <v>B1 - CHECKSUM</v>
      </c>
      <c r="U411" s="395"/>
      <c r="V411" s="395"/>
      <c r="W411" s="396"/>
      <c r="X411" s="394" t="s">
        <v>294</v>
      </c>
      <c r="Y411" s="395"/>
      <c r="Z411" s="395"/>
      <c r="AA411" s="396"/>
      <c r="AB411" s="394" t="s">
        <v>53</v>
      </c>
      <c r="AC411" s="395"/>
      <c r="AD411" s="395"/>
      <c r="AE411" s="396"/>
      <c r="AF411" s="394" t="s">
        <v>97</v>
      </c>
      <c r="AG411" s="395"/>
      <c r="AH411" s="395"/>
      <c r="AI411" s="396"/>
      <c r="AJ411" s="394" t="s">
        <v>55</v>
      </c>
      <c r="AK411" s="396"/>
    </row>
    <row r="412" spans="3:37" ht="15" thickBot="1" x14ac:dyDescent="0.35">
      <c r="C412" s="7" t="s">
        <v>56</v>
      </c>
      <c r="D412" s="12" t="s">
        <v>57</v>
      </c>
      <c r="E412" s="13" t="s">
        <v>130</v>
      </c>
      <c r="F412" s="13" t="s">
        <v>111</v>
      </c>
      <c r="G412" s="14" t="s">
        <v>279</v>
      </c>
      <c r="H412" s="41" t="str" cm="1">
        <f t="array" ref="H412">MID(INDEX($A$3:$A$70,IF(ISNA(MATCH("720G4HC*",$A$3:$A$70,0))=TRUE,MATCH("7200428*",$A$3:$A$70,0),MATCH("720G4HC*",$A$3:$A$70,0))),$AU$8,2)</f>
        <v>00</v>
      </c>
      <c r="I412" s="42" t="str" cm="1">
        <f t="array" ref="I412">MID(INDEX($A$3:$A$70,IF(ISNA(MATCH("720G4HC*",$A$3:$A$70,0))=TRUE,MATCH("7200428*",$A$3:$A$70,0),MATCH("720G4HC*",$A$3:$A$70,0))),$AV$8,2)</f>
        <v>53</v>
      </c>
      <c r="J412" s="24" t="str" cm="1">
        <f t="array" ref="J412">MID(INDEX($A$3:$A$70,IF(ISNA(MATCH("720G4HC*",$A$3:$A$70,0))=TRUE,MATCH("7200428*",$A$3:$A$70,0),MATCH("720G4HC*",$A$3:$A$70,0))),$AW$8,2)</f>
        <v/>
      </c>
      <c r="K412" s="42" t="str" cm="1">
        <f t="array" ref="K412">MID(INDEX($A$3:$A$70,IF(ISNA(MATCH("720G4HC*",$A$3:$A$70,0))=TRUE,MATCH("7200428*",$A$3:$A$70,0),MATCH("720G4HC*",$A$3:$A$70,0))),$AX$8,2)</f>
        <v/>
      </c>
      <c r="L412" s="43" t="str" cm="1">
        <f t="array" ref="L412">MID(INDEX($A$3:$A$70,IF(ISNA(MATCH("720G4HC*",$A$3:$A$70,0))=TRUE,MATCH("7200428*",$A$3:$A$70,0),MATCH("720G4HC*",$A$3:$A$70,0))),$AY$8,2)</f>
        <v/>
      </c>
      <c r="M412" s="44" t="str" cm="1">
        <f t="array" ref="M412">MID(INDEX($A$3:$A$70,IF(ISNA(MATCH("720G4HC*",$A$3:$A$70,0))=TRUE,MATCH("7200428*",$A$3:$A$70,0),MATCH("720G4HC*",$A$3:$A$70,0))),$AZ$8,2)</f>
        <v/>
      </c>
      <c r="N412" s="8" t="s">
        <v>60</v>
      </c>
      <c r="P412" s="19" t="s">
        <v>60</v>
      </c>
      <c r="Q412" s="20" t="s">
        <v>61</v>
      </c>
      <c r="R412" t="s">
        <v>62</v>
      </c>
      <c r="S412" s="8"/>
      <c r="T412" s="394"/>
      <c r="U412" s="395"/>
      <c r="V412" s="395"/>
      <c r="W412" s="396"/>
      <c r="X412" s="394"/>
      <c r="Y412" s="395"/>
      <c r="Z412" s="395"/>
      <c r="AA412" s="396"/>
      <c r="AB412" s="19" t="s">
        <v>60</v>
      </c>
      <c r="AC412" s="20" t="s">
        <v>61</v>
      </c>
      <c r="AD412" t="s">
        <v>62</v>
      </c>
      <c r="AE412" s="8"/>
      <c r="AF412" s="19" t="s">
        <v>60</v>
      </c>
      <c r="AG412" s="20" t="s">
        <v>61</v>
      </c>
      <c r="AH412" t="s">
        <v>62</v>
      </c>
      <c r="AJ412" s="394" t="s">
        <v>63</v>
      </c>
      <c r="AK412" s="396"/>
    </row>
    <row r="413" spans="3:37" x14ac:dyDescent="0.3">
      <c r="C413" s="7" t="s">
        <v>64</v>
      </c>
      <c r="D413" s="99" t="str">
        <f>HEX2BIN(D412,8)</f>
        <v>00000111</v>
      </c>
      <c r="E413" s="99" t="str">
        <f t="shared" ref="E413:L413" si="392">HEX2BIN(E412,8)</f>
        <v>00100000</v>
      </c>
      <c r="F413" s="99" t="str">
        <f t="shared" si="392"/>
        <v>00000100</v>
      </c>
      <c r="G413" s="99" t="str">
        <f t="shared" si="392"/>
        <v>00101000</v>
      </c>
      <c r="H413" s="99" t="str">
        <f t="shared" si="392"/>
        <v>00000000</v>
      </c>
      <c r="I413" s="99" t="str">
        <f t="shared" si="392"/>
        <v>01010011</v>
      </c>
      <c r="J413" s="99" t="str">
        <f t="shared" si="392"/>
        <v>00000000</v>
      </c>
      <c r="K413" s="99" t="str">
        <f t="shared" si="392"/>
        <v>00000000</v>
      </c>
      <c r="L413" s="99" t="str">
        <f t="shared" si="392"/>
        <v>00000000</v>
      </c>
      <c r="N413" s="8"/>
      <c r="P413" s="21" t="str">
        <f>MID(H413,1,1)</f>
        <v>0</v>
      </c>
      <c r="Q413" s="26" t="str">
        <f>P413</f>
        <v>0</v>
      </c>
      <c r="R413" s="7" t="s">
        <v>65</v>
      </c>
      <c r="S413" s="8" t="s">
        <v>66</v>
      </c>
      <c r="T413" s="400"/>
      <c r="U413" s="381"/>
      <c r="V413" s="381"/>
      <c r="W413" s="401"/>
      <c r="X413" s="400"/>
      <c r="Y413" s="381"/>
      <c r="Z413" s="381"/>
      <c r="AA413" s="401"/>
      <c r="AB413" s="21" t="str">
        <f>MID(K413,1,1)</f>
        <v>0</v>
      </c>
      <c r="AC413" s="26" t="str">
        <f>AB413</f>
        <v>0</v>
      </c>
      <c r="AD413" s="7" t="s">
        <v>65</v>
      </c>
      <c r="AE413" s="8" t="s">
        <v>66</v>
      </c>
      <c r="AF413" s="21" t="str">
        <f>MID(L413,1,1)</f>
        <v>0</v>
      </c>
      <c r="AG413" s="26" t="str">
        <f>AF413</f>
        <v>0</v>
      </c>
      <c r="AH413" s="7" t="s">
        <v>65</v>
      </c>
      <c r="AI413" s="8" t="s">
        <v>66</v>
      </c>
      <c r="AJ413" s="400"/>
      <c r="AK413" s="401"/>
    </row>
    <row r="414" spans="3:37" x14ac:dyDescent="0.3">
      <c r="C414" s="7" t="s">
        <v>67</v>
      </c>
      <c r="D414" s="99">
        <f>HEX2DEC(D412)</f>
        <v>7</v>
      </c>
      <c r="E414" s="99">
        <f t="shared" ref="E414:L414" si="393">HEX2DEC(E412)</f>
        <v>32</v>
      </c>
      <c r="F414" s="99">
        <f t="shared" si="393"/>
        <v>4</v>
      </c>
      <c r="G414" s="99">
        <f t="shared" si="393"/>
        <v>40</v>
      </c>
      <c r="H414" s="99">
        <f t="shared" si="393"/>
        <v>0</v>
      </c>
      <c r="I414" s="99">
        <f t="shared" si="393"/>
        <v>83</v>
      </c>
      <c r="J414" s="99">
        <f t="shared" si="393"/>
        <v>0</v>
      </c>
      <c r="K414" s="99">
        <f t="shared" si="393"/>
        <v>0</v>
      </c>
      <c r="L414" s="99">
        <f t="shared" si="393"/>
        <v>0</v>
      </c>
      <c r="M414" s="99">
        <f>SUM(D414:L414)</f>
        <v>166</v>
      </c>
      <c r="N414" s="8"/>
      <c r="P414" s="21" t="str">
        <f>MID(H413,2,1)</f>
        <v>0</v>
      </c>
      <c r="Q414" s="26" t="str">
        <f t="shared" ref="Q414:Q420" si="394">P414</f>
        <v>0</v>
      </c>
      <c r="R414" s="7" t="s">
        <v>68</v>
      </c>
      <c r="S414" s="8" t="s">
        <v>66</v>
      </c>
      <c r="T414" s="400"/>
      <c r="U414" s="381"/>
      <c r="V414" s="381"/>
      <c r="W414" s="401"/>
      <c r="X414" s="400"/>
      <c r="Y414" s="381"/>
      <c r="Z414" s="381"/>
      <c r="AA414" s="401"/>
      <c r="AB414" s="21" t="str">
        <f>MID(K413,2,1)</f>
        <v>0</v>
      </c>
      <c r="AC414" s="26" t="str">
        <f t="shared" ref="AC414:AC420" si="395">AB414</f>
        <v>0</v>
      </c>
      <c r="AD414" s="7" t="s">
        <v>68</v>
      </c>
      <c r="AE414" s="8" t="s">
        <v>66</v>
      </c>
      <c r="AF414" s="21" t="str">
        <f>MID(L413,2,1)</f>
        <v>0</v>
      </c>
      <c r="AG414" s="26" t="str">
        <f t="shared" ref="AG414:AG420" si="396">AF414</f>
        <v>0</v>
      </c>
      <c r="AH414" s="7" t="s">
        <v>68</v>
      </c>
      <c r="AI414" s="8" t="s">
        <v>66</v>
      </c>
      <c r="AJ414" s="400"/>
      <c r="AK414" s="401"/>
    </row>
    <row r="415" spans="3:37" x14ac:dyDescent="0.3">
      <c r="C415" s="7" t="s">
        <v>1678</v>
      </c>
      <c r="D415" s="333" t="str">
        <f>D412</f>
        <v>07</v>
      </c>
      <c r="E415" s="333" t="str">
        <f>E412</f>
        <v>20</v>
      </c>
      <c r="F415" s="99" t="str">
        <f>MID(INDEX($A$3:$A$70,IF(ISNA(MATCH("720G4HC*",$A$3:$A$70,0))=TRUE,MATCH("7200428*",$A$3:$A$70,0),MATCH("720G4HC*",$A$3:$A$70,0))),$AS$8,2)</f>
        <v>G4</v>
      </c>
      <c r="G415" s="99" t="str">
        <f>MID(INDEX($A$3:$A$70,IF(ISNA(MATCH("720G4HC*",$A$3:$A$70,0))=TRUE,MATCH("7200428*",$A$3:$A$70,0),MATCH("720G4HC*",$A$3:$A$70,0))),$AT$8,2)</f>
        <v>HC</v>
      </c>
      <c r="N415" s="8"/>
      <c r="P415" s="21" t="str">
        <f>MID(H413,3,1)</f>
        <v>0</v>
      </c>
      <c r="Q415" s="26" t="str">
        <f t="shared" si="394"/>
        <v>0</v>
      </c>
      <c r="R415" s="7" t="s">
        <v>69</v>
      </c>
      <c r="S415" s="8" t="s">
        <v>66</v>
      </c>
      <c r="T415" s="400"/>
      <c r="U415" s="381"/>
      <c r="V415" s="381"/>
      <c r="W415" s="401"/>
      <c r="X415" s="400"/>
      <c r="Y415" s="381"/>
      <c r="Z415" s="381"/>
      <c r="AA415" s="401"/>
      <c r="AB415" s="21" t="str">
        <f>MID(K413,3,1)</f>
        <v>0</v>
      </c>
      <c r="AC415" s="26" t="str">
        <f t="shared" si="395"/>
        <v>0</v>
      </c>
      <c r="AD415" s="7" t="s">
        <v>69</v>
      </c>
      <c r="AE415" s="8" t="s">
        <v>66</v>
      </c>
      <c r="AF415" s="21" t="str">
        <f>MID(L413,3,1)</f>
        <v>0</v>
      </c>
      <c r="AG415" s="26" t="str">
        <f t="shared" si="396"/>
        <v>0</v>
      </c>
      <c r="AH415" s="7" t="s">
        <v>69</v>
      </c>
      <c r="AI415" s="8" t="s">
        <v>66</v>
      </c>
      <c r="AJ415" s="400"/>
      <c r="AK415" s="401"/>
    </row>
    <row r="416" spans="3:37" ht="15" thickBot="1" x14ac:dyDescent="0.35">
      <c r="C416" s="7"/>
      <c r="N416" s="8"/>
      <c r="P416" s="21" t="str">
        <f>MID(H413,4,1)</f>
        <v>0</v>
      </c>
      <c r="Q416" s="26" t="str">
        <f t="shared" si="394"/>
        <v>0</v>
      </c>
      <c r="R416" s="7" t="s">
        <v>70</v>
      </c>
      <c r="S416" s="8" t="s">
        <v>66</v>
      </c>
      <c r="T416" s="400"/>
      <c r="U416" s="381"/>
      <c r="V416" s="381"/>
      <c r="W416" s="401"/>
      <c r="X416" s="400"/>
      <c r="Y416" s="381"/>
      <c r="Z416" s="381"/>
      <c r="AA416" s="401"/>
      <c r="AB416" s="21" t="str">
        <f>MID(K413,4,1)</f>
        <v>0</v>
      </c>
      <c r="AC416" s="26" t="str">
        <f t="shared" si="395"/>
        <v>0</v>
      </c>
      <c r="AD416" s="7" t="s">
        <v>70</v>
      </c>
      <c r="AE416" s="8" t="s">
        <v>66</v>
      </c>
      <c r="AF416" s="21" t="str">
        <f>MID(L413,4,1)</f>
        <v>0</v>
      </c>
      <c r="AG416" s="26" t="str">
        <f t="shared" si="396"/>
        <v>0</v>
      </c>
      <c r="AH416" s="7" t="s">
        <v>70</v>
      </c>
      <c r="AI416" s="8" t="s">
        <v>66</v>
      </c>
      <c r="AJ416" s="400"/>
      <c r="AK416" s="401"/>
    </row>
    <row r="417" spans="3:38" ht="15" thickBot="1" x14ac:dyDescent="0.35">
      <c r="C417" s="7" t="s">
        <v>56</v>
      </c>
      <c r="D417" s="15" t="str">
        <f>D412</f>
        <v>07</v>
      </c>
      <c r="E417" s="16" t="str">
        <f>E412</f>
        <v>20</v>
      </c>
      <c r="F417" s="16" t="str">
        <f>F412</f>
        <v>04</v>
      </c>
      <c r="G417" s="17" t="str">
        <f>G412</f>
        <v>28</v>
      </c>
      <c r="H417" s="23" t="str">
        <f>BIN2HEX(H418,2)</f>
        <v>00</v>
      </c>
      <c r="I417" s="47" t="str">
        <f>IF(J412="",IF(LEN(I418)&gt;2,MID(I418,2,2),I418),I412)</f>
        <v>53</v>
      </c>
      <c r="J417" s="48" t="str">
        <f>J412</f>
        <v/>
      </c>
      <c r="K417" s="2" t="str">
        <f>IF(J412="","",BIN2HEX(K418,2))</f>
        <v/>
      </c>
      <c r="L417" s="18" t="str">
        <f>IF(J412="","",BIN2HEX(L418,2))</f>
        <v/>
      </c>
      <c r="M417" s="3" t="str">
        <f>IF(J412="","",IF(LEN(M418)&gt;2,MID(M418,2,2),M418))</f>
        <v/>
      </c>
      <c r="N417" s="8" t="s">
        <v>61</v>
      </c>
      <c r="P417" s="21" t="str">
        <f>MID(H413,5,1)</f>
        <v>0</v>
      </c>
      <c r="Q417" s="26" t="str">
        <f t="shared" si="394"/>
        <v>0</v>
      </c>
      <c r="R417" s="7" t="s">
        <v>71</v>
      </c>
      <c r="S417" s="8" t="s">
        <v>66</v>
      </c>
      <c r="T417" s="400"/>
      <c r="U417" s="381"/>
      <c r="V417" s="381"/>
      <c r="W417" s="401"/>
      <c r="X417" s="400"/>
      <c r="Y417" s="381"/>
      <c r="Z417" s="381"/>
      <c r="AA417" s="401"/>
      <c r="AB417" s="21" t="str">
        <f>MID(K413,5,1)</f>
        <v>0</v>
      </c>
      <c r="AC417" s="26" t="str">
        <f t="shared" si="395"/>
        <v>0</v>
      </c>
      <c r="AD417" s="7" t="s">
        <v>71</v>
      </c>
      <c r="AE417" s="8" t="s">
        <v>66</v>
      </c>
      <c r="AF417" s="21" t="str">
        <f>MID(L413,5,1)</f>
        <v>0</v>
      </c>
      <c r="AG417" s="26" t="str">
        <f t="shared" si="396"/>
        <v>0</v>
      </c>
      <c r="AH417" s="7" t="s">
        <v>71</v>
      </c>
      <c r="AI417" s="8" t="s">
        <v>66</v>
      </c>
      <c r="AJ417" s="400"/>
      <c r="AK417" s="401"/>
    </row>
    <row r="418" spans="3:38" x14ac:dyDescent="0.3">
      <c r="C418" s="7" t="s">
        <v>64</v>
      </c>
      <c r="D418" s="99" t="str">
        <f>HEX2BIN(D417,8)</f>
        <v>00000111</v>
      </c>
      <c r="E418" s="99" t="str">
        <f t="shared" ref="E418:G418" si="397">HEX2BIN(E417,8)</f>
        <v>00100000</v>
      </c>
      <c r="F418" s="99" t="str">
        <f t="shared" si="397"/>
        <v>00000100</v>
      </c>
      <c r="G418" s="99" t="str">
        <f t="shared" si="397"/>
        <v>00101000</v>
      </c>
      <c r="H418" s="29" t="str">
        <f>Q413&amp;Q414&amp;Q415&amp;Q416&amp;Q417&amp;Q418&amp;Q419&amp;Q420</f>
        <v>00000000</v>
      </c>
      <c r="I418" s="99" t="str">
        <f>IF(J412="",DEC2HEX(I419),"")</f>
        <v>53</v>
      </c>
      <c r="J418" s="29"/>
      <c r="K418" s="29" t="str">
        <f>AC413&amp;AC414&amp;AC415&amp;AC416&amp;AC417&amp;AC418&amp;AC419&amp;AC420</f>
        <v>00000000</v>
      </c>
      <c r="L418" s="99" t="str">
        <f>AG413&amp;AG414&amp;AG415&amp;AG416&amp;AG417&amp;AG418&amp;AG419&amp;AG420</f>
        <v>00000000</v>
      </c>
      <c r="M418" s="99" t="str">
        <f>DEC2HEX(M419)</f>
        <v>A6</v>
      </c>
      <c r="N418" s="8"/>
      <c r="P418" s="21" t="str">
        <f>MID(H413,6,1)</f>
        <v>0</v>
      </c>
      <c r="Q418" s="26" t="str">
        <f t="shared" si="394"/>
        <v>0</v>
      </c>
      <c r="R418" s="7" t="s">
        <v>72</v>
      </c>
      <c r="S418" s="8" t="s">
        <v>66</v>
      </c>
      <c r="T418" s="400"/>
      <c r="U418" s="381"/>
      <c r="V418" s="381"/>
      <c r="W418" s="401"/>
      <c r="X418" s="400"/>
      <c r="Y418" s="381"/>
      <c r="Z418" s="381"/>
      <c r="AA418" s="401"/>
      <c r="AB418" s="21" t="str">
        <f>MID(K413,6,1)</f>
        <v>0</v>
      </c>
      <c r="AC418" s="26" t="str">
        <f t="shared" si="395"/>
        <v>0</v>
      </c>
      <c r="AD418" s="7" t="s">
        <v>72</v>
      </c>
      <c r="AE418" s="8" t="s">
        <v>66</v>
      </c>
      <c r="AF418" s="21" t="str">
        <f>MID(L413,6,1)</f>
        <v>0</v>
      </c>
      <c r="AG418" s="26" t="str">
        <f t="shared" si="396"/>
        <v>0</v>
      </c>
      <c r="AH418" s="7" t="s">
        <v>72</v>
      </c>
      <c r="AI418" s="8" t="s">
        <v>66</v>
      </c>
      <c r="AJ418" s="400"/>
      <c r="AK418" s="401"/>
    </row>
    <row r="419" spans="3:38" x14ac:dyDescent="0.3">
      <c r="C419" s="7" t="s">
        <v>67</v>
      </c>
      <c r="D419" s="99">
        <f>HEX2DEC(D417)</f>
        <v>7</v>
      </c>
      <c r="E419" s="99">
        <f t="shared" ref="E419:L419" si="398">HEX2DEC(E417)</f>
        <v>32</v>
      </c>
      <c r="F419" s="99">
        <f t="shared" si="398"/>
        <v>4</v>
      </c>
      <c r="G419" s="99">
        <f t="shared" si="398"/>
        <v>40</v>
      </c>
      <c r="H419" s="99">
        <f t="shared" si="398"/>
        <v>0</v>
      </c>
      <c r="I419" s="99">
        <f>IF(J412="",SUM(D419:H419),HEX2DEC(I417))</f>
        <v>83</v>
      </c>
      <c r="J419" s="99">
        <f t="shared" si="398"/>
        <v>0</v>
      </c>
      <c r="K419" s="99">
        <f t="shared" si="398"/>
        <v>0</v>
      </c>
      <c r="L419" s="99">
        <f t="shared" si="398"/>
        <v>0</v>
      </c>
      <c r="M419" s="99">
        <f>SUM(D419:L419)</f>
        <v>166</v>
      </c>
      <c r="N419" s="8"/>
      <c r="P419" s="21" t="str">
        <f>MID(H413,7,1)</f>
        <v>0</v>
      </c>
      <c r="Q419" s="26" t="str">
        <f t="shared" si="394"/>
        <v>0</v>
      </c>
      <c r="R419" s="7" t="s">
        <v>73</v>
      </c>
      <c r="S419" s="8" t="s">
        <v>66</v>
      </c>
      <c r="T419" s="400"/>
      <c r="U419" s="381"/>
      <c r="V419" s="381"/>
      <c r="W419" s="401"/>
      <c r="X419" s="400"/>
      <c r="Y419" s="381"/>
      <c r="Z419" s="381"/>
      <c r="AA419" s="401"/>
      <c r="AB419" s="21" t="str">
        <f>MID(K413,7,1)</f>
        <v>0</v>
      </c>
      <c r="AC419" s="26" t="str">
        <f t="shared" si="395"/>
        <v>0</v>
      </c>
      <c r="AD419" s="7" t="s">
        <v>73</v>
      </c>
      <c r="AE419" s="8" t="s">
        <v>66</v>
      </c>
      <c r="AF419" s="21" t="str">
        <f>MID(L413,7,1)</f>
        <v>0</v>
      </c>
      <c r="AG419" s="26" t="str">
        <f t="shared" si="396"/>
        <v>0</v>
      </c>
      <c r="AH419" s="7" t="s">
        <v>73</v>
      </c>
      <c r="AI419" s="8" t="s">
        <v>66</v>
      </c>
      <c r="AJ419" s="400"/>
      <c r="AK419" s="401"/>
    </row>
    <row r="420" spans="3:38" ht="15" thickBot="1" x14ac:dyDescent="0.35">
      <c r="C420" s="9" t="s">
        <v>1678</v>
      </c>
      <c r="D420" s="334" t="str">
        <f>D415</f>
        <v>07</v>
      </c>
      <c r="E420" s="334" t="str">
        <f t="shared" ref="E420:G420" si="399">E415</f>
        <v>20</v>
      </c>
      <c r="F420" s="334" t="str">
        <f t="shared" si="399"/>
        <v>G4</v>
      </c>
      <c r="G420" s="334" t="str">
        <f t="shared" si="399"/>
        <v>HC</v>
      </c>
      <c r="H420" s="10"/>
      <c r="I420" s="10"/>
      <c r="J420" s="10"/>
      <c r="K420" s="10"/>
      <c r="L420" s="10"/>
      <c r="M420" s="10"/>
      <c r="N420" s="11"/>
      <c r="P420" s="22" t="str">
        <f>MID(H413,8,1)</f>
        <v>0</v>
      </c>
      <c r="Q420" s="55" t="str">
        <f t="shared" si="394"/>
        <v>0</v>
      </c>
      <c r="R420" s="9" t="s">
        <v>74</v>
      </c>
      <c r="S420" s="11" t="s">
        <v>66</v>
      </c>
      <c r="T420" s="402"/>
      <c r="U420" s="403"/>
      <c r="V420" s="403"/>
      <c r="W420" s="404"/>
      <c r="X420" s="402"/>
      <c r="Y420" s="403"/>
      <c r="Z420" s="403"/>
      <c r="AA420" s="404"/>
      <c r="AB420" s="22" t="str">
        <f>MID(K413,8,1)</f>
        <v>0</v>
      </c>
      <c r="AC420" s="55" t="str">
        <f t="shared" si="395"/>
        <v>0</v>
      </c>
      <c r="AD420" s="9" t="s">
        <v>74</v>
      </c>
      <c r="AE420" s="11" t="s">
        <v>66</v>
      </c>
      <c r="AF420" s="22" t="str">
        <f>MID(L413,8,1)</f>
        <v>0</v>
      </c>
      <c r="AG420" s="55" t="str">
        <f t="shared" si="396"/>
        <v>0</v>
      </c>
      <c r="AH420" s="9" t="s">
        <v>74</v>
      </c>
      <c r="AI420" s="11" t="s">
        <v>66</v>
      </c>
      <c r="AJ420" s="402"/>
      <c r="AK420" s="404"/>
    </row>
    <row r="421" spans="3:38" ht="15" thickBot="1" x14ac:dyDescent="0.35">
      <c r="C421" s="4"/>
      <c r="D421" s="5"/>
      <c r="E421" s="5"/>
      <c r="F421" s="5"/>
      <c r="G421" s="5"/>
      <c r="H421" s="5"/>
      <c r="I421" s="5"/>
      <c r="J421" s="5"/>
      <c r="K421" s="5"/>
      <c r="L421" s="5"/>
      <c r="M421" s="5" t="s">
        <v>41</v>
      </c>
      <c r="N421" s="6"/>
      <c r="P421" s="530" t="s">
        <v>1809</v>
      </c>
      <c r="Q421" s="530"/>
      <c r="R421" s="530"/>
      <c r="S421" s="530"/>
      <c r="T421" s="530"/>
      <c r="U421" s="530"/>
      <c r="V421" s="530"/>
      <c r="W421" s="530"/>
      <c r="X421" s="530"/>
      <c r="Y421" s="530"/>
      <c r="Z421" s="530"/>
      <c r="AA421" s="530"/>
      <c r="AB421" s="530"/>
      <c r="AC421" s="530"/>
      <c r="AD421" s="530"/>
      <c r="AE421" s="530"/>
      <c r="AF421" s="530"/>
      <c r="AG421" s="530"/>
      <c r="AH421" s="530"/>
      <c r="AI421" s="530"/>
      <c r="AJ421" s="530"/>
      <c r="AK421" s="530"/>
      <c r="AL421" s="500" t="s">
        <v>1835</v>
      </c>
    </row>
    <row r="422" spans="3:38" ht="15" thickBot="1" x14ac:dyDescent="0.35">
      <c r="C422" s="7"/>
      <c r="D422" s="393" t="s">
        <v>1554</v>
      </c>
      <c r="E422" s="393"/>
      <c r="F422" s="393"/>
      <c r="G422" s="393"/>
      <c r="H422" s="99" t="s">
        <v>44</v>
      </c>
      <c r="I422" s="99" t="s">
        <v>45</v>
      </c>
      <c r="J422" s="99" t="s">
        <v>46</v>
      </c>
      <c r="K422" s="99" t="s">
        <v>47</v>
      </c>
      <c r="L422" s="99" t="s">
        <v>48</v>
      </c>
      <c r="M422" s="99" t="s">
        <v>49</v>
      </c>
      <c r="N422" s="8"/>
      <c r="P422" s="394" t="s">
        <v>50</v>
      </c>
      <c r="Q422" s="395"/>
      <c r="R422" s="395"/>
      <c r="S422" s="396"/>
      <c r="T422" s="394" t="s">
        <v>51</v>
      </c>
      <c r="U422" s="395"/>
      <c r="V422" s="395"/>
      <c r="W422" s="396"/>
      <c r="X422" s="394" t="s">
        <v>52</v>
      </c>
      <c r="Y422" s="395"/>
      <c r="Z422" s="395"/>
      <c r="AA422" s="396"/>
      <c r="AB422" s="394" t="s">
        <v>53</v>
      </c>
      <c r="AC422" s="395"/>
      <c r="AD422" s="395"/>
      <c r="AE422" s="396"/>
      <c r="AF422" s="394" t="s">
        <v>250</v>
      </c>
      <c r="AG422" s="395"/>
      <c r="AH422" s="395"/>
      <c r="AI422" s="396"/>
      <c r="AJ422" s="394" t="s">
        <v>55</v>
      </c>
      <c r="AK422" s="396"/>
      <c r="AL422" s="501"/>
    </row>
    <row r="423" spans="3:38" ht="15" thickBot="1" x14ac:dyDescent="0.35">
      <c r="C423" s="7" t="s">
        <v>56</v>
      </c>
      <c r="D423" s="12" t="str">
        <f>IF(J412="","",7)</f>
        <v/>
      </c>
      <c r="E423" s="13" t="str">
        <f>IF(J412="","",20)</f>
        <v/>
      </c>
      <c r="F423" s="13" t="str">
        <f>IF(J412="","",4)</f>
        <v/>
      </c>
      <c r="G423" s="14" t="str">
        <f>IF(J412="","",29)</f>
        <v/>
      </c>
      <c r="H423" s="41" t="str" cm="1">
        <f t="array" ref="H423">_xlfn.IFNA(MID(INDEX($A$3:$A$70,IF(ISNA(MATCH("720G4HD*",$A$3:$A$70,0))=TRUE,MATCH("7200429*",$A$3:$A$70,0),MATCH("720G4HD*",$A$3:$A$70,0))),$AU$8,2),"")</f>
        <v/>
      </c>
      <c r="I423" s="42" t="str" cm="1">
        <f t="array" ref="I423">_xlfn.IFNA(MID(INDEX($A$3:$A$70,IF(ISNA(MATCH("720G4HD*",$A$3:$A$70,0))=TRUE,MATCH("7200429*",$A$3:$A$70,0),MATCH("720G4HD*",$A$3:$A$70,0))),$AV$8,2),"")</f>
        <v/>
      </c>
      <c r="J423" s="24" t="str" cm="1">
        <f t="array" ref="J423">_xlfn.IFNA(MID(INDEX($A$3:$A$70,IF(ISNA(MATCH("720G4HD*",$A$3:$A$70,0))=TRUE,MATCH("7200429*",$A$3:$A$70,0),MATCH("720G4HD*",$A$3:$A$70,0))),$AW$8,2),"")</f>
        <v/>
      </c>
      <c r="K423" s="42" t="str" cm="1">
        <f t="array" ref="K423">_xlfn.IFNA(MID(INDEX($A$3:$A$70,IF(ISNA(MATCH("720G4HD*",$A$3:$A$70,0))=TRUE,MATCH("7200429*",$A$3:$A$70,0),MATCH("720G4HD*",$A$3:$A$70,0))),$AX$8,2),"")</f>
        <v/>
      </c>
      <c r="L423" s="43" t="str" cm="1">
        <f t="array" ref="L423">_xlfn.IFNA(MID(INDEX($A$3:$A$70,IF(ISNA(MATCH("720G4HD*",$A$3:$A$70,0))=TRUE,MATCH("7200429*",$A$3:$A$70,0),MATCH("720G4HD*",$A$3:$A$70,0))),$AY$8,2),"")</f>
        <v/>
      </c>
      <c r="M423" s="44" t="str" cm="1">
        <f t="array" ref="M423">_xlfn.IFNA(MID(INDEX($A$3:$A$70,IF(ISNA(MATCH("720G4HD*",$A$3:$A$70,0))=TRUE,MATCH("7200429*",$A$3:$A$70,0),MATCH("720G4HD*",$A$3:$A$70,0))),$AZ$8,2),"")</f>
        <v/>
      </c>
      <c r="N423" s="8" t="s">
        <v>60</v>
      </c>
      <c r="P423" s="19" t="s">
        <v>60</v>
      </c>
      <c r="Q423" s="20" t="s">
        <v>61</v>
      </c>
      <c r="R423" t="s">
        <v>62</v>
      </c>
      <c r="S423" s="8"/>
      <c r="T423" s="19" t="s">
        <v>60</v>
      </c>
      <c r="U423" s="20" t="s">
        <v>61</v>
      </c>
      <c r="V423" t="s">
        <v>62</v>
      </c>
      <c r="W423" s="8"/>
      <c r="X423" s="19" t="s">
        <v>60</v>
      </c>
      <c r="Y423" s="20" t="s">
        <v>61</v>
      </c>
      <c r="Z423" t="s">
        <v>62</v>
      </c>
      <c r="AA423" s="8"/>
      <c r="AB423" s="19" t="s">
        <v>60</v>
      </c>
      <c r="AC423" s="20" t="s">
        <v>61</v>
      </c>
      <c r="AD423" t="s">
        <v>62</v>
      </c>
      <c r="AE423" s="8"/>
      <c r="AF423" s="394"/>
      <c r="AG423" s="395"/>
      <c r="AH423" s="395"/>
      <c r="AI423" s="396"/>
      <c r="AJ423" s="394" t="s">
        <v>63</v>
      </c>
      <c r="AK423" s="396"/>
      <c r="AL423" s="501"/>
    </row>
    <row r="424" spans="3:38" x14ac:dyDescent="0.3">
      <c r="C424" s="7" t="s">
        <v>64</v>
      </c>
      <c r="D424" s="99" t="str">
        <f>HEX2BIN(D423,8)</f>
        <v>00000000</v>
      </c>
      <c r="E424" s="99" t="str">
        <f t="shared" ref="E424:L424" si="400">HEX2BIN(E423,8)</f>
        <v>00000000</v>
      </c>
      <c r="F424" s="99" t="str">
        <f t="shared" si="400"/>
        <v>00000000</v>
      </c>
      <c r="G424" s="99" t="str">
        <f t="shared" si="400"/>
        <v>00000000</v>
      </c>
      <c r="H424" s="99" t="str">
        <f t="shared" si="400"/>
        <v>00000000</v>
      </c>
      <c r="I424" s="99" t="str">
        <f t="shared" si="400"/>
        <v>00000000</v>
      </c>
      <c r="J424" s="99" t="str">
        <f t="shared" si="400"/>
        <v>00000000</v>
      </c>
      <c r="K424" s="99" t="str">
        <f t="shared" si="400"/>
        <v>00000000</v>
      </c>
      <c r="L424" s="99" t="str">
        <f t="shared" si="400"/>
        <v>00000000</v>
      </c>
      <c r="N424" s="8"/>
      <c r="P424" s="21" t="str">
        <f>MID(H424,1,1)</f>
        <v>0</v>
      </c>
      <c r="Q424" s="26" t="str">
        <f>P424</f>
        <v>0</v>
      </c>
      <c r="R424" s="7" t="s">
        <v>65</v>
      </c>
      <c r="S424" s="8" t="s">
        <v>66</v>
      </c>
      <c r="T424" s="21" t="str">
        <f>MID(I424,1,1)</f>
        <v>0</v>
      </c>
      <c r="U424" s="26" t="str">
        <f>T424</f>
        <v>0</v>
      </c>
      <c r="V424" s="7" t="s">
        <v>65</v>
      </c>
      <c r="W424" s="8" t="s">
        <v>66</v>
      </c>
      <c r="X424" s="21" t="str">
        <f>MID(J424,1,1)</f>
        <v>0</v>
      </c>
      <c r="Y424" s="26" t="str">
        <f>X424</f>
        <v>0</v>
      </c>
      <c r="Z424" s="7" t="s">
        <v>65</v>
      </c>
      <c r="AA424" s="8" t="s">
        <v>66</v>
      </c>
      <c r="AB424" s="21" t="str">
        <f>MID(K424,1,1)</f>
        <v>0</v>
      </c>
      <c r="AC424" s="26" t="str">
        <f>AB424</f>
        <v>0</v>
      </c>
      <c r="AD424" s="7" t="s">
        <v>65</v>
      </c>
      <c r="AE424" s="8" t="s">
        <v>66</v>
      </c>
      <c r="AF424" s="400"/>
      <c r="AG424" s="381"/>
      <c r="AH424" s="381"/>
      <c r="AI424" s="401"/>
      <c r="AJ424" s="400"/>
      <c r="AK424" s="401"/>
      <c r="AL424" s="501"/>
    </row>
    <row r="425" spans="3:38" x14ac:dyDescent="0.3">
      <c r="C425" s="7" t="s">
        <v>67</v>
      </c>
      <c r="D425" s="99">
        <f>HEX2DEC(D423)</f>
        <v>0</v>
      </c>
      <c r="E425" s="99">
        <f t="shared" ref="E425:L425" si="401">HEX2DEC(E423)</f>
        <v>0</v>
      </c>
      <c r="F425" s="99">
        <f t="shared" si="401"/>
        <v>0</v>
      </c>
      <c r="G425" s="99">
        <f t="shared" si="401"/>
        <v>0</v>
      </c>
      <c r="H425" s="99">
        <f t="shared" si="401"/>
        <v>0</v>
      </c>
      <c r="I425" s="99">
        <f t="shared" si="401"/>
        <v>0</v>
      </c>
      <c r="J425" s="99">
        <f t="shared" si="401"/>
        <v>0</v>
      </c>
      <c r="K425" s="99">
        <f t="shared" si="401"/>
        <v>0</v>
      </c>
      <c r="L425" s="99">
        <f t="shared" si="401"/>
        <v>0</v>
      </c>
      <c r="M425" s="99">
        <f>SUM(D425:L425)</f>
        <v>0</v>
      </c>
      <c r="N425" s="8"/>
      <c r="P425" s="21" t="str">
        <f>MID(H424,2,1)</f>
        <v>0</v>
      </c>
      <c r="Q425" s="26" t="str">
        <f t="shared" ref="Q425:Q431" si="402">P425</f>
        <v>0</v>
      </c>
      <c r="R425" s="7" t="s">
        <v>68</v>
      </c>
      <c r="S425" s="8" t="s">
        <v>66</v>
      </c>
      <c r="T425" s="21" t="str">
        <f>MID(I424,2,1)</f>
        <v>0</v>
      </c>
      <c r="U425" s="26" t="str">
        <f t="shared" ref="U425:U431" si="403">T425</f>
        <v>0</v>
      </c>
      <c r="V425" s="7" t="s">
        <v>68</v>
      </c>
      <c r="W425" s="8" t="s">
        <v>66</v>
      </c>
      <c r="X425" s="21" t="str">
        <f>MID(J424,2,1)</f>
        <v>0</v>
      </c>
      <c r="Y425" s="26" t="str">
        <f t="shared" ref="Y425:Y431" si="404">X425</f>
        <v>0</v>
      </c>
      <c r="Z425" s="7" t="s">
        <v>68</v>
      </c>
      <c r="AA425" s="8" t="s">
        <v>66</v>
      </c>
      <c r="AB425" s="21" t="str">
        <f>MID(K424,2,1)</f>
        <v>0</v>
      </c>
      <c r="AC425" s="26" t="str">
        <f t="shared" ref="AC425:AC431" si="405">AB425</f>
        <v>0</v>
      </c>
      <c r="AD425" s="7" t="s">
        <v>68</v>
      </c>
      <c r="AE425" s="8" t="s">
        <v>66</v>
      </c>
      <c r="AF425" s="400"/>
      <c r="AG425" s="381"/>
      <c r="AH425" s="381"/>
      <c r="AI425" s="401"/>
      <c r="AJ425" s="400"/>
      <c r="AK425" s="401"/>
      <c r="AL425" s="501"/>
    </row>
    <row r="426" spans="3:38" x14ac:dyDescent="0.3">
      <c r="C426" s="7" t="s">
        <v>1678</v>
      </c>
      <c r="D426" s="333" t="str">
        <f>D423</f>
        <v/>
      </c>
      <c r="E426" s="333" t="str">
        <f>E423</f>
        <v/>
      </c>
      <c r="F426" s="99" t="str">
        <f>_xlfn.IFNA(MID(INDEX($A$3:$A$70,IF(ISNA(MATCH("720G4HD*",$A$3:$A$70,0))=TRUE,MATCH("7200429*",$A$3:$A$70,0),MATCH("720G4HD*",$A$3:$A$70,0))),$AS$8,2),"")</f>
        <v/>
      </c>
      <c r="G426" s="99" t="str">
        <f>_xlfn.IFNA(MID(INDEX($A$3:$A$70,IF(ISNA(MATCH("720G4HD*",$A$3:$A$70,0))=TRUE,MATCH("7200429*",$A$3:$A$70,0),MATCH("720G4HD*",$A$3:$A$70,0))),$AT$8,2),"")</f>
        <v/>
      </c>
      <c r="N426" s="8"/>
      <c r="P426" s="21" t="str">
        <f>MID(H424,3,1)</f>
        <v>0</v>
      </c>
      <c r="Q426" s="26" t="str">
        <f t="shared" si="402"/>
        <v>0</v>
      </c>
      <c r="R426" s="7" t="s">
        <v>69</v>
      </c>
      <c r="S426" s="8" t="s">
        <v>66</v>
      </c>
      <c r="T426" s="21" t="str">
        <f>MID(I424,3,1)</f>
        <v>0</v>
      </c>
      <c r="U426" s="26" t="str">
        <f t="shared" si="403"/>
        <v>0</v>
      </c>
      <c r="V426" s="7" t="s">
        <v>69</v>
      </c>
      <c r="W426" s="8" t="s">
        <v>66</v>
      </c>
      <c r="X426" s="21" t="str">
        <f>MID(J424,3,1)</f>
        <v>0</v>
      </c>
      <c r="Y426" s="26" t="str">
        <f t="shared" si="404"/>
        <v>0</v>
      </c>
      <c r="Z426" s="7" t="s">
        <v>69</v>
      </c>
      <c r="AA426" s="8" t="s">
        <v>66</v>
      </c>
      <c r="AB426" s="21" t="str">
        <f>MID(K424,3,1)</f>
        <v>0</v>
      </c>
      <c r="AC426" s="26" t="str">
        <f t="shared" si="405"/>
        <v>0</v>
      </c>
      <c r="AD426" s="7" t="s">
        <v>69</v>
      </c>
      <c r="AE426" s="8" t="s">
        <v>66</v>
      </c>
      <c r="AF426" s="400"/>
      <c r="AG426" s="381"/>
      <c r="AH426" s="381"/>
      <c r="AI426" s="401"/>
      <c r="AJ426" s="400"/>
      <c r="AK426" s="401"/>
      <c r="AL426" s="501"/>
    </row>
    <row r="427" spans="3:38" ht="15" thickBot="1" x14ac:dyDescent="0.35">
      <c r="C427" s="7"/>
      <c r="N427" s="8"/>
      <c r="P427" s="21" t="str">
        <f>MID(H424,4,1)</f>
        <v>0</v>
      </c>
      <c r="Q427" s="26" t="str">
        <f t="shared" si="402"/>
        <v>0</v>
      </c>
      <c r="R427" s="7" t="s">
        <v>70</v>
      </c>
      <c r="S427" s="8" t="s">
        <v>66</v>
      </c>
      <c r="T427" s="21" t="str">
        <f>MID(I424,4,1)</f>
        <v>0</v>
      </c>
      <c r="U427" s="26" t="str">
        <f t="shared" si="403"/>
        <v>0</v>
      </c>
      <c r="V427" s="7" t="s">
        <v>70</v>
      </c>
      <c r="W427" s="8" t="s">
        <v>66</v>
      </c>
      <c r="X427" s="21" t="str">
        <f>MID(J424,4,1)</f>
        <v>0</v>
      </c>
      <c r="Y427" s="26" t="str">
        <f t="shared" si="404"/>
        <v>0</v>
      </c>
      <c r="Z427" s="7" t="s">
        <v>70</v>
      </c>
      <c r="AA427" s="8" t="s">
        <v>66</v>
      </c>
      <c r="AB427" s="21" t="str">
        <f>MID(K424,4,1)</f>
        <v>0</v>
      </c>
      <c r="AC427" s="26" t="str">
        <f t="shared" si="405"/>
        <v>0</v>
      </c>
      <c r="AD427" s="7" t="s">
        <v>70</v>
      </c>
      <c r="AE427" s="8" t="s">
        <v>66</v>
      </c>
      <c r="AF427" s="400"/>
      <c r="AG427" s="381"/>
      <c r="AH427" s="381"/>
      <c r="AI427" s="401"/>
      <c r="AJ427" s="400"/>
      <c r="AK427" s="401"/>
      <c r="AL427" s="501"/>
    </row>
    <row r="428" spans="3:38" ht="15" thickBot="1" x14ac:dyDescent="0.35">
      <c r="C428" s="7" t="s">
        <v>56</v>
      </c>
      <c r="D428" s="15" t="str">
        <f>D423</f>
        <v/>
      </c>
      <c r="E428" s="16" t="str">
        <f>E423</f>
        <v/>
      </c>
      <c r="F428" s="16" t="str">
        <f>F423</f>
        <v/>
      </c>
      <c r="G428" s="17" t="str">
        <f>G423</f>
        <v/>
      </c>
      <c r="H428" s="23" t="str">
        <f>IF(J412="","",BIN2HEX(H429,2))</f>
        <v/>
      </c>
      <c r="I428" s="25" t="str">
        <f>IF(J412="","",BIN2HEX(I429,2))</f>
        <v/>
      </c>
      <c r="J428" s="24" t="str">
        <f>IF(J412="","",BIN2HEX(J429,2))</f>
        <v/>
      </c>
      <c r="K428" s="2" t="str">
        <f>IF(J412="","",BIN2HEX(K429,2))</f>
        <v/>
      </c>
      <c r="L428" s="49" t="str">
        <f>L423</f>
        <v/>
      </c>
      <c r="M428" s="3" t="str">
        <f>IF(J412="","",IF(LEN(M429)&gt;2,MID(M429,2,2),M429))</f>
        <v/>
      </c>
      <c r="N428" s="8" t="s">
        <v>61</v>
      </c>
      <c r="P428" s="21" t="str">
        <f>MID(H424,5,1)</f>
        <v>0</v>
      </c>
      <c r="Q428" s="26" t="str">
        <f t="shared" si="402"/>
        <v>0</v>
      </c>
      <c r="R428" s="7" t="s">
        <v>71</v>
      </c>
      <c r="S428" s="8" t="s">
        <v>66</v>
      </c>
      <c r="T428" s="21" t="str">
        <f>MID(I424,5,1)</f>
        <v>0</v>
      </c>
      <c r="U428" s="26" t="str">
        <f t="shared" si="403"/>
        <v>0</v>
      </c>
      <c r="V428" s="7" t="s">
        <v>71</v>
      </c>
      <c r="W428" s="8" t="s">
        <v>66</v>
      </c>
      <c r="X428" s="21" t="str">
        <f>MID(J424,5,1)</f>
        <v>0</v>
      </c>
      <c r="Y428" s="26" t="str">
        <f t="shared" si="404"/>
        <v>0</v>
      </c>
      <c r="Z428" s="7" t="s">
        <v>71</v>
      </c>
      <c r="AA428" s="8" t="s">
        <v>66</v>
      </c>
      <c r="AB428" s="21" t="str">
        <f>MID(K424,5,1)</f>
        <v>0</v>
      </c>
      <c r="AC428" s="26" t="str">
        <f t="shared" si="405"/>
        <v>0</v>
      </c>
      <c r="AD428" s="7" t="s">
        <v>71</v>
      </c>
      <c r="AE428" s="8" t="s">
        <v>66</v>
      </c>
      <c r="AF428" s="400"/>
      <c r="AG428" s="381"/>
      <c r="AH428" s="381"/>
      <c r="AI428" s="401"/>
      <c r="AJ428" s="400"/>
      <c r="AK428" s="401"/>
      <c r="AL428" s="501"/>
    </row>
    <row r="429" spans="3:38" x14ac:dyDescent="0.3">
      <c r="C429" s="7" t="s">
        <v>64</v>
      </c>
      <c r="D429" s="99" t="str">
        <f>HEX2BIN(D428,8)</f>
        <v>00000000</v>
      </c>
      <c r="E429" s="99" t="str">
        <f t="shared" ref="E429:G429" si="406">HEX2BIN(E428,8)</f>
        <v>00000000</v>
      </c>
      <c r="F429" s="99" t="str">
        <f t="shared" si="406"/>
        <v>00000000</v>
      </c>
      <c r="G429" s="99" t="str">
        <f t="shared" si="406"/>
        <v>00000000</v>
      </c>
      <c r="H429" s="29" t="str">
        <f>Q424&amp;Q425&amp;Q426&amp;Q427&amp;Q428&amp;Q429&amp;Q430&amp;Q431</f>
        <v>00000000</v>
      </c>
      <c r="I429" s="99" t="str">
        <f>U424&amp;U425&amp;U426&amp;U427&amp;U428&amp;U429&amp;U430&amp;U431</f>
        <v>00000000</v>
      </c>
      <c r="J429" s="29" t="str">
        <f>Y424&amp;Y425&amp;Y426&amp;Y427&amp;Y428&amp;Y429&amp;Y430&amp;Y431</f>
        <v>00000000</v>
      </c>
      <c r="K429" s="29" t="str">
        <f>AC424&amp;AC425&amp;AC426&amp;AC427&amp;AC428&amp;AC429&amp;AC430&amp;AC431</f>
        <v>00000000</v>
      </c>
      <c r="L429" s="99"/>
      <c r="M429" s="99" t="str">
        <f>DEC2HEX(M430)</f>
        <v>0</v>
      </c>
      <c r="N429" s="8"/>
      <c r="P429" s="21" t="str">
        <f>MID(H424,6,1)</f>
        <v>0</v>
      </c>
      <c r="Q429" s="26" t="str">
        <f t="shared" si="402"/>
        <v>0</v>
      </c>
      <c r="R429" s="7" t="s">
        <v>72</v>
      </c>
      <c r="S429" s="8" t="s">
        <v>66</v>
      </c>
      <c r="T429" s="21" t="str">
        <f>MID(I424,6,1)</f>
        <v>0</v>
      </c>
      <c r="U429" s="26" t="str">
        <f t="shared" si="403"/>
        <v>0</v>
      </c>
      <c r="V429" s="7" t="s">
        <v>72</v>
      </c>
      <c r="W429" s="8" t="s">
        <v>66</v>
      </c>
      <c r="X429" s="21" t="str">
        <f>MID(J424,6,1)</f>
        <v>0</v>
      </c>
      <c r="Y429" s="26" t="str">
        <f t="shared" si="404"/>
        <v>0</v>
      </c>
      <c r="Z429" s="7" t="s">
        <v>72</v>
      </c>
      <c r="AA429" s="8" t="s">
        <v>66</v>
      </c>
      <c r="AB429" s="21" t="str">
        <f>MID(K424,6,1)</f>
        <v>0</v>
      </c>
      <c r="AC429" s="26" t="str">
        <f t="shared" si="405"/>
        <v>0</v>
      </c>
      <c r="AD429" s="7" t="s">
        <v>72</v>
      </c>
      <c r="AE429" s="8" t="s">
        <v>66</v>
      </c>
      <c r="AF429" s="400"/>
      <c r="AG429" s="381"/>
      <c r="AH429" s="381"/>
      <c r="AI429" s="401"/>
      <c r="AJ429" s="400"/>
      <c r="AK429" s="401"/>
      <c r="AL429" s="501"/>
    </row>
    <row r="430" spans="3:38" x14ac:dyDescent="0.3">
      <c r="C430" s="7" t="s">
        <v>67</v>
      </c>
      <c r="D430" s="99">
        <f>HEX2DEC(D428)</f>
        <v>0</v>
      </c>
      <c r="E430" s="99">
        <f t="shared" ref="E430:L430" si="407">HEX2DEC(E428)</f>
        <v>0</v>
      </c>
      <c r="F430" s="99">
        <f t="shared" si="407"/>
        <v>0</v>
      </c>
      <c r="G430" s="99">
        <f t="shared" si="407"/>
        <v>0</v>
      </c>
      <c r="H430" s="99">
        <f t="shared" si="407"/>
        <v>0</v>
      </c>
      <c r="I430" s="99">
        <f t="shared" si="407"/>
        <v>0</v>
      </c>
      <c r="J430" s="99">
        <f t="shared" si="407"/>
        <v>0</v>
      </c>
      <c r="K430" s="99">
        <f t="shared" si="407"/>
        <v>0</v>
      </c>
      <c r="L430" s="99">
        <f t="shared" si="407"/>
        <v>0</v>
      </c>
      <c r="M430" s="99">
        <f>SUM(D430:L430)</f>
        <v>0</v>
      </c>
      <c r="N430" s="8"/>
      <c r="P430" s="21" t="str">
        <f>MID(H424,7,1)</f>
        <v>0</v>
      </c>
      <c r="Q430" s="26" t="str">
        <f t="shared" si="402"/>
        <v>0</v>
      </c>
      <c r="R430" s="7" t="s">
        <v>73</v>
      </c>
      <c r="S430" s="8" t="s">
        <v>66</v>
      </c>
      <c r="T430" s="21" t="str">
        <f>MID(I424,7,1)</f>
        <v>0</v>
      </c>
      <c r="U430" s="26" t="str">
        <f t="shared" si="403"/>
        <v>0</v>
      </c>
      <c r="V430" s="7" t="s">
        <v>73</v>
      </c>
      <c r="W430" s="8" t="s">
        <v>66</v>
      </c>
      <c r="X430" s="21" t="str">
        <f>MID(J424,7,1)</f>
        <v>0</v>
      </c>
      <c r="Y430" s="26" t="str">
        <f t="shared" si="404"/>
        <v>0</v>
      </c>
      <c r="Z430" s="7" t="s">
        <v>73</v>
      </c>
      <c r="AA430" s="8" t="s">
        <v>66</v>
      </c>
      <c r="AB430" s="21" t="str">
        <f>MID(K424,7,1)</f>
        <v>0</v>
      </c>
      <c r="AC430" s="26" t="str">
        <f t="shared" si="405"/>
        <v>0</v>
      </c>
      <c r="AD430" s="7" t="s">
        <v>73</v>
      </c>
      <c r="AE430" s="8" t="s">
        <v>66</v>
      </c>
      <c r="AF430" s="400"/>
      <c r="AG430" s="381"/>
      <c r="AH430" s="381"/>
      <c r="AI430" s="401"/>
      <c r="AJ430" s="400"/>
      <c r="AK430" s="401"/>
      <c r="AL430" s="501"/>
    </row>
    <row r="431" spans="3:38" ht="15" thickBot="1" x14ac:dyDescent="0.35">
      <c r="C431" s="9" t="s">
        <v>1678</v>
      </c>
      <c r="D431" s="334" t="str">
        <f>D426</f>
        <v/>
      </c>
      <c r="E431" s="334" t="str">
        <f t="shared" ref="E431:G431" si="408">E426</f>
        <v/>
      </c>
      <c r="F431" s="334" t="str">
        <f t="shared" si="408"/>
        <v/>
      </c>
      <c r="G431" s="334" t="str">
        <f t="shared" si="408"/>
        <v/>
      </c>
      <c r="H431" s="10"/>
      <c r="I431" s="10"/>
      <c r="J431" s="10"/>
      <c r="K431" s="10"/>
      <c r="L431" s="10"/>
      <c r="M431" s="10"/>
      <c r="N431" s="11"/>
      <c r="P431" s="22" t="str">
        <f>MID(H424,8,1)</f>
        <v>0</v>
      </c>
      <c r="Q431" s="55" t="str">
        <f t="shared" si="402"/>
        <v>0</v>
      </c>
      <c r="R431" s="9" t="s">
        <v>74</v>
      </c>
      <c r="S431" s="11" t="s">
        <v>66</v>
      </c>
      <c r="T431" s="22" t="str">
        <f>MID(I424,8,1)</f>
        <v>0</v>
      </c>
      <c r="U431" s="55" t="str">
        <f t="shared" si="403"/>
        <v>0</v>
      </c>
      <c r="V431" s="9" t="s">
        <v>74</v>
      </c>
      <c r="W431" s="11" t="s">
        <v>66</v>
      </c>
      <c r="X431" s="22" t="str">
        <f>MID(J424,8,1)</f>
        <v>0</v>
      </c>
      <c r="Y431" s="55" t="str">
        <f t="shared" si="404"/>
        <v>0</v>
      </c>
      <c r="Z431" s="9" t="s">
        <v>74</v>
      </c>
      <c r="AA431" s="11" t="s">
        <v>66</v>
      </c>
      <c r="AB431" s="22" t="str">
        <f>MID(K424,8,1)</f>
        <v>0</v>
      </c>
      <c r="AC431" s="55" t="str">
        <f t="shared" si="405"/>
        <v>0</v>
      </c>
      <c r="AD431" s="9" t="s">
        <v>74</v>
      </c>
      <c r="AE431" s="11" t="s">
        <v>66</v>
      </c>
      <c r="AF431" s="402"/>
      <c r="AG431" s="403"/>
      <c r="AH431" s="403"/>
      <c r="AI431" s="404"/>
      <c r="AJ431" s="402"/>
      <c r="AK431" s="404"/>
      <c r="AL431" s="501"/>
    </row>
    <row r="432" spans="3:38" ht="15" thickBot="1" x14ac:dyDescent="0.35">
      <c r="C432" s="4"/>
      <c r="D432" s="5"/>
      <c r="E432" s="5"/>
      <c r="F432" s="5"/>
      <c r="G432" s="5"/>
      <c r="H432" s="5"/>
      <c r="I432" s="5"/>
      <c r="J432" s="5"/>
      <c r="K432" s="5"/>
      <c r="L432" s="5"/>
      <c r="M432" s="5" t="s">
        <v>41</v>
      </c>
      <c r="N432" s="6"/>
      <c r="P432" s="530" t="s">
        <v>1810</v>
      </c>
      <c r="Q432" s="530"/>
      <c r="R432" s="530"/>
      <c r="S432" s="530"/>
      <c r="T432" s="530"/>
      <c r="U432" s="530"/>
      <c r="V432" s="530"/>
      <c r="W432" s="530"/>
      <c r="X432" s="530"/>
      <c r="Y432" s="530"/>
      <c r="Z432" s="530"/>
      <c r="AA432" s="530"/>
      <c r="AB432" s="530"/>
      <c r="AC432" s="530"/>
      <c r="AD432" s="530"/>
      <c r="AE432" s="530"/>
      <c r="AF432" s="530"/>
      <c r="AG432" s="530"/>
      <c r="AH432" s="530"/>
      <c r="AI432" s="530"/>
      <c r="AJ432" s="530"/>
      <c r="AK432" s="530"/>
      <c r="AL432" s="501"/>
    </row>
    <row r="433" spans="3:38" ht="15" thickBot="1" x14ac:dyDescent="0.35">
      <c r="C433" s="7"/>
      <c r="D433" s="393" t="s">
        <v>1553</v>
      </c>
      <c r="E433" s="393"/>
      <c r="F433" s="393"/>
      <c r="G433" s="393"/>
      <c r="H433" s="99" t="s">
        <v>44</v>
      </c>
      <c r="I433" s="99" t="s">
        <v>45</v>
      </c>
      <c r="J433" s="99" t="s">
        <v>46</v>
      </c>
      <c r="K433" s="99" t="s">
        <v>47</v>
      </c>
      <c r="L433" s="99" t="s">
        <v>48</v>
      </c>
      <c r="M433" s="99" t="s">
        <v>49</v>
      </c>
      <c r="N433" s="8"/>
      <c r="P433" s="394" t="s">
        <v>296</v>
      </c>
      <c r="Q433" s="395"/>
      <c r="R433" s="395"/>
      <c r="S433" s="396"/>
      <c r="T433" s="394" t="s">
        <v>51</v>
      </c>
      <c r="U433" s="395"/>
      <c r="V433" s="395"/>
      <c r="W433" s="396"/>
      <c r="X433" s="394" t="s">
        <v>52</v>
      </c>
      <c r="Y433" s="395"/>
      <c r="Z433" s="395"/>
      <c r="AA433" s="396"/>
      <c r="AB433" s="394" t="s">
        <v>53</v>
      </c>
      <c r="AC433" s="395"/>
      <c r="AD433" s="395"/>
      <c r="AE433" s="396"/>
      <c r="AF433" s="394" t="s">
        <v>97</v>
      </c>
      <c r="AG433" s="395"/>
      <c r="AH433" s="395"/>
      <c r="AI433" s="396"/>
      <c r="AJ433" s="394" t="s">
        <v>55</v>
      </c>
      <c r="AK433" s="396"/>
      <c r="AL433" s="501"/>
    </row>
    <row r="434" spans="3:38" ht="15" thickBot="1" x14ac:dyDescent="0.35">
      <c r="C434" s="7" t="s">
        <v>56</v>
      </c>
      <c r="D434" s="12" t="str">
        <f>IF(J412="","",7)</f>
        <v/>
      </c>
      <c r="E434" s="13" t="str">
        <f>IF(J412="","",20)</f>
        <v/>
      </c>
      <c r="F434" s="13" t="str">
        <f>IF(J412="","",4)</f>
        <v/>
      </c>
      <c r="G434" s="14" t="str">
        <f>IF(J412="","",30)</f>
        <v/>
      </c>
      <c r="H434" s="41" t="str" cm="1">
        <f t="array" ref="H434">_xlfn.IFNA(MID(INDEX($A$3:$A$70,IF(ISNA(MATCH("720G4HE*",$A$3:$A$70,0))=TRUE,MATCH("7200430*",$A$3:$A$70,0),MATCH("720G4HE*",$A$3:$A$70,0))),$AU$8,2),"")</f>
        <v/>
      </c>
      <c r="I434" s="42" t="str" cm="1">
        <f t="array" ref="I434">_xlfn.IFNA(MID(INDEX($A$3:$A$70,IF(ISNA(MATCH("720G4HE*",$A$3:$A$70,0))=TRUE,MATCH("7200430*",$A$3:$A$70,0),MATCH("720G4HE*",$A$3:$A$70,0))),$AV$8,2),"")</f>
        <v/>
      </c>
      <c r="J434" s="24" t="str" cm="1">
        <f t="array" ref="J434">_xlfn.IFNA(MID(INDEX($A$3:$A$70,IF(ISNA(MATCH("720G4HE*",$A$3:$A$70,0))=TRUE,MATCH("7200430*",$A$3:$A$70,0),MATCH("720G4HE*",$A$3:$A$70,0))),$AW$8,2),"")</f>
        <v/>
      </c>
      <c r="K434" s="42" t="str" cm="1">
        <f t="array" ref="K434">_xlfn.IFNA(MID(INDEX($A$3:$A$70,IF(ISNA(MATCH("720G4HE*",$A$3:$A$70,0))=TRUE,MATCH("7200430*",$A$3:$A$70,0),MATCH("720G4HE*",$A$3:$A$70,0))),$AX$8,2),"")</f>
        <v/>
      </c>
      <c r="L434" s="43" t="str" cm="1">
        <f t="array" ref="L434">_xlfn.IFNA(MID(INDEX($A$3:$A$70,IF(ISNA(MATCH("720G4HE*",$A$3:$A$70,0))=TRUE,MATCH("7200430*",$A$3:$A$70,0),MATCH("720G4HE*",$A$3:$A$70,0))),$AY$8,2),"")</f>
        <v/>
      </c>
      <c r="M434" s="44" t="str" cm="1">
        <f t="array" ref="M434">_xlfn.IFNA(MID(INDEX($A$3:$A$70,IF(ISNA(MATCH("720G4HE*",$A$3:$A$70,0))=TRUE,MATCH("7200430*",$A$3:$A$70,0),MATCH("720G4HE*",$A$3:$A$70,0))),$AZ$8,2),"")</f>
        <v/>
      </c>
      <c r="N434" s="8" t="s">
        <v>60</v>
      </c>
      <c r="P434" s="394"/>
      <c r="Q434" s="395"/>
      <c r="R434" s="395"/>
      <c r="S434" s="396"/>
      <c r="T434" s="19" t="s">
        <v>60</v>
      </c>
      <c r="U434" s="20" t="s">
        <v>61</v>
      </c>
      <c r="V434" t="s">
        <v>62</v>
      </c>
      <c r="W434" s="8"/>
      <c r="X434" s="19" t="s">
        <v>60</v>
      </c>
      <c r="Y434" s="20" t="s">
        <v>61</v>
      </c>
      <c r="Z434" t="s">
        <v>62</v>
      </c>
      <c r="AA434" s="8"/>
      <c r="AB434" s="19" t="s">
        <v>60</v>
      </c>
      <c r="AC434" s="20" t="s">
        <v>61</v>
      </c>
      <c r="AD434" t="s">
        <v>62</v>
      </c>
      <c r="AE434" s="8"/>
      <c r="AF434" s="19" t="s">
        <v>60</v>
      </c>
      <c r="AG434" s="20" t="s">
        <v>61</v>
      </c>
      <c r="AH434" t="s">
        <v>62</v>
      </c>
      <c r="AJ434" s="394" t="s">
        <v>63</v>
      </c>
      <c r="AK434" s="396"/>
      <c r="AL434" s="501"/>
    </row>
    <row r="435" spans="3:38" x14ac:dyDescent="0.3">
      <c r="C435" s="7" t="s">
        <v>64</v>
      </c>
      <c r="D435" s="99" t="str">
        <f>HEX2BIN(D434,8)</f>
        <v>00000000</v>
      </c>
      <c r="E435" s="99" t="str">
        <f t="shared" ref="E435:L435" si="409">HEX2BIN(E434,8)</f>
        <v>00000000</v>
      </c>
      <c r="F435" s="99" t="str">
        <f t="shared" si="409"/>
        <v>00000000</v>
      </c>
      <c r="G435" s="99" t="str">
        <f t="shared" si="409"/>
        <v>00000000</v>
      </c>
      <c r="H435" s="99" t="str">
        <f t="shared" si="409"/>
        <v>00000000</v>
      </c>
      <c r="I435" s="99" t="str">
        <f t="shared" si="409"/>
        <v>00000000</v>
      </c>
      <c r="J435" s="99" t="str">
        <f t="shared" si="409"/>
        <v>00000000</v>
      </c>
      <c r="K435" s="99" t="str">
        <f t="shared" si="409"/>
        <v>00000000</v>
      </c>
      <c r="L435" s="99" t="str">
        <f t="shared" si="409"/>
        <v>00000000</v>
      </c>
      <c r="N435" s="8"/>
      <c r="P435" s="400"/>
      <c r="Q435" s="381"/>
      <c r="R435" s="381"/>
      <c r="S435" s="401"/>
      <c r="T435" s="21" t="str">
        <f>MID(I435,1,1)</f>
        <v>0</v>
      </c>
      <c r="U435" s="26" t="str">
        <f>T435</f>
        <v>0</v>
      </c>
      <c r="V435" s="7" t="s">
        <v>65</v>
      </c>
      <c r="W435" s="301" t="s">
        <v>1326</v>
      </c>
      <c r="X435" s="21" t="str">
        <f>MID(J435,1,1)</f>
        <v>0</v>
      </c>
      <c r="Y435" s="26" t="str">
        <f>X435</f>
        <v>0</v>
      </c>
      <c r="Z435" s="7" t="s">
        <v>65</v>
      </c>
      <c r="AA435" s="301" t="s">
        <v>1326</v>
      </c>
      <c r="AB435" s="21" t="str">
        <f>MID(K435,1,1)</f>
        <v>0</v>
      </c>
      <c r="AC435" s="26" t="str">
        <f>AB435</f>
        <v>0</v>
      </c>
      <c r="AD435" s="7" t="s">
        <v>65</v>
      </c>
      <c r="AE435" s="301" t="s">
        <v>1326</v>
      </c>
      <c r="AF435" s="21" t="str">
        <f>MID(L435,1,1)</f>
        <v>0</v>
      </c>
      <c r="AG435" s="26" t="str">
        <f>AF435</f>
        <v>0</v>
      </c>
      <c r="AH435" s="7" t="s">
        <v>65</v>
      </c>
      <c r="AI435" s="301" t="s">
        <v>1326</v>
      </c>
      <c r="AJ435" s="400"/>
      <c r="AK435" s="401"/>
      <c r="AL435" s="501"/>
    </row>
    <row r="436" spans="3:38" x14ac:dyDescent="0.3">
      <c r="C436" s="7" t="s">
        <v>67</v>
      </c>
      <c r="D436" s="99">
        <f>HEX2DEC(D434)</f>
        <v>0</v>
      </c>
      <c r="E436" s="99">
        <f t="shared" ref="E436:L436" si="410">HEX2DEC(E434)</f>
        <v>0</v>
      </c>
      <c r="F436" s="99">
        <f t="shared" si="410"/>
        <v>0</v>
      </c>
      <c r="G436" s="99">
        <f t="shared" si="410"/>
        <v>0</v>
      </c>
      <c r="H436" s="99">
        <f t="shared" si="410"/>
        <v>0</v>
      </c>
      <c r="I436" s="99">
        <f t="shared" si="410"/>
        <v>0</v>
      </c>
      <c r="J436" s="99">
        <f t="shared" si="410"/>
        <v>0</v>
      </c>
      <c r="K436" s="99">
        <f t="shared" si="410"/>
        <v>0</v>
      </c>
      <c r="L436" s="99">
        <f t="shared" si="410"/>
        <v>0</v>
      </c>
      <c r="M436" s="99">
        <f>SUM(D436:L436)</f>
        <v>0</v>
      </c>
      <c r="N436" s="8"/>
      <c r="P436" s="400"/>
      <c r="Q436" s="381"/>
      <c r="R436" s="381"/>
      <c r="S436" s="401"/>
      <c r="T436" s="21" t="str">
        <f>MID(I435,2,1)</f>
        <v>0</v>
      </c>
      <c r="U436" s="26" t="str">
        <f t="shared" ref="U436:U442" si="411">T436</f>
        <v>0</v>
      </c>
      <c r="V436" s="7" t="s">
        <v>68</v>
      </c>
      <c r="W436" s="301" t="s">
        <v>1326</v>
      </c>
      <c r="X436" s="21" t="str">
        <f>MID(J435,2,1)</f>
        <v>0</v>
      </c>
      <c r="Y436" s="26" t="str">
        <f t="shared" ref="Y436:Y442" si="412">X436</f>
        <v>0</v>
      </c>
      <c r="Z436" s="7" t="s">
        <v>68</v>
      </c>
      <c r="AA436" s="301" t="s">
        <v>1326</v>
      </c>
      <c r="AB436" s="21" t="str">
        <f>MID(K435,2,1)</f>
        <v>0</v>
      </c>
      <c r="AC436" s="26" t="str">
        <f t="shared" ref="AC436:AC442" si="413">AB436</f>
        <v>0</v>
      </c>
      <c r="AD436" s="7" t="s">
        <v>68</v>
      </c>
      <c r="AE436" s="301" t="s">
        <v>1326</v>
      </c>
      <c r="AF436" s="21" t="str">
        <f>MID(L435,2,1)</f>
        <v>0</v>
      </c>
      <c r="AG436" s="26" t="str">
        <f t="shared" ref="AG436:AG442" si="414">AF436</f>
        <v>0</v>
      </c>
      <c r="AH436" s="7" t="s">
        <v>68</v>
      </c>
      <c r="AI436" s="301" t="s">
        <v>1326</v>
      </c>
      <c r="AJ436" s="400"/>
      <c r="AK436" s="401"/>
      <c r="AL436" s="501"/>
    </row>
    <row r="437" spans="3:38" x14ac:dyDescent="0.3">
      <c r="C437" s="7" t="s">
        <v>1678</v>
      </c>
      <c r="D437" s="333" t="str">
        <f>D434</f>
        <v/>
      </c>
      <c r="E437" s="333" t="str">
        <f>E434</f>
        <v/>
      </c>
      <c r="F437" s="99" t="str">
        <f>_xlfn.IFNA(MID(INDEX($A$3:$A$70,IF(ISNA(MATCH("720G4HE*",$A$3:$A$70,0))=TRUE,MATCH("7200430*",$A$3:$A$70,0),MATCH("720G4HE*",$A$3:$A$70,0))),$AS$8,2),"")</f>
        <v/>
      </c>
      <c r="G437" s="99" t="str">
        <f>_xlfn.IFNA(MID(INDEX($A$3:$A$70,IF(ISNA(MATCH("720G4HE*",$A$3:$A$70,0))=TRUE,MATCH("7200430*",$A$3:$A$70,0),MATCH("720G4HE*",$A$3:$A$70,0))),$AT$8,2),"")</f>
        <v/>
      </c>
      <c r="N437" s="8"/>
      <c r="P437" s="400"/>
      <c r="Q437" s="381"/>
      <c r="R437" s="381"/>
      <c r="S437" s="401"/>
      <c r="T437" s="21" t="str">
        <f>MID(I435,3,1)</f>
        <v>0</v>
      </c>
      <c r="U437" s="26" t="str">
        <f t="shared" si="411"/>
        <v>0</v>
      </c>
      <c r="V437" s="7" t="s">
        <v>69</v>
      </c>
      <c r="W437" s="301" t="s">
        <v>1326</v>
      </c>
      <c r="X437" s="21" t="str">
        <f>MID(J435,3,1)</f>
        <v>0</v>
      </c>
      <c r="Y437" s="26" t="str">
        <f t="shared" si="412"/>
        <v>0</v>
      </c>
      <c r="Z437" s="7" t="s">
        <v>69</v>
      </c>
      <c r="AA437" s="301" t="s">
        <v>1326</v>
      </c>
      <c r="AB437" s="21" t="str">
        <f>MID(K435,3,1)</f>
        <v>0</v>
      </c>
      <c r="AC437" s="26" t="str">
        <f t="shared" si="413"/>
        <v>0</v>
      </c>
      <c r="AD437" s="7" t="s">
        <v>69</v>
      </c>
      <c r="AE437" s="301" t="s">
        <v>1326</v>
      </c>
      <c r="AF437" s="21" t="str">
        <f>MID(L435,3,1)</f>
        <v>0</v>
      </c>
      <c r="AG437" s="26" t="str">
        <f t="shared" si="414"/>
        <v>0</v>
      </c>
      <c r="AH437" s="7" t="s">
        <v>69</v>
      </c>
      <c r="AI437" s="301" t="s">
        <v>1326</v>
      </c>
      <c r="AJ437" s="400"/>
      <c r="AK437" s="401"/>
      <c r="AL437" s="501"/>
    </row>
    <row r="438" spans="3:38" ht="15" thickBot="1" x14ac:dyDescent="0.35">
      <c r="C438" s="7"/>
      <c r="N438" s="8"/>
      <c r="P438" s="400"/>
      <c r="Q438" s="381"/>
      <c r="R438" s="381"/>
      <c r="S438" s="401"/>
      <c r="T438" s="21" t="str">
        <f>MID(I435,4,1)</f>
        <v>0</v>
      </c>
      <c r="U438" s="26" t="str">
        <f t="shared" si="411"/>
        <v>0</v>
      </c>
      <c r="V438" s="7" t="s">
        <v>70</v>
      </c>
      <c r="W438" s="301" t="s">
        <v>1326</v>
      </c>
      <c r="X438" s="21" t="str">
        <f>MID(J435,4,1)</f>
        <v>0</v>
      </c>
      <c r="Y438" s="26" t="str">
        <f t="shared" si="412"/>
        <v>0</v>
      </c>
      <c r="Z438" s="7" t="s">
        <v>70</v>
      </c>
      <c r="AA438" s="301" t="s">
        <v>1326</v>
      </c>
      <c r="AB438" s="21" t="str">
        <f>MID(K435,4,1)</f>
        <v>0</v>
      </c>
      <c r="AC438" s="26" t="str">
        <f t="shared" si="413"/>
        <v>0</v>
      </c>
      <c r="AD438" s="7" t="s">
        <v>70</v>
      </c>
      <c r="AE438" s="301" t="s">
        <v>1326</v>
      </c>
      <c r="AF438" s="21" t="str">
        <f>MID(L435,4,1)</f>
        <v>0</v>
      </c>
      <c r="AG438" s="26" t="str">
        <f t="shared" si="414"/>
        <v>0</v>
      </c>
      <c r="AH438" s="7" t="s">
        <v>70</v>
      </c>
      <c r="AI438" s="301" t="s">
        <v>1326</v>
      </c>
      <c r="AJ438" s="400"/>
      <c r="AK438" s="401"/>
      <c r="AL438" s="501"/>
    </row>
    <row r="439" spans="3:38" ht="15" thickBot="1" x14ac:dyDescent="0.35">
      <c r="C439" s="7" t="s">
        <v>56</v>
      </c>
      <c r="D439" s="15" t="str">
        <f>D434</f>
        <v/>
      </c>
      <c r="E439" s="16" t="str">
        <f>E434</f>
        <v/>
      </c>
      <c r="F439" s="16" t="str">
        <f>F434</f>
        <v/>
      </c>
      <c r="G439" s="17" t="str">
        <f>G434</f>
        <v/>
      </c>
      <c r="H439" s="50" t="str">
        <f>H434</f>
        <v/>
      </c>
      <c r="I439" s="25" t="str">
        <f>IF(J412="","",BIN2HEX(I440,2))</f>
        <v/>
      </c>
      <c r="J439" s="24" t="str">
        <f>IF(J412="","",BIN2HEX(J440,2))</f>
        <v/>
      </c>
      <c r="K439" s="2" t="str">
        <f>IF(J412="","",BIN2HEX(K440,2))</f>
        <v/>
      </c>
      <c r="L439" s="18" t="str">
        <f>IF(J412="","",BIN2HEX(L440,2))</f>
        <v/>
      </c>
      <c r="M439" s="3" t="str">
        <f>IF(J412="","",IF(LEN(M440)&gt;2,MID(M440,2,2),M440))</f>
        <v/>
      </c>
      <c r="N439" s="8" t="s">
        <v>61</v>
      </c>
      <c r="P439" s="400"/>
      <c r="Q439" s="381"/>
      <c r="R439" s="381"/>
      <c r="S439" s="401"/>
      <c r="T439" s="21" t="str">
        <f>MID(I435,5,1)</f>
        <v>0</v>
      </c>
      <c r="U439" s="26" t="str">
        <f t="shared" si="411"/>
        <v>0</v>
      </c>
      <c r="V439" s="7" t="s">
        <v>71</v>
      </c>
      <c r="W439" s="301" t="s">
        <v>1326</v>
      </c>
      <c r="X439" s="21" t="str">
        <f>MID(J435,5,1)</f>
        <v>0</v>
      </c>
      <c r="Y439" s="26" t="str">
        <f t="shared" si="412"/>
        <v>0</v>
      </c>
      <c r="Z439" s="7" t="s">
        <v>71</v>
      </c>
      <c r="AA439" s="301" t="s">
        <v>1326</v>
      </c>
      <c r="AB439" s="21" t="str">
        <f>MID(K435,5,1)</f>
        <v>0</v>
      </c>
      <c r="AC439" s="26" t="str">
        <f t="shared" si="413"/>
        <v>0</v>
      </c>
      <c r="AD439" s="7" t="s">
        <v>71</v>
      </c>
      <c r="AE439" s="301" t="s">
        <v>1326</v>
      </c>
      <c r="AF439" s="21" t="str">
        <f>MID(L435,5,1)</f>
        <v>0</v>
      </c>
      <c r="AG439" s="26" t="str">
        <f t="shared" si="414"/>
        <v>0</v>
      </c>
      <c r="AH439" s="7" t="s">
        <v>71</v>
      </c>
      <c r="AI439" s="301" t="s">
        <v>1326</v>
      </c>
      <c r="AJ439" s="400"/>
      <c r="AK439" s="401"/>
      <c r="AL439" s="501"/>
    </row>
    <row r="440" spans="3:38" x14ac:dyDescent="0.3">
      <c r="C440" s="7" t="s">
        <v>64</v>
      </c>
      <c r="D440" s="99" t="str">
        <f>HEX2BIN(D439,8)</f>
        <v>00000000</v>
      </c>
      <c r="E440" s="99" t="str">
        <f t="shared" ref="E440:G440" si="415">HEX2BIN(E439,8)</f>
        <v>00000000</v>
      </c>
      <c r="F440" s="99" t="str">
        <f t="shared" si="415"/>
        <v>00000000</v>
      </c>
      <c r="G440" s="99" t="str">
        <f t="shared" si="415"/>
        <v>00000000</v>
      </c>
      <c r="H440" s="29"/>
      <c r="I440" s="99" t="str">
        <f>U435&amp;U436&amp;U437&amp;U438&amp;U439&amp;U440&amp;U441&amp;U442</f>
        <v>00000000</v>
      </c>
      <c r="J440" s="29" t="str">
        <f>Y435&amp;Y436&amp;Y437&amp;Y438&amp;Y439&amp;Y440&amp;Y441&amp;Y442</f>
        <v>00000000</v>
      </c>
      <c r="K440" s="29" t="str">
        <f>AC435&amp;AC436&amp;AC437&amp;AC438&amp;AC439&amp;AC440&amp;AC441&amp;AC442</f>
        <v>00000000</v>
      </c>
      <c r="L440" s="99" t="str">
        <f>AG435&amp;AG436&amp;AG437&amp;AG438&amp;AG439&amp;AG440&amp;AG441&amp;AG442</f>
        <v>00000000</v>
      </c>
      <c r="M440" s="99" t="str">
        <f>DEC2HEX(M441)</f>
        <v>0</v>
      </c>
      <c r="N440" s="8"/>
      <c r="P440" s="400"/>
      <c r="Q440" s="381"/>
      <c r="R440" s="381"/>
      <c r="S440" s="401"/>
      <c r="T440" s="21" t="str">
        <f>MID(I435,6,1)</f>
        <v>0</v>
      </c>
      <c r="U440" s="26" t="str">
        <f t="shared" si="411"/>
        <v>0</v>
      </c>
      <c r="V440" s="7" t="s">
        <v>72</v>
      </c>
      <c r="W440" s="301" t="s">
        <v>1326</v>
      </c>
      <c r="X440" s="21" t="str">
        <f>MID(J435,6,1)</f>
        <v>0</v>
      </c>
      <c r="Y440" s="26" t="str">
        <f t="shared" si="412"/>
        <v>0</v>
      </c>
      <c r="Z440" s="7" t="s">
        <v>72</v>
      </c>
      <c r="AA440" s="301" t="s">
        <v>1326</v>
      </c>
      <c r="AB440" s="21" t="str">
        <f>MID(K435,6,1)</f>
        <v>0</v>
      </c>
      <c r="AC440" s="26" t="str">
        <f t="shared" si="413"/>
        <v>0</v>
      </c>
      <c r="AD440" s="7" t="s">
        <v>72</v>
      </c>
      <c r="AE440" s="301" t="s">
        <v>1326</v>
      </c>
      <c r="AF440" s="21" t="str">
        <f>MID(L435,6,1)</f>
        <v>0</v>
      </c>
      <c r="AG440" s="26" t="str">
        <f t="shared" si="414"/>
        <v>0</v>
      </c>
      <c r="AH440" s="7" t="s">
        <v>72</v>
      </c>
      <c r="AI440" s="301" t="s">
        <v>1326</v>
      </c>
      <c r="AJ440" s="400"/>
      <c r="AK440" s="401"/>
      <c r="AL440" s="501"/>
    </row>
    <row r="441" spans="3:38" x14ac:dyDescent="0.3">
      <c r="C441" s="7" t="s">
        <v>67</v>
      </c>
      <c r="D441" s="99">
        <f>HEX2DEC(D439)</f>
        <v>0</v>
      </c>
      <c r="E441" s="99">
        <f t="shared" ref="E441:L441" si="416">HEX2DEC(E439)</f>
        <v>0</v>
      </c>
      <c r="F441" s="99">
        <f t="shared" si="416"/>
        <v>0</v>
      </c>
      <c r="G441" s="99">
        <f t="shared" si="416"/>
        <v>0</v>
      </c>
      <c r="H441" s="99">
        <f t="shared" si="416"/>
        <v>0</v>
      </c>
      <c r="I441" s="99">
        <f t="shared" si="416"/>
        <v>0</v>
      </c>
      <c r="J441" s="99">
        <f t="shared" si="416"/>
        <v>0</v>
      </c>
      <c r="K441" s="99">
        <f t="shared" si="416"/>
        <v>0</v>
      </c>
      <c r="L441" s="99">
        <f t="shared" si="416"/>
        <v>0</v>
      </c>
      <c r="M441" s="99">
        <f>SUM(D441:L441)</f>
        <v>0</v>
      </c>
      <c r="N441" s="8"/>
      <c r="P441" s="400"/>
      <c r="Q441" s="381"/>
      <c r="R441" s="381"/>
      <c r="S441" s="401"/>
      <c r="T441" s="21" t="str">
        <f>MID(I435,7,1)</f>
        <v>0</v>
      </c>
      <c r="U441" s="26" t="str">
        <f t="shared" si="411"/>
        <v>0</v>
      </c>
      <c r="V441" s="7" t="s">
        <v>73</v>
      </c>
      <c r="W441" s="301" t="s">
        <v>1326</v>
      </c>
      <c r="X441" s="21" t="str">
        <f>MID(J435,7,1)</f>
        <v>0</v>
      </c>
      <c r="Y441" s="26" t="str">
        <f t="shared" si="412"/>
        <v>0</v>
      </c>
      <c r="Z441" s="7" t="s">
        <v>73</v>
      </c>
      <c r="AA441" s="301" t="s">
        <v>1326</v>
      </c>
      <c r="AB441" s="21" t="str">
        <f>MID(K435,7,1)</f>
        <v>0</v>
      </c>
      <c r="AC441" s="26" t="str">
        <f t="shared" si="413"/>
        <v>0</v>
      </c>
      <c r="AD441" s="7" t="s">
        <v>73</v>
      </c>
      <c r="AE441" s="301" t="s">
        <v>1326</v>
      </c>
      <c r="AF441" s="21" t="str">
        <f>MID(L435,7,1)</f>
        <v>0</v>
      </c>
      <c r="AG441" s="26" t="str">
        <f t="shared" si="414"/>
        <v>0</v>
      </c>
      <c r="AH441" s="7" t="s">
        <v>73</v>
      </c>
      <c r="AI441" s="301" t="s">
        <v>1326</v>
      </c>
      <c r="AJ441" s="400"/>
      <c r="AK441" s="401"/>
      <c r="AL441" s="501"/>
    </row>
    <row r="442" spans="3:38" ht="15" thickBot="1" x14ac:dyDescent="0.35">
      <c r="C442" s="9" t="s">
        <v>1678</v>
      </c>
      <c r="D442" s="334" t="str">
        <f>D437</f>
        <v/>
      </c>
      <c r="E442" s="334" t="str">
        <f t="shared" ref="E442:G442" si="417">E437</f>
        <v/>
      </c>
      <c r="F442" s="334" t="str">
        <f t="shared" si="417"/>
        <v/>
      </c>
      <c r="G442" s="334" t="str">
        <f t="shared" si="417"/>
        <v/>
      </c>
      <c r="H442" s="10"/>
      <c r="I442" s="10"/>
      <c r="J442" s="10"/>
      <c r="K442" s="10"/>
      <c r="L442" s="10"/>
      <c r="M442" s="10"/>
      <c r="N442" s="11"/>
      <c r="P442" s="402"/>
      <c r="Q442" s="403"/>
      <c r="R442" s="403"/>
      <c r="S442" s="404"/>
      <c r="T442" s="22" t="str">
        <f>MID(I435,8,1)</f>
        <v>0</v>
      </c>
      <c r="U442" s="55" t="str">
        <f t="shared" si="411"/>
        <v>0</v>
      </c>
      <c r="V442" s="9" t="s">
        <v>74</v>
      </c>
      <c r="W442" s="302" t="s">
        <v>1326</v>
      </c>
      <c r="X442" s="22" t="str">
        <f>MID(J435,8,1)</f>
        <v>0</v>
      </c>
      <c r="Y442" s="55" t="str">
        <f t="shared" si="412"/>
        <v>0</v>
      </c>
      <c r="Z442" s="9" t="s">
        <v>74</v>
      </c>
      <c r="AA442" s="302" t="s">
        <v>1326</v>
      </c>
      <c r="AB442" s="22" t="str">
        <f>MID(K435,8,1)</f>
        <v>0</v>
      </c>
      <c r="AC442" s="55" t="str">
        <f t="shared" si="413"/>
        <v>0</v>
      </c>
      <c r="AD442" s="9" t="s">
        <v>74</v>
      </c>
      <c r="AE442" s="302" t="s">
        <v>1326</v>
      </c>
      <c r="AF442" s="22" t="str">
        <f>MID(L435,8,1)</f>
        <v>0</v>
      </c>
      <c r="AG442" s="55" t="str">
        <f t="shared" si="414"/>
        <v>0</v>
      </c>
      <c r="AH442" s="9" t="s">
        <v>74</v>
      </c>
      <c r="AI442" s="302" t="s">
        <v>1326</v>
      </c>
      <c r="AJ442" s="402"/>
      <c r="AK442" s="404"/>
      <c r="AL442" s="501"/>
    </row>
    <row r="443" spans="3:38" ht="15" thickBot="1" x14ac:dyDescent="0.35">
      <c r="C443" s="4"/>
      <c r="D443" s="5"/>
      <c r="E443" s="5"/>
      <c r="F443" s="5"/>
      <c r="G443" s="5"/>
      <c r="H443" s="5"/>
      <c r="I443" s="5"/>
      <c r="J443" s="5"/>
      <c r="K443" s="5"/>
      <c r="L443" s="5"/>
      <c r="M443" s="5" t="s">
        <v>41</v>
      </c>
      <c r="N443" s="6"/>
      <c r="P443" s="530" t="s">
        <v>1811</v>
      </c>
      <c r="Q443" s="530"/>
      <c r="R443" s="530"/>
      <c r="S443" s="530"/>
      <c r="T443" s="530"/>
      <c r="U443" s="530"/>
      <c r="V443" s="530"/>
      <c r="W443" s="530"/>
      <c r="X443" s="530"/>
      <c r="Y443" s="530"/>
      <c r="Z443" s="530"/>
      <c r="AA443" s="530"/>
      <c r="AB443" s="530"/>
      <c r="AC443" s="530"/>
      <c r="AD443" s="530"/>
      <c r="AE443" s="530"/>
      <c r="AF443" s="530"/>
      <c r="AG443" s="530"/>
      <c r="AH443" s="530"/>
      <c r="AI443" s="530"/>
      <c r="AJ443" s="530"/>
      <c r="AK443" s="530"/>
      <c r="AL443" s="501"/>
    </row>
    <row r="444" spans="3:38" ht="15" thickBot="1" x14ac:dyDescent="0.35">
      <c r="C444" s="7"/>
      <c r="D444" s="393" t="s">
        <v>1552</v>
      </c>
      <c r="E444" s="393"/>
      <c r="F444" s="393"/>
      <c r="G444" s="393"/>
      <c r="H444" s="99" t="s">
        <v>44</v>
      </c>
      <c r="I444" s="99" t="s">
        <v>45</v>
      </c>
      <c r="J444" s="99" t="s">
        <v>46</v>
      </c>
      <c r="K444" s="99" t="s">
        <v>47</v>
      </c>
      <c r="L444" s="99" t="s">
        <v>48</v>
      </c>
      <c r="M444" s="99" t="s">
        <v>49</v>
      </c>
      <c r="N444" s="8"/>
      <c r="P444" s="394" t="s">
        <v>50</v>
      </c>
      <c r="Q444" s="395"/>
      <c r="R444" s="395"/>
      <c r="S444" s="396"/>
      <c r="T444" s="394" t="s">
        <v>51</v>
      </c>
      <c r="U444" s="395"/>
      <c r="V444" s="395"/>
      <c r="W444" s="396"/>
      <c r="X444" s="394" t="s">
        <v>255</v>
      </c>
      <c r="Y444" s="395"/>
      <c r="Z444" s="395"/>
      <c r="AA444" s="396"/>
      <c r="AB444" s="394" t="s">
        <v>297</v>
      </c>
      <c r="AC444" s="395"/>
      <c r="AD444" s="395"/>
      <c r="AE444" s="396"/>
      <c r="AF444" s="394" t="s">
        <v>97</v>
      </c>
      <c r="AG444" s="395"/>
      <c r="AH444" s="395"/>
      <c r="AI444" s="396"/>
      <c r="AJ444" s="394" t="s">
        <v>55</v>
      </c>
      <c r="AK444" s="396"/>
      <c r="AL444" s="501"/>
    </row>
    <row r="445" spans="3:38" ht="15" thickBot="1" x14ac:dyDescent="0.35">
      <c r="C445" s="7" t="s">
        <v>56</v>
      </c>
      <c r="D445" s="12" t="str">
        <f>IF(J412="","",7)</f>
        <v/>
      </c>
      <c r="E445" s="13" t="str">
        <f>IF(J412="","",20)</f>
        <v/>
      </c>
      <c r="F445" s="13" t="str">
        <f>IF(J412="","",4)</f>
        <v/>
      </c>
      <c r="G445" s="14" t="str">
        <f>IF(J412="","",31)</f>
        <v/>
      </c>
      <c r="H445" s="41" t="str" cm="1">
        <f t="array" ref="H445">_xlfn.IFNA(MID(INDEX($A$3:$A$70,IF(ISNA(MATCH("720G4HF*",$A$3:$A$70,0))=TRUE,MATCH("7200431*",$A$3:$A$70,0),MATCH("720G4HF*",$A$3:$A$70,0))),$AU$8,2),"")</f>
        <v/>
      </c>
      <c r="I445" s="42" t="str" cm="1">
        <f t="array" ref="I445">_xlfn.IFNA(MID(INDEX($A$3:$A$70,IF(ISNA(MATCH("720G4HF*",$A$3:$A$70,0))=TRUE,MATCH("7200431*",$A$3:$A$70,0),MATCH("720G4HF*",$A$3:$A$70,0))),$AV$8,2),"")</f>
        <v/>
      </c>
      <c r="J445" s="24" t="str" cm="1">
        <f t="array" ref="J445">_xlfn.IFNA(MID(INDEX($A$3:$A$70,IF(ISNA(MATCH("720G4HF*",$A$3:$A$70,0))=TRUE,MATCH("7200431*",$A$3:$A$70,0),MATCH("720G4HF*",$A$3:$A$70,0))),$AW$8,2),"")</f>
        <v/>
      </c>
      <c r="K445" s="42" t="str" cm="1">
        <f t="array" ref="K445">_xlfn.IFNA(MID(INDEX($A$3:$A$70,IF(ISNA(MATCH("720G4HF*",$A$3:$A$70,0))=TRUE,MATCH("7200431*",$A$3:$A$70,0),MATCH("720G4HF*",$A$3:$A$70,0))),$AX$8,2),"")</f>
        <v/>
      </c>
      <c r="L445" s="43" t="str" cm="1">
        <f t="array" ref="L445">_xlfn.IFNA(MID(INDEX($A$3:$A$70,IF(ISNA(MATCH("720G4HF*",$A$3:$A$70,0))=TRUE,MATCH("7200431*",$A$3:$A$70,0),MATCH("720G4HF*",$A$3:$A$70,0))),$AY$8,2),"")</f>
        <v/>
      </c>
      <c r="M445" s="44" t="str" cm="1">
        <f t="array" ref="M445">_xlfn.IFNA(MID(INDEX($A$3:$A$70,IF(ISNA(MATCH("720G4HF*",$A$3:$A$70,0))=TRUE,MATCH("7200431*",$A$3:$A$70,0),MATCH("720G4HF*",$A$3:$A$70,0))),$AZ$8,2),"")</f>
        <v/>
      </c>
      <c r="N445" s="8" t="s">
        <v>60</v>
      </c>
      <c r="P445" s="19" t="s">
        <v>60</v>
      </c>
      <c r="Q445" s="20" t="s">
        <v>61</v>
      </c>
      <c r="R445" t="s">
        <v>62</v>
      </c>
      <c r="S445" s="8"/>
      <c r="T445" s="19" t="s">
        <v>60</v>
      </c>
      <c r="U445" s="20" t="s">
        <v>61</v>
      </c>
      <c r="V445" t="s">
        <v>62</v>
      </c>
      <c r="W445" s="8"/>
      <c r="X445" s="394"/>
      <c r="Y445" s="395"/>
      <c r="Z445" s="395"/>
      <c r="AA445" s="396"/>
      <c r="AB445" s="394"/>
      <c r="AC445" s="395"/>
      <c r="AD445" s="395"/>
      <c r="AE445" s="396"/>
      <c r="AF445" s="19" t="s">
        <v>60</v>
      </c>
      <c r="AG445" s="20" t="s">
        <v>61</v>
      </c>
      <c r="AH445" t="s">
        <v>62</v>
      </c>
      <c r="AJ445" s="394" t="s">
        <v>63</v>
      </c>
      <c r="AK445" s="396"/>
      <c r="AL445" s="501"/>
    </row>
    <row r="446" spans="3:38" x14ac:dyDescent="0.3">
      <c r="C446" s="7" t="s">
        <v>64</v>
      </c>
      <c r="D446" s="99" t="str">
        <f>HEX2BIN(D445,8)</f>
        <v>00000000</v>
      </c>
      <c r="E446" s="99" t="str">
        <f t="shared" ref="E446:L446" si="418">HEX2BIN(E445,8)</f>
        <v>00000000</v>
      </c>
      <c r="F446" s="99" t="str">
        <f t="shared" si="418"/>
        <v>00000000</v>
      </c>
      <c r="G446" s="99" t="str">
        <f t="shared" si="418"/>
        <v>00000000</v>
      </c>
      <c r="H446" s="99" t="str">
        <f t="shared" si="418"/>
        <v>00000000</v>
      </c>
      <c r="I446" s="99" t="str">
        <f t="shared" si="418"/>
        <v>00000000</v>
      </c>
      <c r="J446" s="99" t="str">
        <f t="shared" si="418"/>
        <v>00000000</v>
      </c>
      <c r="K446" s="99" t="str">
        <f t="shared" si="418"/>
        <v>00000000</v>
      </c>
      <c r="L446" s="99" t="str">
        <f t="shared" si="418"/>
        <v>00000000</v>
      </c>
      <c r="N446" s="8"/>
      <c r="P446" s="21" t="str">
        <f>MID(H446,1,1)</f>
        <v>0</v>
      </c>
      <c r="Q446" s="26" t="str">
        <f>P446</f>
        <v>0</v>
      </c>
      <c r="R446" s="7" t="s">
        <v>65</v>
      </c>
      <c r="S446" s="301" t="s">
        <v>1326</v>
      </c>
      <c r="T446" s="21" t="str">
        <f>MID(I446,1,1)</f>
        <v>0</v>
      </c>
      <c r="U446" s="26" t="str">
        <f>T446</f>
        <v>0</v>
      </c>
      <c r="V446" s="7" t="s">
        <v>65</v>
      </c>
      <c r="W446" s="301" t="s">
        <v>1326</v>
      </c>
      <c r="X446" s="400"/>
      <c r="Y446" s="381"/>
      <c r="Z446" s="381"/>
      <c r="AA446" s="401"/>
      <c r="AB446" s="400"/>
      <c r="AC446" s="381"/>
      <c r="AD446" s="381"/>
      <c r="AE446" s="401"/>
      <c r="AF446" s="21" t="str">
        <f>MID(L446,1,1)</f>
        <v>0</v>
      </c>
      <c r="AG446" s="26" t="str">
        <f>AF446</f>
        <v>0</v>
      </c>
      <c r="AH446" s="7" t="s">
        <v>65</v>
      </c>
      <c r="AI446" s="301" t="s">
        <v>1326</v>
      </c>
      <c r="AJ446" s="400"/>
      <c r="AK446" s="401"/>
      <c r="AL446" s="501"/>
    </row>
    <row r="447" spans="3:38" x14ac:dyDescent="0.3">
      <c r="C447" s="7" t="s">
        <v>67</v>
      </c>
      <c r="D447" s="99">
        <f>HEX2DEC(D445)</f>
        <v>0</v>
      </c>
      <c r="E447" s="99">
        <f t="shared" ref="E447:L447" si="419">HEX2DEC(E445)</f>
        <v>0</v>
      </c>
      <c r="F447" s="99">
        <f t="shared" si="419"/>
        <v>0</v>
      </c>
      <c r="G447" s="99">
        <f t="shared" si="419"/>
        <v>0</v>
      </c>
      <c r="H447" s="99">
        <f t="shared" si="419"/>
        <v>0</v>
      </c>
      <c r="I447" s="99">
        <f t="shared" si="419"/>
        <v>0</v>
      </c>
      <c r="J447" s="99">
        <f t="shared" si="419"/>
        <v>0</v>
      </c>
      <c r="K447" s="99">
        <f t="shared" si="419"/>
        <v>0</v>
      </c>
      <c r="L447" s="99">
        <f t="shared" si="419"/>
        <v>0</v>
      </c>
      <c r="M447" s="99">
        <f>SUM(D447:L447)</f>
        <v>0</v>
      </c>
      <c r="N447" s="8"/>
      <c r="P447" s="21" t="str">
        <f>MID(H446,2,1)</f>
        <v>0</v>
      </c>
      <c r="Q447" s="26" t="str">
        <f t="shared" ref="Q447:Q453" si="420">P447</f>
        <v>0</v>
      </c>
      <c r="R447" s="7" t="s">
        <v>68</v>
      </c>
      <c r="S447" s="301" t="s">
        <v>1326</v>
      </c>
      <c r="T447" s="21" t="str">
        <f>MID(I446,2,1)</f>
        <v>0</v>
      </c>
      <c r="U447" s="26" t="str">
        <f t="shared" ref="U447:U453" si="421">T447</f>
        <v>0</v>
      </c>
      <c r="V447" s="7" t="s">
        <v>68</v>
      </c>
      <c r="W447" s="301" t="s">
        <v>1326</v>
      </c>
      <c r="X447" s="400"/>
      <c r="Y447" s="381"/>
      <c r="Z447" s="381"/>
      <c r="AA447" s="401"/>
      <c r="AB447" s="400"/>
      <c r="AC447" s="381"/>
      <c r="AD447" s="381"/>
      <c r="AE447" s="401"/>
      <c r="AF447" s="21" t="str">
        <f>MID(L446,2,1)</f>
        <v>0</v>
      </c>
      <c r="AG447" s="26" t="str">
        <f t="shared" ref="AG447:AG453" si="422">AF447</f>
        <v>0</v>
      </c>
      <c r="AH447" s="7" t="s">
        <v>68</v>
      </c>
      <c r="AI447" s="301" t="s">
        <v>1326</v>
      </c>
      <c r="AJ447" s="400"/>
      <c r="AK447" s="401"/>
      <c r="AL447" s="501"/>
    </row>
    <row r="448" spans="3:38" x14ac:dyDescent="0.3">
      <c r="C448" s="7" t="s">
        <v>1678</v>
      </c>
      <c r="D448" s="333" t="str">
        <f>D445</f>
        <v/>
      </c>
      <c r="E448" s="333" t="str">
        <f>E445</f>
        <v/>
      </c>
      <c r="F448" s="99" t="str">
        <f>_xlfn.IFNA(MID(INDEX($A$3:$A$70,IF(ISNA(MATCH("720G4HF*",$A$3:$A$70,0))=TRUE,MATCH("7200431*",$A$3:$A$70,0),MATCH("720G4HF*",$A$3:$A$70,0))),$AS$8,2),"")</f>
        <v/>
      </c>
      <c r="G448" s="99" t="str">
        <f>_xlfn.IFNA(MID(INDEX($A$3:$A$70,IF(ISNA(MATCH("720G4HF*",$A$3:$A$70,0))=TRUE,MATCH("7200431*",$A$3:$A$70,0),MATCH("720G4HF*",$A$3:$A$70,0))),$AT$8,2),"")</f>
        <v/>
      </c>
      <c r="N448" s="8"/>
      <c r="P448" s="21" t="str">
        <f>MID(H446,3,1)</f>
        <v>0</v>
      </c>
      <c r="Q448" s="26" t="str">
        <f t="shared" si="420"/>
        <v>0</v>
      </c>
      <c r="R448" s="7" t="s">
        <v>69</v>
      </c>
      <c r="S448" s="301" t="s">
        <v>1326</v>
      </c>
      <c r="T448" s="21" t="str">
        <f>MID(I446,3,1)</f>
        <v>0</v>
      </c>
      <c r="U448" s="26" t="str">
        <f t="shared" si="421"/>
        <v>0</v>
      </c>
      <c r="V448" s="7" t="s">
        <v>69</v>
      </c>
      <c r="W448" s="301" t="s">
        <v>1326</v>
      </c>
      <c r="X448" s="400"/>
      <c r="Y448" s="381"/>
      <c r="Z448" s="381"/>
      <c r="AA448" s="401"/>
      <c r="AB448" s="400"/>
      <c r="AC448" s="381"/>
      <c r="AD448" s="381"/>
      <c r="AE448" s="401"/>
      <c r="AF448" s="21" t="str">
        <f>MID(L446,3,1)</f>
        <v>0</v>
      </c>
      <c r="AG448" s="26" t="str">
        <f t="shared" si="422"/>
        <v>0</v>
      </c>
      <c r="AH448" s="7" t="s">
        <v>69</v>
      </c>
      <c r="AI448" s="301" t="s">
        <v>1326</v>
      </c>
      <c r="AJ448" s="400"/>
      <c r="AK448" s="401"/>
      <c r="AL448" s="501"/>
    </row>
    <row r="449" spans="3:38" ht="15" thickBot="1" x14ac:dyDescent="0.35">
      <c r="C449" s="7"/>
      <c r="N449" s="8"/>
      <c r="P449" s="21" t="str">
        <f>MID(H446,4,1)</f>
        <v>0</v>
      </c>
      <c r="Q449" s="26" t="str">
        <f t="shared" si="420"/>
        <v>0</v>
      </c>
      <c r="R449" s="7" t="s">
        <v>70</v>
      </c>
      <c r="S449" s="301" t="s">
        <v>1326</v>
      </c>
      <c r="T449" s="21" t="str">
        <f>MID(I446,4,1)</f>
        <v>0</v>
      </c>
      <c r="U449" s="26" t="str">
        <f t="shared" si="421"/>
        <v>0</v>
      </c>
      <c r="V449" s="7" t="s">
        <v>70</v>
      </c>
      <c r="W449" s="301" t="s">
        <v>1326</v>
      </c>
      <c r="X449" s="400"/>
      <c r="Y449" s="381"/>
      <c r="Z449" s="381"/>
      <c r="AA449" s="401"/>
      <c r="AB449" s="400"/>
      <c r="AC449" s="381"/>
      <c r="AD449" s="381"/>
      <c r="AE449" s="401"/>
      <c r="AF449" s="21" t="str">
        <f>MID(L446,4,1)</f>
        <v>0</v>
      </c>
      <c r="AG449" s="26" t="str">
        <f t="shared" si="422"/>
        <v>0</v>
      </c>
      <c r="AH449" s="7" t="s">
        <v>70</v>
      </c>
      <c r="AI449" s="301" t="s">
        <v>1326</v>
      </c>
      <c r="AJ449" s="400"/>
      <c r="AK449" s="401"/>
      <c r="AL449" s="501"/>
    </row>
    <row r="450" spans="3:38" ht="15" thickBot="1" x14ac:dyDescent="0.35">
      <c r="C450" s="7" t="s">
        <v>56</v>
      </c>
      <c r="D450" s="15" t="str">
        <f>D445</f>
        <v/>
      </c>
      <c r="E450" s="16" t="str">
        <f>E445</f>
        <v/>
      </c>
      <c r="F450" s="16" t="str">
        <f>F445</f>
        <v/>
      </c>
      <c r="G450" s="17" t="str">
        <f>G445</f>
        <v/>
      </c>
      <c r="H450" s="23" t="str">
        <f>IF(J412="","",BIN2HEX(H451,2))</f>
        <v/>
      </c>
      <c r="I450" s="25" t="str">
        <f>IF(J412="","",BIN2HEX(I451,2))</f>
        <v/>
      </c>
      <c r="J450" s="48" t="str">
        <f>J445</f>
        <v/>
      </c>
      <c r="K450" s="47" t="str">
        <f>K445</f>
        <v/>
      </c>
      <c r="L450" s="18" t="str">
        <f>IF(J412="","",BIN2HEX(L451,2))</f>
        <v/>
      </c>
      <c r="M450" s="3" t="str">
        <f>IF(J412="","",IF(LEN(M451)&gt;2,MID(M451,2,2),M451))</f>
        <v/>
      </c>
      <c r="N450" s="8" t="s">
        <v>61</v>
      </c>
      <c r="P450" s="21" t="str">
        <f>MID(H446,5,1)</f>
        <v>0</v>
      </c>
      <c r="Q450" s="26" t="str">
        <f t="shared" si="420"/>
        <v>0</v>
      </c>
      <c r="R450" s="7" t="s">
        <v>71</v>
      </c>
      <c r="S450" s="301" t="s">
        <v>1326</v>
      </c>
      <c r="T450" s="21" t="str">
        <f>MID(I446,5,1)</f>
        <v>0</v>
      </c>
      <c r="U450" s="26" t="str">
        <f t="shared" si="421"/>
        <v>0</v>
      </c>
      <c r="V450" s="7" t="s">
        <v>71</v>
      </c>
      <c r="W450" s="301" t="s">
        <v>1326</v>
      </c>
      <c r="X450" s="400"/>
      <c r="Y450" s="381"/>
      <c r="Z450" s="381"/>
      <c r="AA450" s="401"/>
      <c r="AB450" s="400"/>
      <c r="AC450" s="381"/>
      <c r="AD450" s="381"/>
      <c r="AE450" s="401"/>
      <c r="AF450" s="21" t="str">
        <f>MID(L446,5,1)</f>
        <v>0</v>
      </c>
      <c r="AG450" s="26" t="str">
        <f t="shared" si="422"/>
        <v>0</v>
      </c>
      <c r="AH450" s="7" t="s">
        <v>71</v>
      </c>
      <c r="AI450" s="301" t="s">
        <v>1326</v>
      </c>
      <c r="AJ450" s="400"/>
      <c r="AK450" s="401"/>
      <c r="AL450" s="501"/>
    </row>
    <row r="451" spans="3:38" x14ac:dyDescent="0.3">
      <c r="C451" s="7" t="s">
        <v>64</v>
      </c>
      <c r="D451" s="99" t="str">
        <f>HEX2BIN(D450,8)</f>
        <v>00000000</v>
      </c>
      <c r="E451" s="99" t="str">
        <f t="shared" ref="E451:G451" si="423">HEX2BIN(E450,8)</f>
        <v>00000000</v>
      </c>
      <c r="F451" s="99" t="str">
        <f t="shared" si="423"/>
        <v>00000000</v>
      </c>
      <c r="G451" s="99" t="str">
        <f t="shared" si="423"/>
        <v>00000000</v>
      </c>
      <c r="H451" s="29" t="str">
        <f>Q446&amp;Q447&amp;Q448&amp;Q449&amp;Q450&amp;Q451&amp;Q452&amp;Q453</f>
        <v>00000000</v>
      </c>
      <c r="I451" s="99" t="str">
        <f>U446&amp;U447&amp;U448&amp;U449&amp;U450&amp;U451&amp;U452&amp;U453</f>
        <v>00000000</v>
      </c>
      <c r="J451" s="29"/>
      <c r="K451" s="29"/>
      <c r="L451" s="99" t="str">
        <f>AG446&amp;AG447&amp;AG448&amp;AG449&amp;AG450&amp;AG451&amp;AG452&amp;AG453</f>
        <v>00000000</v>
      </c>
      <c r="M451" s="99" t="str">
        <f>DEC2HEX(M452)</f>
        <v>0</v>
      </c>
      <c r="N451" s="8"/>
      <c r="P451" s="21" t="str">
        <f>MID(H446,6,1)</f>
        <v>0</v>
      </c>
      <c r="Q451" s="26" t="str">
        <f t="shared" si="420"/>
        <v>0</v>
      </c>
      <c r="R451" s="7" t="s">
        <v>72</v>
      </c>
      <c r="S451" s="301" t="s">
        <v>1326</v>
      </c>
      <c r="T451" s="21" t="str">
        <f>MID(I446,6,1)</f>
        <v>0</v>
      </c>
      <c r="U451" s="26" t="str">
        <f t="shared" si="421"/>
        <v>0</v>
      </c>
      <c r="V451" s="7" t="s">
        <v>72</v>
      </c>
      <c r="W451" s="301" t="s">
        <v>1326</v>
      </c>
      <c r="X451" s="400"/>
      <c r="Y451" s="381"/>
      <c r="Z451" s="381"/>
      <c r="AA451" s="401"/>
      <c r="AB451" s="400"/>
      <c r="AC451" s="381"/>
      <c r="AD451" s="381"/>
      <c r="AE451" s="401"/>
      <c r="AF451" s="21" t="str">
        <f>MID(L446,6,1)</f>
        <v>0</v>
      </c>
      <c r="AG451" s="26" t="str">
        <f t="shared" si="422"/>
        <v>0</v>
      </c>
      <c r="AH451" s="7" t="s">
        <v>72</v>
      </c>
      <c r="AI451" s="301" t="s">
        <v>1326</v>
      </c>
      <c r="AJ451" s="400"/>
      <c r="AK451" s="401"/>
      <c r="AL451" s="501"/>
    </row>
    <row r="452" spans="3:38" x14ac:dyDescent="0.3">
      <c r="C452" s="7" t="s">
        <v>67</v>
      </c>
      <c r="D452" s="99">
        <f>HEX2DEC(D450)</f>
        <v>0</v>
      </c>
      <c r="E452" s="99">
        <f t="shared" ref="E452:L452" si="424">HEX2DEC(E450)</f>
        <v>0</v>
      </c>
      <c r="F452" s="99">
        <f t="shared" si="424"/>
        <v>0</v>
      </c>
      <c r="G452" s="99">
        <f t="shared" si="424"/>
        <v>0</v>
      </c>
      <c r="H452" s="99">
        <f t="shared" si="424"/>
        <v>0</v>
      </c>
      <c r="I452" s="99">
        <f t="shared" si="424"/>
        <v>0</v>
      </c>
      <c r="J452" s="99">
        <f t="shared" si="424"/>
        <v>0</v>
      </c>
      <c r="K452" s="99">
        <f t="shared" si="424"/>
        <v>0</v>
      </c>
      <c r="L452" s="99">
        <f t="shared" si="424"/>
        <v>0</v>
      </c>
      <c r="M452" s="99">
        <f>SUM(D452:L452)</f>
        <v>0</v>
      </c>
      <c r="N452" s="8"/>
      <c r="P452" s="21" t="str">
        <f>MID(H446,7,1)</f>
        <v>0</v>
      </c>
      <c r="Q452" s="26" t="str">
        <f t="shared" si="420"/>
        <v>0</v>
      </c>
      <c r="R452" s="7" t="s">
        <v>73</v>
      </c>
      <c r="S452" s="301" t="s">
        <v>1326</v>
      </c>
      <c r="T452" s="21" t="str">
        <f>MID(I446,7,1)</f>
        <v>0</v>
      </c>
      <c r="U452" s="26" t="str">
        <f t="shared" si="421"/>
        <v>0</v>
      </c>
      <c r="V452" s="7" t="s">
        <v>73</v>
      </c>
      <c r="W452" s="301" t="s">
        <v>1326</v>
      </c>
      <c r="X452" s="400"/>
      <c r="Y452" s="381"/>
      <c r="Z452" s="381"/>
      <c r="AA452" s="401"/>
      <c r="AB452" s="400"/>
      <c r="AC452" s="381"/>
      <c r="AD452" s="381"/>
      <c r="AE452" s="401"/>
      <c r="AF452" s="21" t="str">
        <f>MID(L446,7,1)</f>
        <v>0</v>
      </c>
      <c r="AG452" s="26" t="str">
        <f t="shared" si="422"/>
        <v>0</v>
      </c>
      <c r="AH452" s="7" t="s">
        <v>73</v>
      </c>
      <c r="AI452" s="301" t="s">
        <v>1326</v>
      </c>
      <c r="AJ452" s="400"/>
      <c r="AK452" s="401"/>
      <c r="AL452" s="501"/>
    </row>
    <row r="453" spans="3:38" ht="15" thickBot="1" x14ac:dyDescent="0.35">
      <c r="C453" s="9" t="s">
        <v>1678</v>
      </c>
      <c r="D453" s="334" t="str">
        <f>D448</f>
        <v/>
      </c>
      <c r="E453" s="334" t="str">
        <f t="shared" ref="E453:G453" si="425">E448</f>
        <v/>
      </c>
      <c r="F453" s="334" t="str">
        <f t="shared" si="425"/>
        <v/>
      </c>
      <c r="G453" s="334" t="str">
        <f t="shared" si="425"/>
        <v/>
      </c>
      <c r="H453" s="10"/>
      <c r="I453" s="10"/>
      <c r="J453" s="10"/>
      <c r="K453" s="10"/>
      <c r="L453" s="10"/>
      <c r="M453" s="10"/>
      <c r="N453" s="11"/>
      <c r="P453" s="22" t="str">
        <f>MID(H446,8,1)</f>
        <v>0</v>
      </c>
      <c r="Q453" s="55" t="str">
        <f t="shared" si="420"/>
        <v>0</v>
      </c>
      <c r="R453" s="9" t="s">
        <v>74</v>
      </c>
      <c r="S453" s="302" t="s">
        <v>1326</v>
      </c>
      <c r="T453" s="22" t="str">
        <f>MID(I446,8,1)</f>
        <v>0</v>
      </c>
      <c r="U453" s="55" t="str">
        <f t="shared" si="421"/>
        <v>0</v>
      </c>
      <c r="V453" s="9" t="s">
        <v>74</v>
      </c>
      <c r="W453" s="302" t="s">
        <v>1326</v>
      </c>
      <c r="X453" s="402"/>
      <c r="Y453" s="403"/>
      <c r="Z453" s="403"/>
      <c r="AA453" s="404"/>
      <c r="AB453" s="402"/>
      <c r="AC453" s="403"/>
      <c r="AD453" s="403"/>
      <c r="AE453" s="404"/>
      <c r="AF453" s="22" t="str">
        <f>MID(L446,8,1)</f>
        <v>0</v>
      </c>
      <c r="AG453" s="55" t="str">
        <f t="shared" si="422"/>
        <v>0</v>
      </c>
      <c r="AH453" s="9" t="s">
        <v>74</v>
      </c>
      <c r="AI453" s="302" t="s">
        <v>1326</v>
      </c>
      <c r="AJ453" s="402"/>
      <c r="AK453" s="404"/>
      <c r="AL453" s="501"/>
    </row>
    <row r="454" spans="3:38" ht="15" thickBot="1" x14ac:dyDescent="0.35">
      <c r="C454" s="4"/>
      <c r="D454" s="5"/>
      <c r="E454" s="5"/>
      <c r="F454" s="5"/>
      <c r="G454" s="5"/>
      <c r="H454" s="5"/>
      <c r="I454" s="5"/>
      <c r="J454" s="5"/>
      <c r="K454" s="5"/>
      <c r="L454" s="5"/>
      <c r="M454" s="5" t="s">
        <v>41</v>
      </c>
      <c r="N454" s="6"/>
      <c r="P454" s="530" t="s">
        <v>1812</v>
      </c>
      <c r="Q454" s="530"/>
      <c r="R454" s="530"/>
      <c r="S454" s="530"/>
      <c r="T454" s="530"/>
      <c r="U454" s="530"/>
      <c r="V454" s="530"/>
      <c r="W454" s="530"/>
      <c r="X454" s="530"/>
      <c r="Y454" s="530"/>
      <c r="Z454" s="530"/>
      <c r="AA454" s="530"/>
      <c r="AB454" s="530"/>
      <c r="AC454" s="530"/>
      <c r="AD454" s="530"/>
      <c r="AE454" s="530"/>
      <c r="AF454" s="530"/>
      <c r="AG454" s="530"/>
      <c r="AH454" s="530"/>
      <c r="AI454" s="530"/>
      <c r="AJ454" s="530"/>
      <c r="AK454" s="530"/>
      <c r="AL454" s="501"/>
    </row>
    <row r="455" spans="3:38" ht="15" thickBot="1" x14ac:dyDescent="0.35">
      <c r="C455" s="7"/>
      <c r="D455" s="393" t="s">
        <v>1551</v>
      </c>
      <c r="E455" s="393"/>
      <c r="F455" s="393"/>
      <c r="G455" s="393"/>
      <c r="H455" s="99" t="s">
        <v>44</v>
      </c>
      <c r="I455" s="99" t="s">
        <v>45</v>
      </c>
      <c r="J455" s="99" t="s">
        <v>46</v>
      </c>
      <c r="K455" s="99" t="s">
        <v>47</v>
      </c>
      <c r="L455" s="99" t="s">
        <v>48</v>
      </c>
      <c r="M455" s="99" t="s">
        <v>49</v>
      </c>
      <c r="N455" s="8"/>
      <c r="P455" s="394" t="s">
        <v>50</v>
      </c>
      <c r="Q455" s="395"/>
      <c r="R455" s="395"/>
      <c r="S455" s="396"/>
      <c r="T455" s="394" t="s">
        <v>51</v>
      </c>
      <c r="U455" s="395"/>
      <c r="V455" s="395"/>
      <c r="W455" s="396"/>
      <c r="X455" s="394" t="s">
        <v>52</v>
      </c>
      <c r="Y455" s="395"/>
      <c r="Z455" s="395"/>
      <c r="AA455" s="396"/>
      <c r="AB455" s="394" t="s">
        <v>53</v>
      </c>
      <c r="AC455" s="395"/>
      <c r="AD455" s="395"/>
      <c r="AE455" s="396"/>
      <c r="AF455" s="394" t="s">
        <v>97</v>
      </c>
      <c r="AG455" s="395"/>
      <c r="AH455" s="395"/>
      <c r="AI455" s="396"/>
      <c r="AJ455" s="394" t="s">
        <v>55</v>
      </c>
      <c r="AK455" s="396"/>
      <c r="AL455" s="501"/>
    </row>
    <row r="456" spans="3:38" ht="15" thickBot="1" x14ac:dyDescent="0.35">
      <c r="C456" s="7" t="s">
        <v>56</v>
      </c>
      <c r="D456" s="12" t="str">
        <f>IF(J412="","",7)</f>
        <v/>
      </c>
      <c r="E456" s="13" t="str">
        <f>IF(J412="","",20)</f>
        <v/>
      </c>
      <c r="F456" s="13" t="str">
        <f>IF(J412="","",4)</f>
        <v/>
      </c>
      <c r="G456" s="14" t="str">
        <f>IF(J412="","",32)</f>
        <v/>
      </c>
      <c r="H456" s="41" t="str" cm="1">
        <f t="array" ref="H456">_xlfn.IFNA(MID(INDEX($A$3:$A$70,IF(ISNA(MATCH("720G4I0*",$A$3:$A$70,0))=TRUE,MATCH("7200432*",$A$3:$A$70,0),MATCH("720G4I0*",$A$3:$A$70,0))),$AU$8,2),"")</f>
        <v/>
      </c>
      <c r="I456" s="42" t="str" cm="1">
        <f t="array" ref="I456">_xlfn.IFNA(MID(INDEX($A$3:$A$70,IF(ISNA(MATCH("720G4I0*",$A$3:$A$70,0))=TRUE,MATCH("7200432*",$A$3:$A$70,0),MATCH("720G4I0*",$A$3:$A$70,0))),$AV$8,2),"")</f>
        <v/>
      </c>
      <c r="J456" s="24" t="str" cm="1">
        <f t="array" ref="J456">_xlfn.IFNA(MID(INDEX($A$3:$A$70,IF(ISNA(MATCH("720G4I0*",$A$3:$A$70,0))=TRUE,MATCH("7200432*",$A$3:$A$70,0),MATCH("720G4I0*",$A$3:$A$70,0))),$AW$8,2),"")</f>
        <v/>
      </c>
      <c r="K456" s="42" t="str" cm="1">
        <f t="array" ref="K456">_xlfn.IFNA(MID(INDEX($A$3:$A$70,IF(ISNA(MATCH("720G4I0*",$A$3:$A$70,0))=TRUE,MATCH("7200432*",$A$3:$A$70,0),MATCH("720G4I0*",$A$3:$A$70,0))),$AX$8,2),"")</f>
        <v/>
      </c>
      <c r="L456" s="43" t="str" cm="1">
        <f t="array" ref="L456">_xlfn.IFNA(MID(INDEX($A$3:$A$70,IF(ISNA(MATCH("720G4I0*",$A$3:$A$70,0))=TRUE,MATCH("7200432*",$A$3:$A$70,0),MATCH("720G4I0*",$A$3:$A$70,0))),$AY$8,2),"")</f>
        <v/>
      </c>
      <c r="M456" s="44" t="str" cm="1">
        <f t="array" ref="M456">_xlfn.IFNA(MID(INDEX($A$3:$A$70,IF(ISNA(MATCH("720G4I0*",$A$3:$A$70,0))=TRUE,MATCH("7200432*",$A$3:$A$70,0),MATCH("720G4I0*",$A$3:$A$70,0))),$AZ$8,2),"")</f>
        <v/>
      </c>
      <c r="N456" s="8" t="s">
        <v>60</v>
      </c>
      <c r="P456" s="19" t="s">
        <v>60</v>
      </c>
      <c r="Q456" s="20" t="s">
        <v>61</v>
      </c>
      <c r="R456" t="s">
        <v>62</v>
      </c>
      <c r="S456" s="8"/>
      <c r="T456" s="19" t="s">
        <v>60</v>
      </c>
      <c r="U456" s="20" t="s">
        <v>61</v>
      </c>
      <c r="V456" t="s">
        <v>62</v>
      </c>
      <c r="W456" s="8"/>
      <c r="X456" s="19" t="s">
        <v>60</v>
      </c>
      <c r="Y456" s="20" t="s">
        <v>61</v>
      </c>
      <c r="Z456" t="s">
        <v>62</v>
      </c>
      <c r="AA456" s="8"/>
      <c r="AB456" s="19" t="s">
        <v>60</v>
      </c>
      <c r="AC456" s="20" t="s">
        <v>61</v>
      </c>
      <c r="AD456" t="s">
        <v>62</v>
      </c>
      <c r="AE456" s="8"/>
      <c r="AF456" s="19" t="s">
        <v>60</v>
      </c>
      <c r="AG456" s="20" t="s">
        <v>61</v>
      </c>
      <c r="AH456" t="s">
        <v>62</v>
      </c>
      <c r="AJ456" s="394" t="s">
        <v>63</v>
      </c>
      <c r="AK456" s="396"/>
      <c r="AL456" s="501"/>
    </row>
    <row r="457" spans="3:38" x14ac:dyDescent="0.3">
      <c r="C457" s="7" t="s">
        <v>64</v>
      </c>
      <c r="D457" s="99" t="str">
        <f>HEX2BIN(D456,8)</f>
        <v>00000000</v>
      </c>
      <c r="E457" s="99" t="str">
        <f t="shared" ref="E457:L457" si="426">HEX2BIN(E456,8)</f>
        <v>00000000</v>
      </c>
      <c r="F457" s="99" t="str">
        <f t="shared" si="426"/>
        <v>00000000</v>
      </c>
      <c r="G457" s="99" t="str">
        <f t="shared" si="426"/>
        <v>00000000</v>
      </c>
      <c r="H457" s="99" t="str">
        <f t="shared" si="426"/>
        <v>00000000</v>
      </c>
      <c r="I457" s="99" t="str">
        <f t="shared" si="426"/>
        <v>00000000</v>
      </c>
      <c r="J457" s="99" t="str">
        <f t="shared" si="426"/>
        <v>00000000</v>
      </c>
      <c r="K457" s="99" t="str">
        <f t="shared" si="426"/>
        <v>00000000</v>
      </c>
      <c r="L457" s="99" t="str">
        <f t="shared" si="426"/>
        <v>00000000</v>
      </c>
      <c r="N457" s="8"/>
      <c r="P457" s="21" t="str">
        <f>MID(H457,1,1)</f>
        <v>0</v>
      </c>
      <c r="Q457" s="26" t="str">
        <f>P457</f>
        <v>0</v>
      </c>
      <c r="R457" s="7" t="s">
        <v>65</v>
      </c>
      <c r="S457" s="301" t="s">
        <v>1326</v>
      </c>
      <c r="T457" s="21" t="str">
        <f>MID(I457,1,1)</f>
        <v>0</v>
      </c>
      <c r="U457" s="26" t="str">
        <f>T457</f>
        <v>0</v>
      </c>
      <c r="V457" s="7" t="s">
        <v>65</v>
      </c>
      <c r="W457" s="301" t="s">
        <v>1326</v>
      </c>
      <c r="X457" s="21" t="str">
        <f>MID(J457,1,1)</f>
        <v>0</v>
      </c>
      <c r="Y457" s="26" t="str">
        <f>X457</f>
        <v>0</v>
      </c>
      <c r="Z457" s="7" t="s">
        <v>65</v>
      </c>
      <c r="AA457" s="301" t="s">
        <v>1326</v>
      </c>
      <c r="AB457" s="21" t="str">
        <f>MID(K457,1,1)</f>
        <v>0</v>
      </c>
      <c r="AC457" s="26" t="str">
        <f>AB457</f>
        <v>0</v>
      </c>
      <c r="AD457" s="7" t="s">
        <v>65</v>
      </c>
      <c r="AE457" s="8" t="s">
        <v>66</v>
      </c>
      <c r="AF457" s="21" t="str">
        <f>MID(L457,1,1)</f>
        <v>0</v>
      </c>
      <c r="AG457" s="26" t="str">
        <f>AF457</f>
        <v>0</v>
      </c>
      <c r="AH457" s="7" t="s">
        <v>65</v>
      </c>
      <c r="AI457" s="301" t="s">
        <v>1326</v>
      </c>
      <c r="AJ457" s="400"/>
      <c r="AK457" s="401"/>
      <c r="AL457" s="501"/>
    </row>
    <row r="458" spans="3:38" ht="15" customHeight="1" x14ac:dyDescent="0.3">
      <c r="C458" s="7" t="s">
        <v>67</v>
      </c>
      <c r="D458" s="99">
        <f>HEX2DEC(D456)</f>
        <v>0</v>
      </c>
      <c r="E458" s="99">
        <f t="shared" ref="E458:L458" si="427">HEX2DEC(E456)</f>
        <v>0</v>
      </c>
      <c r="F458" s="99">
        <f t="shared" si="427"/>
        <v>0</v>
      </c>
      <c r="G458" s="99">
        <f t="shared" si="427"/>
        <v>0</v>
      </c>
      <c r="H458" s="99">
        <f t="shared" si="427"/>
        <v>0</v>
      </c>
      <c r="I458" s="99">
        <f t="shared" si="427"/>
        <v>0</v>
      </c>
      <c r="J458" s="99">
        <f t="shared" si="427"/>
        <v>0</v>
      </c>
      <c r="K458" s="99">
        <f t="shared" si="427"/>
        <v>0</v>
      </c>
      <c r="L458" s="99">
        <f t="shared" si="427"/>
        <v>0</v>
      </c>
      <c r="M458" s="99">
        <f>SUM(D458:L458)</f>
        <v>0</v>
      </c>
      <c r="N458" s="8"/>
      <c r="P458" s="21" t="str">
        <f>MID(H457,2,1)</f>
        <v>0</v>
      </c>
      <c r="Q458" s="26" t="str">
        <f t="shared" ref="Q458:Q464" si="428">P458</f>
        <v>0</v>
      </c>
      <c r="R458" s="7" t="s">
        <v>68</v>
      </c>
      <c r="S458" s="288" t="s">
        <v>1327</v>
      </c>
      <c r="T458" s="21" t="str">
        <f>MID(I457,2,1)</f>
        <v>0</v>
      </c>
      <c r="U458" s="26" t="str">
        <f t="shared" ref="U458:U464" si="429">T458</f>
        <v>0</v>
      </c>
      <c r="V458" s="7" t="s">
        <v>68</v>
      </c>
      <c r="W458" s="301" t="s">
        <v>1326</v>
      </c>
      <c r="X458" s="21" t="str">
        <f>MID(J457,2,1)</f>
        <v>0</v>
      </c>
      <c r="Y458" s="26" t="str">
        <f t="shared" ref="Y458:Y464" si="430">X458</f>
        <v>0</v>
      </c>
      <c r="Z458" s="7" t="s">
        <v>68</v>
      </c>
      <c r="AA458" s="564" t="s">
        <v>1331</v>
      </c>
      <c r="AB458" s="21" t="str">
        <f>MID(K457,2,1)</f>
        <v>0</v>
      </c>
      <c r="AC458" s="26" t="str">
        <f t="shared" ref="AC458:AC464" si="431">AB458</f>
        <v>0</v>
      </c>
      <c r="AD458" s="7" t="s">
        <v>68</v>
      </c>
      <c r="AE458" s="301" t="s">
        <v>1326</v>
      </c>
      <c r="AF458" s="21" t="str">
        <f>MID(L457,2,1)</f>
        <v>0</v>
      </c>
      <c r="AG458" s="26" t="str">
        <f t="shared" ref="AG458:AG464" si="432">AF458</f>
        <v>0</v>
      </c>
      <c r="AH458" s="7" t="s">
        <v>68</v>
      </c>
      <c r="AI458" s="301" t="s">
        <v>1326</v>
      </c>
      <c r="AJ458" s="400"/>
      <c r="AK458" s="401"/>
      <c r="AL458" s="501"/>
    </row>
    <row r="459" spans="3:38" x14ac:dyDescent="0.3">
      <c r="C459" s="7" t="s">
        <v>1678</v>
      </c>
      <c r="D459" s="333" t="str">
        <f>D456</f>
        <v/>
      </c>
      <c r="E459" s="333" t="str">
        <f>E456</f>
        <v/>
      </c>
      <c r="F459" s="99" t="str">
        <f>_xlfn.IFNA(MID(INDEX($A$3:$A$70,IF(ISNA(MATCH("720G4I0*",$A$3:$A$70,0))=TRUE,MATCH("7200432*",$A$3:$A$70,0),MATCH("720G4I0*",$A$3:$A$70,0))),$AS$8,2),"")</f>
        <v/>
      </c>
      <c r="G459" s="99" t="str">
        <f>_xlfn.IFNA(MID(INDEX($A$3:$A$70,IF(ISNA(MATCH("720G4I0*",$A$3:$A$70,0))=TRUE,MATCH("7200432*",$A$3:$A$70,0),MATCH("720G4I0*",$A$3:$A$70,0))),$AT$8,2),"")</f>
        <v/>
      </c>
      <c r="N459" s="8"/>
      <c r="P459" s="21" t="str">
        <f>MID(H457,3,1)</f>
        <v>0</v>
      </c>
      <c r="Q459" s="26" t="str">
        <f t="shared" si="428"/>
        <v>0</v>
      </c>
      <c r="R459" s="7" t="s">
        <v>69</v>
      </c>
      <c r="S459" s="301" t="s">
        <v>1326</v>
      </c>
      <c r="T459" s="21" t="str">
        <f>MID(I457,3,1)</f>
        <v>0</v>
      </c>
      <c r="U459" s="26" t="str">
        <f t="shared" si="429"/>
        <v>0</v>
      </c>
      <c r="V459" s="7" t="s">
        <v>69</v>
      </c>
      <c r="W459" s="301" t="s">
        <v>1326</v>
      </c>
      <c r="X459" s="21" t="str">
        <f>MID(J457,3,1)</f>
        <v>0</v>
      </c>
      <c r="Y459" s="26" t="str">
        <f t="shared" si="430"/>
        <v>0</v>
      </c>
      <c r="Z459" s="7" t="s">
        <v>69</v>
      </c>
      <c r="AA459" s="565"/>
      <c r="AB459" s="21" t="str">
        <f>MID(K457,3,1)</f>
        <v>0</v>
      </c>
      <c r="AC459" s="26" t="str">
        <f t="shared" si="431"/>
        <v>0</v>
      </c>
      <c r="AD459" s="7" t="s">
        <v>69</v>
      </c>
      <c r="AE459" s="285" t="s">
        <v>1332</v>
      </c>
      <c r="AF459" s="21" t="str">
        <f>MID(L457,3,1)</f>
        <v>0</v>
      </c>
      <c r="AG459" s="26" t="str">
        <f t="shared" si="432"/>
        <v>0</v>
      </c>
      <c r="AH459" s="7" t="s">
        <v>69</v>
      </c>
      <c r="AI459" s="285" t="s">
        <v>1328</v>
      </c>
      <c r="AJ459" s="400"/>
      <c r="AK459" s="401"/>
      <c r="AL459" s="501"/>
    </row>
    <row r="460" spans="3:38" ht="15" thickBot="1" x14ac:dyDescent="0.35">
      <c r="C460" s="7"/>
      <c r="N460" s="8"/>
      <c r="P460" s="21" t="str">
        <f>MID(H457,4,1)</f>
        <v>0</v>
      </c>
      <c r="Q460" s="26" t="str">
        <f t="shared" si="428"/>
        <v>0</v>
      </c>
      <c r="R460" s="7" t="s">
        <v>70</v>
      </c>
      <c r="S460" s="301" t="s">
        <v>1326</v>
      </c>
      <c r="T460" s="21" t="str">
        <f>MID(I457,4,1)</f>
        <v>0</v>
      </c>
      <c r="U460" s="26" t="str">
        <f t="shared" si="429"/>
        <v>0</v>
      </c>
      <c r="V460" s="7" t="s">
        <v>70</v>
      </c>
      <c r="W460" s="301" t="s">
        <v>1326</v>
      </c>
      <c r="X460" s="21" t="str">
        <f>MID(J457,4,1)</f>
        <v>0</v>
      </c>
      <c r="Y460" s="26" t="str">
        <f t="shared" si="430"/>
        <v>0</v>
      </c>
      <c r="Z460" s="7" t="s">
        <v>70</v>
      </c>
      <c r="AA460" s="301" t="s">
        <v>1326</v>
      </c>
      <c r="AB460" s="21" t="str">
        <f>MID(K457,4,1)</f>
        <v>0</v>
      </c>
      <c r="AC460" s="26" t="str">
        <f t="shared" si="431"/>
        <v>0</v>
      </c>
      <c r="AD460" s="7" t="s">
        <v>70</v>
      </c>
      <c r="AE460" s="285" t="s">
        <v>1333</v>
      </c>
      <c r="AF460" s="21" t="str">
        <f>MID(L457,4,1)</f>
        <v>0</v>
      </c>
      <c r="AG460" s="26" t="str">
        <f t="shared" si="432"/>
        <v>0</v>
      </c>
      <c r="AH460" s="7" t="s">
        <v>70</v>
      </c>
      <c r="AI460" s="301" t="s">
        <v>1326</v>
      </c>
      <c r="AJ460" s="400"/>
      <c r="AK460" s="401"/>
      <c r="AL460" s="501"/>
    </row>
    <row r="461" spans="3:38" ht="15" thickBot="1" x14ac:dyDescent="0.35">
      <c r="C461" s="7" t="s">
        <v>56</v>
      </c>
      <c r="D461" s="15" t="str">
        <f>D456</f>
        <v/>
      </c>
      <c r="E461" s="16" t="str">
        <f>E456</f>
        <v/>
      </c>
      <c r="F461" s="16" t="str">
        <f>F456</f>
        <v/>
      </c>
      <c r="G461" s="17" t="str">
        <f>G456</f>
        <v/>
      </c>
      <c r="H461" s="23" t="str">
        <f>IF(J412="","",BIN2HEX(H462,2))</f>
        <v/>
      </c>
      <c r="I461" s="25" t="str">
        <f>IF(J412="","",BIN2HEX(I462,2))</f>
        <v/>
      </c>
      <c r="J461" s="24" t="str">
        <f>IF(J412="","",BIN2HEX(J462,2))</f>
        <v/>
      </c>
      <c r="K461" s="2" t="str">
        <f>IF(J412="","",BIN2HEX(K462,2))</f>
        <v/>
      </c>
      <c r="L461" s="18" t="str">
        <f>IF(J412="","",BIN2HEX(L462,2))</f>
        <v/>
      </c>
      <c r="M461" s="3" t="str">
        <f>IF(J412="","",IF(LEN(M462)&gt;2,MID(M462,2,2),M462))</f>
        <v/>
      </c>
      <c r="N461" s="8" t="s">
        <v>61</v>
      </c>
      <c r="P461" s="21" t="str">
        <f>MID(H457,5,1)</f>
        <v>0</v>
      </c>
      <c r="Q461" s="26" t="str">
        <f t="shared" si="428"/>
        <v>0</v>
      </c>
      <c r="R461" s="7" t="s">
        <v>71</v>
      </c>
      <c r="S461" s="301" t="s">
        <v>1326</v>
      </c>
      <c r="T461" s="21" t="str">
        <f>MID(I457,5,1)</f>
        <v>0</v>
      </c>
      <c r="U461" s="26" t="str">
        <f t="shared" si="429"/>
        <v>0</v>
      </c>
      <c r="V461" s="7" t="s">
        <v>71</v>
      </c>
      <c r="W461" s="285" t="s">
        <v>1328</v>
      </c>
      <c r="X461" s="21" t="str">
        <f>MID(J457,5,1)</f>
        <v>0</v>
      </c>
      <c r="Y461" s="26" t="str">
        <f t="shared" si="430"/>
        <v>0</v>
      </c>
      <c r="Z461" s="7" t="s">
        <v>71</v>
      </c>
      <c r="AA461" s="285" t="s">
        <v>1330</v>
      </c>
      <c r="AB461" s="21" t="str">
        <f>MID(K457,5,1)</f>
        <v>0</v>
      </c>
      <c r="AC461" s="26" t="str">
        <f t="shared" si="431"/>
        <v>0</v>
      </c>
      <c r="AD461" s="7" t="s">
        <v>71</v>
      </c>
      <c r="AE461" s="301" t="s">
        <v>1326</v>
      </c>
      <c r="AF461" s="21" t="str">
        <f>MID(L457,5,1)</f>
        <v>0</v>
      </c>
      <c r="AG461" s="26" t="str">
        <f t="shared" si="432"/>
        <v>0</v>
      </c>
      <c r="AH461" s="7" t="s">
        <v>71</v>
      </c>
      <c r="AI461" s="285" t="s">
        <v>1328</v>
      </c>
      <c r="AJ461" s="400"/>
      <c r="AK461" s="401"/>
      <c r="AL461" s="501"/>
    </row>
    <row r="462" spans="3:38" x14ac:dyDescent="0.3">
      <c r="C462" s="7" t="s">
        <v>64</v>
      </c>
      <c r="D462" s="99" t="str">
        <f>HEX2BIN(D461,8)</f>
        <v>00000000</v>
      </c>
      <c r="E462" s="99" t="str">
        <f t="shared" ref="E462:G462" si="433">HEX2BIN(E461,8)</f>
        <v>00000000</v>
      </c>
      <c r="F462" s="99" t="str">
        <f t="shared" si="433"/>
        <v>00000000</v>
      </c>
      <c r="G462" s="99" t="str">
        <f t="shared" si="433"/>
        <v>00000000</v>
      </c>
      <c r="H462" s="29" t="str">
        <f>Q457&amp;Q458&amp;Q459&amp;Q460&amp;Q461&amp;Q462&amp;Q463&amp;Q464</f>
        <v>00000000</v>
      </c>
      <c r="I462" s="99" t="str">
        <f>U457&amp;U458&amp;U459&amp;U460&amp;U461&amp;U462&amp;U463&amp;U464</f>
        <v>00000000</v>
      </c>
      <c r="J462" s="29" t="str">
        <f>Y457&amp;Y458&amp;Y459&amp;Y460&amp;Y461&amp;Y462&amp;Y463&amp;Y464</f>
        <v>00000000</v>
      </c>
      <c r="K462" s="29" t="str">
        <f>AC457&amp;AC458&amp;AC459&amp;AC460&amp;AC461&amp;AC462&amp;AC463&amp;AC464</f>
        <v>00000000</v>
      </c>
      <c r="L462" s="99" t="str">
        <f>AG457&amp;AG458&amp;AG459&amp;AG460&amp;AG461&amp;AG462&amp;AG463&amp;AG464</f>
        <v>00000000</v>
      </c>
      <c r="M462" s="99" t="str">
        <f>DEC2HEX(M463)</f>
        <v>0</v>
      </c>
      <c r="N462" s="8"/>
      <c r="P462" s="21" t="str">
        <f>MID(H457,6,1)</f>
        <v>0</v>
      </c>
      <c r="Q462" s="26" t="str">
        <f t="shared" si="428"/>
        <v>0</v>
      </c>
      <c r="R462" s="7" t="s">
        <v>72</v>
      </c>
      <c r="S462" s="301" t="s">
        <v>1326</v>
      </c>
      <c r="T462" s="21" t="str">
        <f>MID(I457,6,1)</f>
        <v>0</v>
      </c>
      <c r="U462" s="26" t="str">
        <f t="shared" si="429"/>
        <v>0</v>
      </c>
      <c r="V462" s="7" t="s">
        <v>72</v>
      </c>
      <c r="W462" s="285" t="s">
        <v>1329</v>
      </c>
      <c r="X462" s="21" t="str">
        <f>MID(J457,6,1)</f>
        <v>0</v>
      </c>
      <c r="Y462" s="26" t="str">
        <f t="shared" si="430"/>
        <v>0</v>
      </c>
      <c r="Z462" s="7" t="s">
        <v>72</v>
      </c>
      <c r="AA462" s="301" t="s">
        <v>1326</v>
      </c>
      <c r="AB462" s="21" t="str">
        <f>MID(K457,6,1)</f>
        <v>0</v>
      </c>
      <c r="AC462" s="26" t="str">
        <f t="shared" si="431"/>
        <v>0</v>
      </c>
      <c r="AD462" s="7" t="s">
        <v>72</v>
      </c>
      <c r="AE462" s="301" t="s">
        <v>1326</v>
      </c>
      <c r="AF462" s="21" t="str">
        <f>MID(L457,6,1)</f>
        <v>0</v>
      </c>
      <c r="AG462" s="26" t="str">
        <f t="shared" si="432"/>
        <v>0</v>
      </c>
      <c r="AH462" s="7" t="s">
        <v>72</v>
      </c>
      <c r="AI462" s="301" t="s">
        <v>1326</v>
      </c>
      <c r="AJ462" s="400"/>
      <c r="AK462" s="401"/>
      <c r="AL462" s="501"/>
    </row>
    <row r="463" spans="3:38" x14ac:dyDescent="0.3">
      <c r="C463" s="7" t="s">
        <v>67</v>
      </c>
      <c r="D463" s="99">
        <f>HEX2DEC(D461)</f>
        <v>0</v>
      </c>
      <c r="E463" s="99">
        <f t="shared" ref="E463:L463" si="434">HEX2DEC(E461)</f>
        <v>0</v>
      </c>
      <c r="F463" s="99">
        <f t="shared" si="434"/>
        <v>0</v>
      </c>
      <c r="G463" s="99">
        <f t="shared" si="434"/>
        <v>0</v>
      </c>
      <c r="H463" s="99">
        <f t="shared" si="434"/>
        <v>0</v>
      </c>
      <c r="I463" s="99">
        <f t="shared" si="434"/>
        <v>0</v>
      </c>
      <c r="J463" s="99">
        <f t="shared" si="434"/>
        <v>0</v>
      </c>
      <c r="K463" s="99">
        <f t="shared" si="434"/>
        <v>0</v>
      </c>
      <c r="L463" s="99">
        <f t="shared" si="434"/>
        <v>0</v>
      </c>
      <c r="M463" s="99">
        <f>SUM(D463:L463)</f>
        <v>0</v>
      </c>
      <c r="N463" s="8"/>
      <c r="P463" s="21" t="str">
        <f>MID(H457,7,1)</f>
        <v>0</v>
      </c>
      <c r="Q463" s="26" t="str">
        <f t="shared" si="428"/>
        <v>0</v>
      </c>
      <c r="R463" s="7" t="s">
        <v>73</v>
      </c>
      <c r="S463" s="301" t="s">
        <v>1326</v>
      </c>
      <c r="T463" s="21" t="str">
        <f>MID(I457,7,1)</f>
        <v>0</v>
      </c>
      <c r="U463" s="26" t="str">
        <f t="shared" si="429"/>
        <v>0</v>
      </c>
      <c r="V463" s="7" t="s">
        <v>73</v>
      </c>
      <c r="W463" s="301" t="s">
        <v>1326</v>
      </c>
      <c r="X463" s="21" t="str">
        <f>MID(J457,7,1)</f>
        <v>0</v>
      </c>
      <c r="Y463" s="26" t="str">
        <f t="shared" si="430"/>
        <v>0</v>
      </c>
      <c r="Z463" s="7" t="s">
        <v>73</v>
      </c>
      <c r="AA463" s="301" t="s">
        <v>1326</v>
      </c>
      <c r="AB463" s="21" t="str">
        <f>MID(K457,7,1)</f>
        <v>0</v>
      </c>
      <c r="AC463" s="26" t="str">
        <f t="shared" si="431"/>
        <v>0</v>
      </c>
      <c r="AD463" s="7" t="s">
        <v>73</v>
      </c>
      <c r="AE463" s="301" t="s">
        <v>1326</v>
      </c>
      <c r="AF463" s="21" t="str">
        <f>MID(L457,7,1)</f>
        <v>0</v>
      </c>
      <c r="AG463" s="26" t="str">
        <f t="shared" si="432"/>
        <v>0</v>
      </c>
      <c r="AH463" s="7" t="s">
        <v>73</v>
      </c>
      <c r="AI463" s="301" t="s">
        <v>1326</v>
      </c>
      <c r="AJ463" s="400"/>
      <c r="AK463" s="401"/>
      <c r="AL463" s="501"/>
    </row>
    <row r="464" spans="3:38" ht="15" thickBot="1" x14ac:dyDescent="0.35">
      <c r="C464" s="9" t="s">
        <v>1678</v>
      </c>
      <c r="D464" s="334" t="str">
        <f>D459</f>
        <v/>
      </c>
      <c r="E464" s="334" t="str">
        <f t="shared" ref="E464:G464" si="435">E459</f>
        <v/>
      </c>
      <c r="F464" s="334" t="str">
        <f t="shared" si="435"/>
        <v/>
      </c>
      <c r="G464" s="334" t="str">
        <f t="shared" si="435"/>
        <v/>
      </c>
      <c r="H464" s="10"/>
      <c r="I464" s="10"/>
      <c r="J464" s="10"/>
      <c r="K464" s="10"/>
      <c r="L464" s="10"/>
      <c r="M464" s="10"/>
      <c r="N464" s="11"/>
      <c r="P464" s="22" t="str">
        <f>MID(H457,8,1)</f>
        <v>0</v>
      </c>
      <c r="Q464" s="55" t="str">
        <f t="shared" si="428"/>
        <v>0</v>
      </c>
      <c r="R464" s="9" t="s">
        <v>74</v>
      </c>
      <c r="S464" s="302" t="s">
        <v>1326</v>
      </c>
      <c r="T464" s="22" t="str">
        <f>MID(I457,8,1)</f>
        <v>0</v>
      </c>
      <c r="U464" s="55" t="str">
        <f t="shared" si="429"/>
        <v>0</v>
      </c>
      <c r="V464" s="9" t="s">
        <v>74</v>
      </c>
      <c r="W464" s="287" t="s">
        <v>1330</v>
      </c>
      <c r="X464" s="22" t="str">
        <f>MID(J457,8,1)</f>
        <v>0</v>
      </c>
      <c r="Y464" s="55" t="str">
        <f t="shared" si="430"/>
        <v>0</v>
      </c>
      <c r="Z464" s="9" t="s">
        <v>74</v>
      </c>
      <c r="AA464" s="302" t="s">
        <v>1326</v>
      </c>
      <c r="AB464" s="22" t="str">
        <f>MID(K457,8,1)</f>
        <v>0</v>
      </c>
      <c r="AC464" s="55" t="str">
        <f t="shared" si="431"/>
        <v>0</v>
      </c>
      <c r="AD464" s="9" t="s">
        <v>74</v>
      </c>
      <c r="AE464" s="302" t="s">
        <v>1326</v>
      </c>
      <c r="AF464" s="22" t="str">
        <f>MID(L457,8,1)</f>
        <v>0</v>
      </c>
      <c r="AG464" s="55" t="str">
        <f t="shared" si="432"/>
        <v>0</v>
      </c>
      <c r="AH464" s="9" t="s">
        <v>74</v>
      </c>
      <c r="AI464" s="302" t="s">
        <v>1326</v>
      </c>
      <c r="AJ464" s="402"/>
      <c r="AK464" s="404"/>
      <c r="AL464" s="501"/>
    </row>
    <row r="465" spans="3:38" ht="15" thickBot="1" x14ac:dyDescent="0.35">
      <c r="C465" s="4"/>
      <c r="D465" s="5"/>
      <c r="E465" s="5"/>
      <c r="F465" s="5"/>
      <c r="G465" s="5"/>
      <c r="H465" s="5"/>
      <c r="I465" s="5"/>
      <c r="J465" s="5"/>
      <c r="K465" s="5"/>
      <c r="L465" s="5"/>
      <c r="M465" s="5" t="s">
        <v>41</v>
      </c>
      <c r="N465" s="6"/>
      <c r="P465" s="530" t="s">
        <v>1813</v>
      </c>
      <c r="Q465" s="530"/>
      <c r="R465" s="530"/>
      <c r="S465" s="530"/>
      <c r="T465" s="530"/>
      <c r="U465" s="530"/>
      <c r="V465" s="530"/>
      <c r="W465" s="530"/>
      <c r="X465" s="530"/>
      <c r="Y465" s="530"/>
      <c r="Z465" s="530"/>
      <c r="AA465" s="530"/>
      <c r="AB465" s="530"/>
      <c r="AC465" s="530"/>
      <c r="AD465" s="530"/>
      <c r="AE465" s="530"/>
      <c r="AF465" s="530"/>
      <c r="AG465" s="530"/>
      <c r="AH465" s="530"/>
      <c r="AI465" s="530"/>
      <c r="AJ465" s="530"/>
      <c r="AK465" s="530"/>
      <c r="AL465" s="501"/>
    </row>
    <row r="466" spans="3:38" ht="15" thickBot="1" x14ac:dyDescent="0.35">
      <c r="C466" s="7"/>
      <c r="D466" s="393" t="s">
        <v>1550</v>
      </c>
      <c r="E466" s="393"/>
      <c r="F466" s="393"/>
      <c r="G466" s="393"/>
      <c r="H466" s="99" t="s">
        <v>44</v>
      </c>
      <c r="I466" s="99" t="s">
        <v>45</v>
      </c>
      <c r="J466" s="99" t="s">
        <v>46</v>
      </c>
      <c r="K466" s="99" t="s">
        <v>47</v>
      </c>
      <c r="L466" s="99" t="s">
        <v>48</v>
      </c>
      <c r="M466" s="99" t="s">
        <v>49</v>
      </c>
      <c r="N466" s="8"/>
      <c r="P466" s="394" t="s">
        <v>260</v>
      </c>
      <c r="Q466" s="395"/>
      <c r="R466" s="395"/>
      <c r="S466" s="396"/>
      <c r="T466" s="394" t="s">
        <v>298</v>
      </c>
      <c r="U466" s="395"/>
      <c r="V466" s="395"/>
      <c r="W466" s="396"/>
      <c r="X466" s="394" t="s">
        <v>52</v>
      </c>
      <c r="Y466" s="395"/>
      <c r="Z466" s="395"/>
      <c r="AA466" s="396"/>
      <c r="AB466" s="394" t="s">
        <v>53</v>
      </c>
      <c r="AC466" s="395"/>
      <c r="AD466" s="395"/>
      <c r="AE466" s="396"/>
      <c r="AF466" s="394" t="s">
        <v>97</v>
      </c>
      <c r="AG466" s="395"/>
      <c r="AH466" s="395"/>
      <c r="AI466" s="396"/>
      <c r="AJ466" s="394" t="s">
        <v>55</v>
      </c>
      <c r="AK466" s="396"/>
      <c r="AL466" s="501"/>
    </row>
    <row r="467" spans="3:38" ht="15" thickBot="1" x14ac:dyDescent="0.35">
      <c r="C467" s="7" t="s">
        <v>56</v>
      </c>
      <c r="D467" s="12" t="str">
        <f>IF(J412="","",7)</f>
        <v/>
      </c>
      <c r="E467" s="13" t="str">
        <f>IF(J412="","",20)</f>
        <v/>
      </c>
      <c r="F467" s="13" t="str">
        <f>IF(J412="","",4)</f>
        <v/>
      </c>
      <c r="G467" s="14" t="str">
        <f>IF(J412="","",33)</f>
        <v/>
      </c>
      <c r="H467" s="41" t="str" cm="1">
        <f t="array" ref="H467">_xlfn.IFNA(MID(INDEX($A$3:$A$70,IF(ISNA(MATCH("720G4I1*",$A$3:$A$70,0))=TRUE,MATCH("7200433*",$A$3:$A$70,0),MATCH("720G4I1*",$A$3:$A$70,0))),$AU$8,2),"")</f>
        <v/>
      </c>
      <c r="I467" s="42" t="str" cm="1">
        <f t="array" ref="I467">_xlfn.IFNA(MID(INDEX($A$3:$A$70,IF(ISNA(MATCH("720G4I1*",$A$3:$A$70,0))=TRUE,MATCH("7200433*",$A$3:$A$70,0),MATCH("720G4I1*",$A$3:$A$70,0))),$AV$8,2),"")</f>
        <v/>
      </c>
      <c r="J467" s="24" t="str" cm="1">
        <f t="array" ref="J467">_xlfn.IFNA(MID(INDEX($A$3:$A$70,IF(ISNA(MATCH("720G4I1*",$A$3:$A$70,0))=TRUE,MATCH("7200433*",$A$3:$A$70,0),MATCH("720G4I1*",$A$3:$A$70,0))),$AW$8,2),"")</f>
        <v/>
      </c>
      <c r="K467" s="42" t="str" cm="1">
        <f t="array" ref="K467">_xlfn.IFNA(MID(INDEX($A$3:$A$70,IF(ISNA(MATCH("720G4I1*",$A$3:$A$70,0))=TRUE,MATCH("7200433*",$A$3:$A$70,0),MATCH("720G4I1*",$A$3:$A$70,0))),$AX$8,2),"")</f>
        <v/>
      </c>
      <c r="L467" s="43" t="str" cm="1">
        <f t="array" ref="L467">_xlfn.IFNA(MID(INDEX($A$3:$A$70,IF(ISNA(MATCH("720G4I1*",$A$3:$A$70,0))=TRUE,MATCH("7200433*",$A$3:$A$70,0),MATCH("720G4I1*",$A$3:$A$70,0))),$AY$8,2),"")</f>
        <v/>
      </c>
      <c r="M467" s="44" t="str" cm="1">
        <f t="array" ref="M467">_xlfn.IFNA(MID(INDEX($A$3:$A$70,IF(ISNA(MATCH("720G4I1*",$A$3:$A$70,0))=TRUE,MATCH("7200433*",$A$3:$A$70,0),MATCH("720G4I1*",$A$3:$A$70,0))),$AZ$8,2),"")</f>
        <v/>
      </c>
      <c r="N467" s="8" t="s">
        <v>60</v>
      </c>
      <c r="P467" s="394"/>
      <c r="Q467" s="395"/>
      <c r="R467" s="395"/>
      <c r="S467" s="396"/>
      <c r="T467" s="394"/>
      <c r="U467" s="395"/>
      <c r="V467" s="395"/>
      <c r="W467" s="396"/>
      <c r="X467" s="19" t="s">
        <v>60</v>
      </c>
      <c r="Y467" s="20" t="s">
        <v>61</v>
      </c>
      <c r="Z467" t="s">
        <v>62</v>
      </c>
      <c r="AA467" s="8"/>
      <c r="AB467" s="19" t="s">
        <v>60</v>
      </c>
      <c r="AC467" s="20" t="s">
        <v>61</v>
      </c>
      <c r="AD467" t="s">
        <v>62</v>
      </c>
      <c r="AE467" s="8"/>
      <c r="AF467" s="19" t="s">
        <v>60</v>
      </c>
      <c r="AG467" s="20" t="s">
        <v>61</v>
      </c>
      <c r="AH467" t="s">
        <v>62</v>
      </c>
      <c r="AJ467" s="394" t="s">
        <v>63</v>
      </c>
      <c r="AK467" s="396"/>
      <c r="AL467" s="501"/>
    </row>
    <row r="468" spans="3:38" x14ac:dyDescent="0.3">
      <c r="C468" s="7" t="s">
        <v>64</v>
      </c>
      <c r="D468" s="99" t="str">
        <f>HEX2BIN(D467,8)</f>
        <v>00000000</v>
      </c>
      <c r="E468" s="99" t="str">
        <f t="shared" ref="E468:L468" si="436">HEX2BIN(E467,8)</f>
        <v>00000000</v>
      </c>
      <c r="F468" s="99" t="str">
        <f t="shared" si="436"/>
        <v>00000000</v>
      </c>
      <c r="G468" s="99" t="str">
        <f t="shared" si="436"/>
        <v>00000000</v>
      </c>
      <c r="H468" s="99" t="str">
        <f t="shared" si="436"/>
        <v>00000000</v>
      </c>
      <c r="I468" s="99" t="str">
        <f t="shared" si="436"/>
        <v>00000000</v>
      </c>
      <c r="J468" s="99" t="str">
        <f t="shared" si="436"/>
        <v>00000000</v>
      </c>
      <c r="K468" s="99" t="str">
        <f t="shared" si="436"/>
        <v>00000000</v>
      </c>
      <c r="L468" s="99" t="str">
        <f t="shared" si="436"/>
        <v>00000000</v>
      </c>
      <c r="N468" s="8"/>
      <c r="P468" s="400"/>
      <c r="Q468" s="381"/>
      <c r="R468" s="381"/>
      <c r="S468" s="401"/>
      <c r="T468" s="400"/>
      <c r="U468" s="381"/>
      <c r="V468" s="381"/>
      <c r="W468" s="401"/>
      <c r="X468" s="21" t="str">
        <f>MID(J468,1,1)</f>
        <v>0</v>
      </c>
      <c r="Y468" s="26" t="str">
        <f>X468</f>
        <v>0</v>
      </c>
      <c r="Z468" s="7" t="s">
        <v>65</v>
      </c>
      <c r="AA468" s="301" t="s">
        <v>1326</v>
      </c>
      <c r="AB468" s="21" t="str">
        <f>MID(K468,1,1)</f>
        <v>0</v>
      </c>
      <c r="AC468" s="26" t="str">
        <f>AB468</f>
        <v>0</v>
      </c>
      <c r="AD468" s="7" t="s">
        <v>65</v>
      </c>
      <c r="AE468" s="285" t="s">
        <v>1338</v>
      </c>
      <c r="AF468" s="21" t="str">
        <f>MID(L468,1,1)</f>
        <v>0</v>
      </c>
      <c r="AG468" s="26" t="str">
        <f>AF468</f>
        <v>0</v>
      </c>
      <c r="AH468" s="7" t="s">
        <v>65</v>
      </c>
      <c r="AI468" s="8" t="s">
        <v>66</v>
      </c>
      <c r="AJ468" s="400"/>
      <c r="AK468" s="401"/>
      <c r="AL468" s="501"/>
    </row>
    <row r="469" spans="3:38" ht="15" customHeight="1" x14ac:dyDescent="0.3">
      <c r="C469" s="7" t="s">
        <v>67</v>
      </c>
      <c r="D469" s="99">
        <f>HEX2DEC(D467)</f>
        <v>0</v>
      </c>
      <c r="E469" s="99">
        <f t="shared" ref="E469:L469" si="437">HEX2DEC(E467)</f>
        <v>0</v>
      </c>
      <c r="F469" s="99">
        <f t="shared" si="437"/>
        <v>0</v>
      </c>
      <c r="G469" s="99">
        <f t="shared" si="437"/>
        <v>0</v>
      </c>
      <c r="H469" s="99">
        <f t="shared" si="437"/>
        <v>0</v>
      </c>
      <c r="I469" s="99">
        <f t="shared" si="437"/>
        <v>0</v>
      </c>
      <c r="J469" s="99">
        <f t="shared" si="437"/>
        <v>0</v>
      </c>
      <c r="K469" s="99">
        <f t="shared" si="437"/>
        <v>0</v>
      </c>
      <c r="L469" s="99">
        <f t="shared" si="437"/>
        <v>0</v>
      </c>
      <c r="M469" s="99">
        <f>SUM(D469:L469)</f>
        <v>0</v>
      </c>
      <c r="N469" s="8"/>
      <c r="P469" s="400"/>
      <c r="Q469" s="381"/>
      <c r="R469" s="381"/>
      <c r="S469" s="401"/>
      <c r="T469" s="400"/>
      <c r="U469" s="381"/>
      <c r="V469" s="381"/>
      <c r="W469" s="401"/>
      <c r="X469" s="21" t="str">
        <f>MID(J468,2,1)</f>
        <v>0</v>
      </c>
      <c r="Y469" s="26" t="str">
        <f t="shared" ref="Y469:Y475" si="438">X469</f>
        <v>0</v>
      </c>
      <c r="Z469" s="7" t="s">
        <v>68</v>
      </c>
      <c r="AA469" s="564" t="s">
        <v>1334</v>
      </c>
      <c r="AB469" s="21" t="str">
        <f>MID(K468,2,1)</f>
        <v>0</v>
      </c>
      <c r="AC469" s="26" t="str">
        <f t="shared" ref="AC469:AC475" si="439">AB469</f>
        <v>0</v>
      </c>
      <c r="AD469" s="7" t="s">
        <v>68</v>
      </c>
      <c r="AE469" s="285" t="s">
        <v>1339</v>
      </c>
      <c r="AF469" s="21" t="str">
        <f>MID(L468,2,1)</f>
        <v>0</v>
      </c>
      <c r="AG469" s="26" t="str">
        <f t="shared" ref="AG469:AG475" si="440">AF469</f>
        <v>0</v>
      </c>
      <c r="AH469" s="7" t="s">
        <v>68</v>
      </c>
      <c r="AI469" s="8" t="s">
        <v>66</v>
      </c>
      <c r="AJ469" s="400"/>
      <c r="AK469" s="401"/>
      <c r="AL469" s="501"/>
    </row>
    <row r="470" spans="3:38" x14ac:dyDescent="0.3">
      <c r="C470" s="7" t="s">
        <v>1678</v>
      </c>
      <c r="D470" s="333" t="str">
        <f>D467</f>
        <v/>
      </c>
      <c r="E470" s="333" t="str">
        <f>E467</f>
        <v/>
      </c>
      <c r="F470" s="99" t="str">
        <f>_xlfn.IFNA(MID(INDEX($A$3:$A$70,IF(ISNA(MATCH("720G4I1*",$A$3:$A$70,0))=TRUE,MATCH("7200433*",$A$3:$A$70,0),MATCH("720G4I1*",$A$3:$A$70,0))),$AS$8,2),"")</f>
        <v/>
      </c>
      <c r="G470" s="99" t="str">
        <f>_xlfn.IFNA(MID(INDEX($A$3:$A$70,IF(ISNA(MATCH("720G4I1*",$A$3:$A$70,0))=TRUE,MATCH("7200433*",$A$3:$A$70,0),MATCH("720G4I1*",$A$3:$A$70,0))),$AT$8,2),"")</f>
        <v/>
      </c>
      <c r="N470" s="8"/>
      <c r="P470" s="400"/>
      <c r="Q470" s="381"/>
      <c r="R470" s="381"/>
      <c r="S470" s="401"/>
      <c r="T470" s="400"/>
      <c r="U470" s="381"/>
      <c r="V470" s="381"/>
      <c r="W470" s="401"/>
      <c r="X470" s="21" t="str">
        <f>MID(J468,3,1)</f>
        <v>0</v>
      </c>
      <c r="Y470" s="26" t="str">
        <f t="shared" si="438"/>
        <v>0</v>
      </c>
      <c r="Z470" s="7" t="s">
        <v>69</v>
      </c>
      <c r="AA470" s="565"/>
      <c r="AB470" s="21" t="str">
        <f>MID(K468,3,1)</f>
        <v>0</v>
      </c>
      <c r="AC470" s="26" t="str">
        <f t="shared" si="439"/>
        <v>0</v>
      </c>
      <c r="AD470" s="7" t="s">
        <v>69</v>
      </c>
      <c r="AE470" s="285" t="s">
        <v>1340</v>
      </c>
      <c r="AF470" s="21" t="str">
        <f>MID(L468,3,1)</f>
        <v>0</v>
      </c>
      <c r="AG470" s="26" t="str">
        <f t="shared" si="440"/>
        <v>0</v>
      </c>
      <c r="AH470" s="7" t="s">
        <v>69</v>
      </c>
      <c r="AI470" s="8" t="s">
        <v>66</v>
      </c>
      <c r="AJ470" s="400"/>
      <c r="AK470" s="401"/>
      <c r="AL470" s="501"/>
    </row>
    <row r="471" spans="3:38" ht="15" thickBot="1" x14ac:dyDescent="0.35">
      <c r="C471" s="7"/>
      <c r="N471" s="8"/>
      <c r="P471" s="400"/>
      <c r="Q471" s="381"/>
      <c r="R471" s="381"/>
      <c r="S471" s="401"/>
      <c r="T471" s="400"/>
      <c r="U471" s="381"/>
      <c r="V471" s="381"/>
      <c r="W471" s="401"/>
      <c r="X471" s="21" t="str">
        <f>MID(J468,4,1)</f>
        <v>0</v>
      </c>
      <c r="Y471" s="26" t="str">
        <f t="shared" si="438"/>
        <v>0</v>
      </c>
      <c r="Z471" s="7" t="s">
        <v>70</v>
      </c>
      <c r="AA471" s="285" t="s">
        <v>1335</v>
      </c>
      <c r="AB471" s="21" t="str">
        <f>MID(K468,4,1)</f>
        <v>0</v>
      </c>
      <c r="AC471" s="26" t="str">
        <f t="shared" si="439"/>
        <v>0</v>
      </c>
      <c r="AD471" s="7" t="s">
        <v>70</v>
      </c>
      <c r="AE471" s="285" t="s">
        <v>1341</v>
      </c>
      <c r="AF471" s="21" t="str">
        <f>MID(L468,4,1)</f>
        <v>0</v>
      </c>
      <c r="AG471" s="26" t="str">
        <f t="shared" si="440"/>
        <v>0</v>
      </c>
      <c r="AH471" s="7" t="s">
        <v>70</v>
      </c>
      <c r="AI471" s="8" t="s">
        <v>66</v>
      </c>
      <c r="AJ471" s="400"/>
      <c r="AK471" s="401"/>
      <c r="AL471" s="501"/>
    </row>
    <row r="472" spans="3:38" ht="15" thickBot="1" x14ac:dyDescent="0.35">
      <c r="C472" s="7" t="s">
        <v>56</v>
      </c>
      <c r="D472" s="15" t="str">
        <f t="shared" ref="D472:I472" si="441">D467</f>
        <v/>
      </c>
      <c r="E472" s="16" t="str">
        <f t="shared" si="441"/>
        <v/>
      </c>
      <c r="F472" s="16" t="str">
        <f t="shared" si="441"/>
        <v/>
      </c>
      <c r="G472" s="17" t="str">
        <f t="shared" si="441"/>
        <v/>
      </c>
      <c r="H472" s="50" t="str">
        <f t="shared" si="441"/>
        <v/>
      </c>
      <c r="I472" s="47" t="str">
        <f t="shared" si="441"/>
        <v/>
      </c>
      <c r="J472" s="24" t="str">
        <f>IF(J412="","",BIN2HEX(J473,2))</f>
        <v/>
      </c>
      <c r="K472" s="2" t="str">
        <f>IF(J412="","",BIN2HEX(K473,2))</f>
        <v/>
      </c>
      <c r="L472" s="18" t="str">
        <f>IF(J412="","",BIN2HEX(L473,2))</f>
        <v/>
      </c>
      <c r="M472" s="3" t="str">
        <f>IF(J412="","",IF(LEN(M473)&gt;2,MID(M473,2,2),M473))</f>
        <v/>
      </c>
      <c r="N472" s="8" t="s">
        <v>61</v>
      </c>
      <c r="P472" s="400"/>
      <c r="Q472" s="381"/>
      <c r="R472" s="381"/>
      <c r="S472" s="401"/>
      <c r="T472" s="400"/>
      <c r="U472" s="381"/>
      <c r="V472" s="381"/>
      <c r="W472" s="401"/>
      <c r="X472" s="21" t="str">
        <f>MID(J468,5,1)</f>
        <v>0</v>
      </c>
      <c r="Y472" s="26" t="str">
        <f t="shared" si="438"/>
        <v>0</v>
      </c>
      <c r="Z472" s="7" t="s">
        <v>71</v>
      </c>
      <c r="AA472" s="285" t="s">
        <v>1336</v>
      </c>
      <c r="AB472" s="21" t="str">
        <f>MID(K468,5,1)</f>
        <v>0</v>
      </c>
      <c r="AC472" s="26" t="str">
        <f t="shared" si="439"/>
        <v>0</v>
      </c>
      <c r="AD472" s="7" t="s">
        <v>71</v>
      </c>
      <c r="AE472" s="8" t="s">
        <v>66</v>
      </c>
      <c r="AF472" s="21" t="str">
        <f>MID(L468,5,1)</f>
        <v>0</v>
      </c>
      <c r="AG472" s="26" t="str">
        <f t="shared" si="440"/>
        <v>0</v>
      </c>
      <c r="AH472" s="7" t="s">
        <v>71</v>
      </c>
      <c r="AI472" s="8" t="s">
        <v>66</v>
      </c>
      <c r="AJ472" s="400"/>
      <c r="AK472" s="401"/>
      <c r="AL472" s="501"/>
    </row>
    <row r="473" spans="3:38" x14ac:dyDescent="0.3">
      <c r="C473" s="7" t="s">
        <v>64</v>
      </c>
      <c r="D473" s="99" t="str">
        <f>HEX2BIN(D472,8)</f>
        <v>00000000</v>
      </c>
      <c r="E473" s="99" t="str">
        <f t="shared" ref="E473:G473" si="442">HEX2BIN(E472,8)</f>
        <v>00000000</v>
      </c>
      <c r="F473" s="99" t="str">
        <f t="shared" si="442"/>
        <v>00000000</v>
      </c>
      <c r="G473" s="99" t="str">
        <f t="shared" si="442"/>
        <v>00000000</v>
      </c>
      <c r="H473" s="29"/>
      <c r="I473" s="99"/>
      <c r="J473" s="29" t="str">
        <f>Y468&amp;Y469&amp;Y470&amp;Y471&amp;Y472&amp;Y473&amp;Y474&amp;Y475</f>
        <v>00000000</v>
      </c>
      <c r="K473" s="29" t="str">
        <f>AC468&amp;AC469&amp;AC470&amp;AC471&amp;AC472&amp;AC473&amp;AC474&amp;AC475</f>
        <v>00000000</v>
      </c>
      <c r="L473" s="99" t="str">
        <f>AG468&amp;AG469&amp;AG470&amp;AG471&amp;AG472&amp;AG473&amp;AG474&amp;AG475</f>
        <v>00000000</v>
      </c>
      <c r="M473" s="99" t="str">
        <f>DEC2HEX(M474)</f>
        <v>0</v>
      </c>
      <c r="N473" s="8"/>
      <c r="P473" s="400"/>
      <c r="Q473" s="381"/>
      <c r="R473" s="381"/>
      <c r="S473" s="401"/>
      <c r="T473" s="400"/>
      <c r="U473" s="381"/>
      <c r="V473" s="381"/>
      <c r="W473" s="401"/>
      <c r="X473" s="21" t="str">
        <f>MID(J468,6,1)</f>
        <v>0</v>
      </c>
      <c r="Y473" s="26" t="str">
        <f t="shared" si="438"/>
        <v>0</v>
      </c>
      <c r="Z473" s="7" t="s">
        <v>72</v>
      </c>
      <c r="AA473" s="301" t="s">
        <v>1326</v>
      </c>
      <c r="AB473" s="21" t="str">
        <f>MID(K468,6,1)</f>
        <v>0</v>
      </c>
      <c r="AC473" s="26" t="str">
        <f t="shared" si="439"/>
        <v>0</v>
      </c>
      <c r="AD473" s="7" t="s">
        <v>72</v>
      </c>
      <c r="AE473" s="285" t="s">
        <v>1341</v>
      </c>
      <c r="AF473" s="21" t="str">
        <f>MID(L468,6,1)</f>
        <v>0</v>
      </c>
      <c r="AG473" s="26" t="str">
        <f t="shared" si="440"/>
        <v>0</v>
      </c>
      <c r="AH473" s="7" t="s">
        <v>72</v>
      </c>
      <c r="AI473" s="8" t="s">
        <v>66</v>
      </c>
      <c r="AJ473" s="400"/>
      <c r="AK473" s="401"/>
      <c r="AL473" s="501"/>
    </row>
    <row r="474" spans="3:38" x14ac:dyDescent="0.3">
      <c r="C474" s="7" t="s">
        <v>67</v>
      </c>
      <c r="D474" s="99">
        <f>HEX2DEC(D472)</f>
        <v>0</v>
      </c>
      <c r="E474" s="99">
        <f t="shared" ref="E474:L474" si="443">HEX2DEC(E472)</f>
        <v>0</v>
      </c>
      <c r="F474" s="99">
        <f t="shared" si="443"/>
        <v>0</v>
      </c>
      <c r="G474" s="99">
        <f t="shared" si="443"/>
        <v>0</v>
      </c>
      <c r="H474" s="99">
        <f t="shared" si="443"/>
        <v>0</v>
      </c>
      <c r="I474" s="99">
        <f t="shared" si="443"/>
        <v>0</v>
      </c>
      <c r="J474" s="99">
        <f t="shared" si="443"/>
        <v>0</v>
      </c>
      <c r="K474" s="99">
        <f t="shared" si="443"/>
        <v>0</v>
      </c>
      <c r="L474" s="99">
        <f t="shared" si="443"/>
        <v>0</v>
      </c>
      <c r="M474" s="99">
        <f>SUM(D474:L474)</f>
        <v>0</v>
      </c>
      <c r="N474" s="8"/>
      <c r="P474" s="400"/>
      <c r="Q474" s="381"/>
      <c r="R474" s="381"/>
      <c r="S474" s="401"/>
      <c r="T474" s="400"/>
      <c r="U474" s="381"/>
      <c r="V474" s="381"/>
      <c r="W474" s="401"/>
      <c r="X474" s="21" t="str">
        <f>MID(J468,7,1)</f>
        <v>0</v>
      </c>
      <c r="Y474" s="26" t="str">
        <f t="shared" si="438"/>
        <v>0</v>
      </c>
      <c r="Z474" s="7" t="s">
        <v>73</v>
      </c>
      <c r="AA474" s="301" t="s">
        <v>1326</v>
      </c>
      <c r="AB474" s="21" t="str">
        <f>MID(K468,7,1)</f>
        <v>0</v>
      </c>
      <c r="AC474" s="26" t="str">
        <f t="shared" si="439"/>
        <v>0</v>
      </c>
      <c r="AD474" s="7" t="s">
        <v>73</v>
      </c>
      <c r="AE474" s="8" t="s">
        <v>66</v>
      </c>
      <c r="AF474" s="21" t="str">
        <f>MID(L468,7,1)</f>
        <v>0</v>
      </c>
      <c r="AG474" s="26" t="str">
        <f t="shared" si="440"/>
        <v>0</v>
      </c>
      <c r="AH474" s="7" t="s">
        <v>73</v>
      </c>
      <c r="AI474" s="8" t="s">
        <v>66</v>
      </c>
      <c r="AJ474" s="400"/>
      <c r="AK474" s="401"/>
      <c r="AL474" s="501"/>
    </row>
    <row r="475" spans="3:38" ht="15" thickBot="1" x14ac:dyDescent="0.35">
      <c r="C475" s="9" t="s">
        <v>1678</v>
      </c>
      <c r="D475" s="334" t="str">
        <f>D470</f>
        <v/>
      </c>
      <c r="E475" s="334" t="str">
        <f t="shared" ref="E475:G475" si="444">E470</f>
        <v/>
      </c>
      <c r="F475" s="334" t="str">
        <f t="shared" si="444"/>
        <v/>
      </c>
      <c r="G475" s="334" t="str">
        <f t="shared" si="444"/>
        <v/>
      </c>
      <c r="H475" s="10"/>
      <c r="I475" s="10"/>
      <c r="J475" s="10"/>
      <c r="K475" s="10"/>
      <c r="L475" s="10"/>
      <c r="M475" s="10"/>
      <c r="N475" s="11"/>
      <c r="P475" s="402"/>
      <c r="Q475" s="403"/>
      <c r="R475" s="403"/>
      <c r="S475" s="404"/>
      <c r="T475" s="402"/>
      <c r="U475" s="403"/>
      <c r="V475" s="403"/>
      <c r="W475" s="404"/>
      <c r="X475" s="22" t="str">
        <f>MID(J468,8,1)</f>
        <v>0</v>
      </c>
      <c r="Y475" s="55" t="str">
        <f t="shared" si="438"/>
        <v>0</v>
      </c>
      <c r="Z475" s="9" t="s">
        <v>74</v>
      </c>
      <c r="AA475" s="287" t="s">
        <v>1337</v>
      </c>
      <c r="AB475" s="22" t="str">
        <f>MID(K468,8,1)</f>
        <v>0</v>
      </c>
      <c r="AC475" s="55" t="str">
        <f t="shared" si="439"/>
        <v>0</v>
      </c>
      <c r="AD475" s="9" t="s">
        <v>74</v>
      </c>
      <c r="AE475" s="11" t="s">
        <v>66</v>
      </c>
      <c r="AF475" s="22" t="str">
        <f>MID(L468,8,1)</f>
        <v>0</v>
      </c>
      <c r="AG475" s="55" t="str">
        <f t="shared" si="440"/>
        <v>0</v>
      </c>
      <c r="AH475" s="9" t="s">
        <v>74</v>
      </c>
      <c r="AI475" s="11" t="s">
        <v>66</v>
      </c>
      <c r="AJ475" s="402"/>
      <c r="AK475" s="404"/>
      <c r="AL475" s="501"/>
    </row>
    <row r="476" spans="3:38" ht="15" thickBot="1" x14ac:dyDescent="0.35">
      <c r="C476" s="4"/>
      <c r="D476" s="5"/>
      <c r="E476" s="5"/>
      <c r="F476" s="5"/>
      <c r="G476" s="5"/>
      <c r="H476" s="5"/>
      <c r="I476" s="5"/>
      <c r="J476" s="5"/>
      <c r="K476" s="5"/>
      <c r="L476" s="5"/>
      <c r="M476" s="5" t="s">
        <v>41</v>
      </c>
      <c r="N476" s="6"/>
      <c r="P476" s="530" t="s">
        <v>1814</v>
      </c>
      <c r="Q476" s="530"/>
      <c r="R476" s="530"/>
      <c r="S476" s="530"/>
      <c r="T476" s="530"/>
      <c r="U476" s="530"/>
      <c r="V476" s="530"/>
      <c r="W476" s="530"/>
      <c r="X476" s="530"/>
      <c r="Y476" s="530"/>
      <c r="Z476" s="530"/>
      <c r="AA476" s="530"/>
      <c r="AB476" s="530"/>
      <c r="AC476" s="530"/>
      <c r="AD476" s="530"/>
      <c r="AE476" s="530"/>
      <c r="AF476" s="530"/>
      <c r="AG476" s="530"/>
      <c r="AH476" s="530"/>
      <c r="AI476" s="530"/>
      <c r="AJ476" s="530"/>
      <c r="AK476" s="530"/>
      <c r="AL476" s="501"/>
    </row>
    <row r="477" spans="3:38" ht="15" thickBot="1" x14ac:dyDescent="0.35">
      <c r="C477" s="7"/>
      <c r="D477" s="393" t="s">
        <v>1549</v>
      </c>
      <c r="E477" s="393"/>
      <c r="F477" s="393"/>
      <c r="G477" s="393"/>
      <c r="H477" s="99" t="s">
        <v>44</v>
      </c>
      <c r="I477" s="99" t="s">
        <v>45</v>
      </c>
      <c r="J477" s="99" t="s">
        <v>46</v>
      </c>
      <c r="K477" s="99" t="s">
        <v>47</v>
      </c>
      <c r="L477" s="99" t="s">
        <v>48</v>
      </c>
      <c r="M477" s="99" t="s">
        <v>49</v>
      </c>
      <c r="N477" s="8"/>
      <c r="P477" s="394" t="s">
        <v>50</v>
      </c>
      <c r="Q477" s="395"/>
      <c r="R477" s="395"/>
      <c r="S477" s="396"/>
      <c r="T477" s="394" t="s">
        <v>51</v>
      </c>
      <c r="U477" s="395"/>
      <c r="V477" s="395"/>
      <c r="W477" s="396"/>
      <c r="X477" s="394" t="s">
        <v>52</v>
      </c>
      <c r="Y477" s="395"/>
      <c r="Z477" s="395"/>
      <c r="AA477" s="396"/>
      <c r="AB477" s="394" t="s">
        <v>239</v>
      </c>
      <c r="AC477" s="395"/>
      <c r="AD477" s="395"/>
      <c r="AE477" s="396"/>
      <c r="AF477" s="394" t="s">
        <v>299</v>
      </c>
      <c r="AG477" s="395"/>
      <c r="AH477" s="395"/>
      <c r="AI477" s="396"/>
      <c r="AJ477" s="394" t="s">
        <v>55</v>
      </c>
      <c r="AK477" s="396"/>
      <c r="AL477" s="501"/>
    </row>
    <row r="478" spans="3:38" ht="15" thickBot="1" x14ac:dyDescent="0.35">
      <c r="C478" s="7" t="s">
        <v>56</v>
      </c>
      <c r="D478" s="12" t="str">
        <f>IF(J412="","",7)</f>
        <v/>
      </c>
      <c r="E478" s="13" t="str">
        <f>IF(J412="","",20)</f>
        <v/>
      </c>
      <c r="F478" s="13" t="str">
        <f>IF(J412="","",4)</f>
        <v/>
      </c>
      <c r="G478" s="14" t="str">
        <f>IF(J412="","",34)</f>
        <v/>
      </c>
      <c r="H478" s="41" t="str" cm="1">
        <f t="array" ref="H478">_xlfn.IFNA(MID(INDEX($A$3:$A$70,IF(ISNA(MATCH("720G4I2*",$A$3:$A$70,0))=TRUE,MATCH("7200434*",$A$3:$A$70,0),MATCH("720G4I2*",$A$3:$A$70,0))),$AU$8,2),"")</f>
        <v/>
      </c>
      <c r="I478" s="42" t="str" cm="1">
        <f t="array" ref="I478">_xlfn.IFNA(MID(INDEX($A$3:$A$70,IF(ISNA(MATCH("720G4I2*",$A$3:$A$70,0))=TRUE,MATCH("7200434*",$A$3:$A$70,0),MATCH("720G4I2*",$A$3:$A$70,0))),$AV$8,2),"")</f>
        <v/>
      </c>
      <c r="J478" s="24" t="str" cm="1">
        <f t="array" ref="J478">_xlfn.IFNA(MID(INDEX($A$3:$A$70,IF(ISNA(MATCH("720G4I2*",$A$3:$A$70,0))=TRUE,MATCH("7200434*",$A$3:$A$70,0),MATCH("720G4I2*",$A$3:$A$70,0))),$AW$8,2),"")</f>
        <v/>
      </c>
      <c r="K478" s="42" t="str" cm="1">
        <f t="array" ref="K478">_xlfn.IFNA(MID(INDEX($A$3:$A$70,IF(ISNA(MATCH("720G4I2*",$A$3:$A$70,0))=TRUE,MATCH("7200434*",$A$3:$A$70,0),MATCH("720G4I2*",$A$3:$A$70,0))),$AX$8,2),"")</f>
        <v/>
      </c>
      <c r="L478" s="43" t="str" cm="1">
        <f t="array" ref="L478">_xlfn.IFNA(MID(INDEX($A$3:$A$70,IF(ISNA(MATCH("720G4I2*",$A$3:$A$70,0))=TRUE,MATCH("7200434*",$A$3:$A$70,0),MATCH("720G4I2*",$A$3:$A$70,0))),$AY$8,2),"")</f>
        <v/>
      </c>
      <c r="M478" s="44" t="str" cm="1">
        <f t="array" ref="M478">_xlfn.IFNA(MID(INDEX($A$3:$A$70,IF(ISNA(MATCH("720G4I2*",$A$3:$A$70,0))=TRUE,MATCH("7200434*",$A$3:$A$70,0),MATCH("720G4I2*",$A$3:$A$70,0))),$AZ$8,2),"")</f>
        <v/>
      </c>
      <c r="N478" s="8" t="s">
        <v>60</v>
      </c>
      <c r="P478" s="19" t="s">
        <v>60</v>
      </c>
      <c r="Q478" s="20" t="s">
        <v>61</v>
      </c>
      <c r="R478" t="s">
        <v>62</v>
      </c>
      <c r="S478" s="8"/>
      <c r="T478" s="19" t="s">
        <v>60</v>
      </c>
      <c r="U478" s="20" t="s">
        <v>61</v>
      </c>
      <c r="V478" t="s">
        <v>62</v>
      </c>
      <c r="W478" s="8"/>
      <c r="X478" s="19" t="s">
        <v>60</v>
      </c>
      <c r="Y478" s="20" t="s">
        <v>61</v>
      </c>
      <c r="Z478" t="s">
        <v>62</v>
      </c>
      <c r="AA478" s="8"/>
      <c r="AB478" s="394"/>
      <c r="AC478" s="395"/>
      <c r="AD478" s="395"/>
      <c r="AE478" s="396"/>
      <c r="AF478" s="394"/>
      <c r="AG478" s="395"/>
      <c r="AH478" s="395"/>
      <c r="AI478" s="396"/>
      <c r="AJ478" s="394" t="s">
        <v>63</v>
      </c>
      <c r="AK478" s="396"/>
      <c r="AL478" s="501"/>
    </row>
    <row r="479" spans="3:38" x14ac:dyDescent="0.3">
      <c r="C479" s="7" t="s">
        <v>64</v>
      </c>
      <c r="D479" s="99" t="str">
        <f>HEX2BIN(D478,8)</f>
        <v>00000000</v>
      </c>
      <c r="E479" s="99" t="str">
        <f t="shared" ref="E479:L479" si="445">HEX2BIN(E478,8)</f>
        <v>00000000</v>
      </c>
      <c r="F479" s="99" t="str">
        <f t="shared" si="445"/>
        <v>00000000</v>
      </c>
      <c r="G479" s="99" t="str">
        <f t="shared" si="445"/>
        <v>00000000</v>
      </c>
      <c r="H479" s="99" t="str">
        <f t="shared" si="445"/>
        <v>00000000</v>
      </c>
      <c r="I479" s="99" t="str">
        <f t="shared" si="445"/>
        <v>00000000</v>
      </c>
      <c r="J479" s="99" t="str">
        <f t="shared" si="445"/>
        <v>00000000</v>
      </c>
      <c r="K479" s="99" t="str">
        <f t="shared" si="445"/>
        <v>00000000</v>
      </c>
      <c r="L479" s="99" t="str">
        <f t="shared" si="445"/>
        <v>00000000</v>
      </c>
      <c r="N479" s="8"/>
      <c r="P479" s="21" t="str">
        <f>MID(H479,1,1)</f>
        <v>0</v>
      </c>
      <c r="Q479" s="26" t="str">
        <f>P479</f>
        <v>0</v>
      </c>
      <c r="R479" s="7" t="s">
        <v>65</v>
      </c>
      <c r="S479" s="301" t="s">
        <v>1326</v>
      </c>
      <c r="T479" s="21" t="str">
        <f>MID(I479,1,1)</f>
        <v>0</v>
      </c>
      <c r="U479" s="26" t="str">
        <f>T479</f>
        <v>0</v>
      </c>
      <c r="V479" s="7" t="s">
        <v>65</v>
      </c>
      <c r="W479" s="301" t="s">
        <v>1326</v>
      </c>
      <c r="X479" s="21" t="str">
        <f>MID(J479,1,1)</f>
        <v>0</v>
      </c>
      <c r="Y479" s="26" t="str">
        <f>X479</f>
        <v>0</v>
      </c>
      <c r="Z479" s="7" t="s">
        <v>65</v>
      </c>
      <c r="AA479" s="301" t="s">
        <v>1326</v>
      </c>
      <c r="AB479" s="400"/>
      <c r="AC479" s="381"/>
      <c r="AD479" s="381"/>
      <c r="AE479" s="401"/>
      <c r="AF479" s="400"/>
      <c r="AG479" s="381"/>
      <c r="AH479" s="381"/>
      <c r="AI479" s="401"/>
      <c r="AJ479" s="400"/>
      <c r="AK479" s="401"/>
      <c r="AL479" s="501"/>
    </row>
    <row r="480" spans="3:38" x14ac:dyDescent="0.3">
      <c r="C480" s="7" t="s">
        <v>67</v>
      </c>
      <c r="D480" s="99">
        <f>HEX2DEC(D478)</f>
        <v>0</v>
      </c>
      <c r="E480" s="99">
        <f t="shared" ref="E480:L480" si="446">HEX2DEC(E478)</f>
        <v>0</v>
      </c>
      <c r="F480" s="99">
        <f t="shared" si="446"/>
        <v>0</v>
      </c>
      <c r="G480" s="99">
        <f t="shared" si="446"/>
        <v>0</v>
      </c>
      <c r="H480" s="99">
        <f t="shared" si="446"/>
        <v>0</v>
      </c>
      <c r="I480" s="99">
        <f t="shared" si="446"/>
        <v>0</v>
      </c>
      <c r="J480" s="99">
        <f t="shared" si="446"/>
        <v>0</v>
      </c>
      <c r="K480" s="99">
        <f t="shared" si="446"/>
        <v>0</v>
      </c>
      <c r="L480" s="99">
        <f t="shared" si="446"/>
        <v>0</v>
      </c>
      <c r="M480" s="99">
        <f>SUM(D480:L480)</f>
        <v>0</v>
      </c>
      <c r="N480" s="8"/>
      <c r="P480" s="21" t="str">
        <f>MID(H479,2,1)</f>
        <v>0</v>
      </c>
      <c r="Q480" s="26" t="str">
        <f t="shared" ref="Q480:Q486" si="447">P480</f>
        <v>0</v>
      </c>
      <c r="R480" s="7" t="s">
        <v>68</v>
      </c>
      <c r="S480" s="301" t="s">
        <v>1326</v>
      </c>
      <c r="T480" s="21" t="str">
        <f>MID(I479,2,1)</f>
        <v>0</v>
      </c>
      <c r="U480" s="26" t="str">
        <f t="shared" ref="U480:U486" si="448">T480</f>
        <v>0</v>
      </c>
      <c r="V480" s="7" t="s">
        <v>68</v>
      </c>
      <c r="W480" s="285" t="s">
        <v>1700</v>
      </c>
      <c r="X480" s="21" t="str">
        <f>MID(J479,2,1)</f>
        <v>0</v>
      </c>
      <c r="Y480" s="26" t="str">
        <f t="shared" ref="Y480:Y486" si="449">X480</f>
        <v>0</v>
      </c>
      <c r="Z480" s="7" t="s">
        <v>68</v>
      </c>
      <c r="AA480" s="301" t="s">
        <v>1326</v>
      </c>
      <c r="AB480" s="400"/>
      <c r="AC480" s="381"/>
      <c r="AD480" s="381"/>
      <c r="AE480" s="401"/>
      <c r="AF480" s="400"/>
      <c r="AG480" s="381"/>
      <c r="AH480" s="381"/>
      <c r="AI480" s="401"/>
      <c r="AJ480" s="400"/>
      <c r="AK480" s="401"/>
      <c r="AL480" s="501"/>
    </row>
    <row r="481" spans="3:38" ht="15" customHeight="1" x14ac:dyDescent="0.3">
      <c r="C481" s="7" t="s">
        <v>1678</v>
      </c>
      <c r="D481" s="333" t="str">
        <f>D478</f>
        <v/>
      </c>
      <c r="E481" s="333" t="str">
        <f>E478</f>
        <v/>
      </c>
      <c r="F481" s="99" t="str">
        <f>_xlfn.IFNA(MID(INDEX($A$3:$A$70,IF(ISNA(MATCH("720G4I2*",$A$3:$A$70,0))=TRUE,MATCH("7200434*",$A$3:$A$70,0),MATCH("720G4I2*",$A$3:$A$70,0))),$AS$8,2),"")</f>
        <v/>
      </c>
      <c r="G481" s="99" t="str">
        <f>_xlfn.IFNA(MID(INDEX($A$3:$A$70,IF(ISNA(MATCH("720G4I2*",$A$3:$A$70,0))=TRUE,MATCH("7200434*",$A$3:$A$70,0),MATCH("720G4I2*",$A$3:$A$70,0))),$AT$8,2),"")</f>
        <v/>
      </c>
      <c r="N481" s="8"/>
      <c r="P481" s="21" t="str">
        <f>MID(H479,3,1)</f>
        <v>0</v>
      </c>
      <c r="Q481" s="26" t="str">
        <f t="shared" si="447"/>
        <v>0</v>
      </c>
      <c r="R481" s="7" t="s">
        <v>69</v>
      </c>
      <c r="S481" s="564" t="s">
        <v>1342</v>
      </c>
      <c r="T481" s="21" t="str">
        <f>MID(I479,3,1)</f>
        <v>0</v>
      </c>
      <c r="U481" s="26" t="str">
        <f t="shared" si="448"/>
        <v>0</v>
      </c>
      <c r="V481" s="7" t="s">
        <v>69</v>
      </c>
      <c r="W481" s="301" t="s">
        <v>1326</v>
      </c>
      <c r="X481" s="21" t="str">
        <f>MID(J479,3,1)</f>
        <v>0</v>
      </c>
      <c r="Y481" s="26" t="str">
        <f t="shared" si="449"/>
        <v>0</v>
      </c>
      <c r="Z481" s="7" t="s">
        <v>69</v>
      </c>
      <c r="AA481" s="301" t="s">
        <v>1326</v>
      </c>
      <c r="AB481" s="400"/>
      <c r="AC481" s="381"/>
      <c r="AD481" s="381"/>
      <c r="AE481" s="401"/>
      <c r="AF481" s="400"/>
      <c r="AG481" s="381"/>
      <c r="AH481" s="381"/>
      <c r="AI481" s="401"/>
      <c r="AJ481" s="400"/>
      <c r="AK481" s="401"/>
      <c r="AL481" s="501"/>
    </row>
    <row r="482" spans="3:38" ht="15" thickBot="1" x14ac:dyDescent="0.35">
      <c r="C482" s="7"/>
      <c r="N482" s="8"/>
      <c r="P482" s="21" t="str">
        <f>MID(H479,4,1)</f>
        <v>0</v>
      </c>
      <c r="Q482" s="26" t="str">
        <f t="shared" si="447"/>
        <v>0</v>
      </c>
      <c r="R482" s="7" t="s">
        <v>70</v>
      </c>
      <c r="S482" s="565"/>
      <c r="T482" s="21" t="str">
        <f>MID(I479,4,1)</f>
        <v>0</v>
      </c>
      <c r="U482" s="26" t="str">
        <f t="shared" si="448"/>
        <v>0</v>
      </c>
      <c r="V482" s="7" t="s">
        <v>70</v>
      </c>
      <c r="W482" s="301" t="s">
        <v>1326</v>
      </c>
      <c r="X482" s="21" t="str">
        <f>MID(J479,4,1)</f>
        <v>0</v>
      </c>
      <c r="Y482" s="26" t="str">
        <f t="shared" si="449"/>
        <v>0</v>
      </c>
      <c r="Z482" s="7" t="s">
        <v>70</v>
      </c>
      <c r="AA482" s="301" t="s">
        <v>1326</v>
      </c>
      <c r="AB482" s="400"/>
      <c r="AC482" s="381"/>
      <c r="AD482" s="381"/>
      <c r="AE482" s="401"/>
      <c r="AF482" s="400"/>
      <c r="AG482" s="381"/>
      <c r="AH482" s="381"/>
      <c r="AI482" s="401"/>
      <c r="AJ482" s="400"/>
      <c r="AK482" s="401"/>
      <c r="AL482" s="501"/>
    </row>
    <row r="483" spans="3:38" ht="15" thickBot="1" x14ac:dyDescent="0.35">
      <c r="C483" s="7" t="s">
        <v>56</v>
      </c>
      <c r="D483" s="15" t="str">
        <f>D478</f>
        <v/>
      </c>
      <c r="E483" s="16" t="str">
        <f>E478</f>
        <v/>
      </c>
      <c r="F483" s="16" t="str">
        <f>F478</f>
        <v/>
      </c>
      <c r="G483" s="17" t="str">
        <f>G478</f>
        <v/>
      </c>
      <c r="H483" s="23" t="str">
        <f>IF(J412="","",BIN2HEX(H484,2))</f>
        <v/>
      </c>
      <c r="I483" s="25" t="str">
        <f>IF(J412="","",BIN2HEX(I484,2))</f>
        <v/>
      </c>
      <c r="J483" s="24" t="str">
        <f>IF(J412="","",BIN2HEX(J484,2))</f>
        <v/>
      </c>
      <c r="K483" s="47" t="str">
        <f>K478</f>
        <v/>
      </c>
      <c r="L483" s="49" t="str">
        <f>L478</f>
        <v/>
      </c>
      <c r="M483" s="3" t="str">
        <f>IF(J412="","",IF(LEN(M484)&gt;2,MID(M484,2,2),M484))</f>
        <v/>
      </c>
      <c r="N483" s="8" t="s">
        <v>61</v>
      </c>
      <c r="P483" s="21" t="str">
        <f>MID(H479,5,1)</f>
        <v>0</v>
      </c>
      <c r="Q483" s="26" t="str">
        <f t="shared" si="447"/>
        <v>0</v>
      </c>
      <c r="R483" s="7" t="s">
        <v>71</v>
      </c>
      <c r="S483" s="301" t="s">
        <v>1326</v>
      </c>
      <c r="T483" s="21" t="str">
        <f>MID(I479,5,1)</f>
        <v>0</v>
      </c>
      <c r="U483" s="26" t="str">
        <f t="shared" si="448"/>
        <v>0</v>
      </c>
      <c r="V483" s="7" t="s">
        <v>71</v>
      </c>
      <c r="W483" s="301" t="s">
        <v>1326</v>
      </c>
      <c r="X483" s="21" t="str">
        <f>MID(J479,5,1)</f>
        <v>0</v>
      </c>
      <c r="Y483" s="26" t="str">
        <f t="shared" si="449"/>
        <v>0</v>
      </c>
      <c r="Z483" s="7" t="s">
        <v>71</v>
      </c>
      <c r="AA483" s="301" t="s">
        <v>1326</v>
      </c>
      <c r="AB483" s="400"/>
      <c r="AC483" s="381"/>
      <c r="AD483" s="381"/>
      <c r="AE483" s="401"/>
      <c r="AF483" s="400"/>
      <c r="AG483" s="381"/>
      <c r="AH483" s="381"/>
      <c r="AI483" s="401"/>
      <c r="AJ483" s="400"/>
      <c r="AK483" s="401"/>
      <c r="AL483" s="501"/>
    </row>
    <row r="484" spans="3:38" ht="15" customHeight="1" x14ac:dyDescent="0.3">
      <c r="C484" s="7" t="s">
        <v>64</v>
      </c>
      <c r="D484" s="99" t="str">
        <f>HEX2BIN(D483,8)</f>
        <v>00000000</v>
      </c>
      <c r="E484" s="99" t="str">
        <f t="shared" ref="E484:G484" si="450">HEX2BIN(E483,8)</f>
        <v>00000000</v>
      </c>
      <c r="F484" s="99" t="str">
        <f t="shared" si="450"/>
        <v>00000000</v>
      </c>
      <c r="G484" s="99" t="str">
        <f t="shared" si="450"/>
        <v>00000000</v>
      </c>
      <c r="H484" s="29" t="str">
        <f>Q479&amp;Q480&amp;Q481&amp;Q482&amp;Q483&amp;Q484&amp;Q485&amp;Q486</f>
        <v>00000000</v>
      </c>
      <c r="I484" s="99" t="str">
        <f>U479&amp;U480&amp;U481&amp;U482&amp;U483&amp;U484&amp;U485&amp;U486</f>
        <v>00000000</v>
      </c>
      <c r="J484" s="29" t="str">
        <f>Y479&amp;Y480&amp;Y481&amp;Y482&amp;Y483&amp;Y484&amp;Y485&amp;Y486</f>
        <v>00000000</v>
      </c>
      <c r="K484" s="29"/>
      <c r="L484" s="99"/>
      <c r="M484" s="99" t="str">
        <f>DEC2HEX(M485)</f>
        <v>0</v>
      </c>
      <c r="N484" s="8"/>
      <c r="P484" s="21" t="str">
        <f>MID(H479,6,1)</f>
        <v>0</v>
      </c>
      <c r="Q484" s="26" t="str">
        <f t="shared" si="447"/>
        <v>0</v>
      </c>
      <c r="R484" s="7" t="s">
        <v>72</v>
      </c>
      <c r="S484" s="564" t="s">
        <v>1343</v>
      </c>
      <c r="T484" s="21" t="str">
        <f>MID(I479,6,1)</f>
        <v>0</v>
      </c>
      <c r="U484" s="26" t="str">
        <f t="shared" si="448"/>
        <v>0</v>
      </c>
      <c r="V484" s="7" t="s">
        <v>72</v>
      </c>
      <c r="W484" s="301" t="s">
        <v>1326</v>
      </c>
      <c r="X484" s="21" t="str">
        <f>MID(J479,6,1)</f>
        <v>0</v>
      </c>
      <c r="Y484" s="26" t="str">
        <f t="shared" si="449"/>
        <v>0</v>
      </c>
      <c r="Z484" s="7" t="s">
        <v>72</v>
      </c>
      <c r="AA484" s="301" t="s">
        <v>1326</v>
      </c>
      <c r="AB484" s="400"/>
      <c r="AC484" s="381"/>
      <c r="AD484" s="381"/>
      <c r="AE484" s="401"/>
      <c r="AF484" s="400"/>
      <c r="AG484" s="381"/>
      <c r="AH484" s="381"/>
      <c r="AI484" s="401"/>
      <c r="AJ484" s="400"/>
      <c r="AK484" s="401"/>
      <c r="AL484" s="501"/>
    </row>
    <row r="485" spans="3:38" x14ac:dyDescent="0.3">
      <c r="C485" s="7" t="s">
        <v>67</v>
      </c>
      <c r="D485" s="99">
        <f>HEX2DEC(D483)</f>
        <v>0</v>
      </c>
      <c r="E485" s="99">
        <f t="shared" ref="E485:L485" si="451">HEX2DEC(E483)</f>
        <v>0</v>
      </c>
      <c r="F485" s="99">
        <f t="shared" si="451"/>
        <v>0</v>
      </c>
      <c r="G485" s="99">
        <f t="shared" si="451"/>
        <v>0</v>
      </c>
      <c r="H485" s="99">
        <f t="shared" si="451"/>
        <v>0</v>
      </c>
      <c r="I485" s="99">
        <f t="shared" si="451"/>
        <v>0</v>
      </c>
      <c r="J485" s="99">
        <f t="shared" si="451"/>
        <v>0</v>
      </c>
      <c r="K485" s="99">
        <f t="shared" si="451"/>
        <v>0</v>
      </c>
      <c r="L485" s="99">
        <f t="shared" si="451"/>
        <v>0</v>
      </c>
      <c r="M485" s="99">
        <f>SUM(D485:L485)</f>
        <v>0</v>
      </c>
      <c r="N485" s="8"/>
      <c r="P485" s="21" t="str">
        <f>MID(H479,7,1)</f>
        <v>0</v>
      </c>
      <c r="Q485" s="26" t="str">
        <f t="shared" si="447"/>
        <v>0</v>
      </c>
      <c r="R485" s="7" t="s">
        <v>73</v>
      </c>
      <c r="S485" s="566"/>
      <c r="T485" s="21" t="str">
        <f>MID(I479,7,1)</f>
        <v>0</v>
      </c>
      <c r="U485" s="26" t="str">
        <f t="shared" si="448"/>
        <v>0</v>
      </c>
      <c r="V485" s="7" t="s">
        <v>73</v>
      </c>
      <c r="W485" s="301" t="s">
        <v>1326</v>
      </c>
      <c r="X485" s="21" t="str">
        <f>MID(J479,7,1)</f>
        <v>0</v>
      </c>
      <c r="Y485" s="26" t="str">
        <f t="shared" si="449"/>
        <v>0</v>
      </c>
      <c r="Z485" s="7" t="s">
        <v>73</v>
      </c>
      <c r="AA485" s="301" t="s">
        <v>1326</v>
      </c>
      <c r="AB485" s="400"/>
      <c r="AC485" s="381"/>
      <c r="AD485" s="381"/>
      <c r="AE485" s="401"/>
      <c r="AF485" s="400"/>
      <c r="AG485" s="381"/>
      <c r="AH485" s="381"/>
      <c r="AI485" s="401"/>
      <c r="AJ485" s="400"/>
      <c r="AK485" s="401"/>
      <c r="AL485" s="501"/>
    </row>
    <row r="486" spans="3:38" ht="15" thickBot="1" x14ac:dyDescent="0.35">
      <c r="C486" s="9" t="s">
        <v>1678</v>
      </c>
      <c r="D486" s="334" t="str">
        <f>D481</f>
        <v/>
      </c>
      <c r="E486" s="334" t="str">
        <f t="shared" ref="E486:G486" si="452">E481</f>
        <v/>
      </c>
      <c r="F486" s="334" t="str">
        <f t="shared" si="452"/>
        <v/>
      </c>
      <c r="G486" s="334" t="str">
        <f t="shared" si="452"/>
        <v/>
      </c>
      <c r="H486" s="10"/>
      <c r="I486" s="10"/>
      <c r="J486" s="10"/>
      <c r="K486" s="10"/>
      <c r="L486" s="10"/>
      <c r="M486" s="10"/>
      <c r="N486" s="11"/>
      <c r="P486" s="22" t="str">
        <f>MID(H479,8,1)</f>
        <v>0</v>
      </c>
      <c r="Q486" s="55" t="str">
        <f t="shared" si="447"/>
        <v>0</v>
      </c>
      <c r="R486" s="9" t="s">
        <v>74</v>
      </c>
      <c r="S486" s="567"/>
      <c r="T486" s="22" t="str">
        <f>MID(I479,8,1)</f>
        <v>0</v>
      </c>
      <c r="U486" s="55" t="str">
        <f t="shared" si="448"/>
        <v>0</v>
      </c>
      <c r="V486" s="9" t="s">
        <v>74</v>
      </c>
      <c r="W486" s="302" t="s">
        <v>1326</v>
      </c>
      <c r="X486" s="22" t="str">
        <f>MID(J479,8,1)</f>
        <v>0</v>
      </c>
      <c r="Y486" s="55" t="str">
        <f t="shared" si="449"/>
        <v>0</v>
      </c>
      <c r="Z486" s="9" t="s">
        <v>74</v>
      </c>
      <c r="AA486" s="302" t="s">
        <v>1326</v>
      </c>
      <c r="AB486" s="402"/>
      <c r="AC486" s="403"/>
      <c r="AD486" s="403"/>
      <c r="AE486" s="404"/>
      <c r="AF486" s="402"/>
      <c r="AG486" s="403"/>
      <c r="AH486" s="403"/>
      <c r="AI486" s="404"/>
      <c r="AJ486" s="402"/>
      <c r="AK486" s="404"/>
      <c r="AL486" s="501"/>
    </row>
    <row r="487" spans="3:38" ht="15" thickBot="1" x14ac:dyDescent="0.35">
      <c r="C487" s="4"/>
      <c r="D487" s="5"/>
      <c r="E487" s="5"/>
      <c r="F487" s="5"/>
      <c r="G487" s="5"/>
      <c r="H487" s="5"/>
      <c r="I487" s="5"/>
      <c r="J487" s="5"/>
      <c r="K487" s="5"/>
      <c r="L487" s="5"/>
      <c r="M487" s="5" t="s">
        <v>41</v>
      </c>
      <c r="N487" s="6"/>
      <c r="P487" s="530" t="s">
        <v>1815</v>
      </c>
      <c r="Q487" s="530"/>
      <c r="R487" s="530"/>
      <c r="S487" s="530"/>
      <c r="T487" s="530"/>
      <c r="U487" s="530"/>
      <c r="V487" s="530"/>
      <c r="W487" s="530"/>
      <c r="X487" s="530"/>
      <c r="Y487" s="530"/>
      <c r="Z487" s="530"/>
      <c r="AA487" s="530"/>
      <c r="AB487" s="530"/>
      <c r="AC487" s="530"/>
      <c r="AD487" s="530"/>
      <c r="AE487" s="530"/>
      <c r="AF487" s="530"/>
      <c r="AG487" s="530"/>
      <c r="AH487" s="530"/>
      <c r="AI487" s="530"/>
      <c r="AJ487" s="530"/>
      <c r="AK487" s="530"/>
      <c r="AL487" s="501"/>
    </row>
    <row r="488" spans="3:38" ht="15" thickBot="1" x14ac:dyDescent="0.35">
      <c r="C488" s="7"/>
      <c r="D488" s="393" t="s">
        <v>1548</v>
      </c>
      <c r="E488" s="393"/>
      <c r="F488" s="393"/>
      <c r="G488" s="393"/>
      <c r="H488" s="99" t="s">
        <v>44</v>
      </c>
      <c r="I488" s="99" t="s">
        <v>45</v>
      </c>
      <c r="J488" s="99" t="s">
        <v>46</v>
      </c>
      <c r="K488" s="99" t="s">
        <v>47</v>
      </c>
      <c r="L488" s="99" t="s">
        <v>48</v>
      </c>
      <c r="M488" s="99" t="s">
        <v>49</v>
      </c>
      <c r="N488" s="8"/>
      <c r="P488" s="394" t="s">
        <v>50</v>
      </c>
      <c r="Q488" s="395"/>
      <c r="R488" s="395"/>
      <c r="S488" s="396"/>
      <c r="T488" s="394" t="s">
        <v>51</v>
      </c>
      <c r="U488" s="395"/>
      <c r="V488" s="395"/>
      <c r="W488" s="396"/>
      <c r="X488" s="394" t="s">
        <v>52</v>
      </c>
      <c r="Y488" s="395"/>
      <c r="Z488" s="395"/>
      <c r="AA488" s="396"/>
      <c r="AB488" s="394" t="s">
        <v>53</v>
      </c>
      <c r="AC488" s="395"/>
      <c r="AD488" s="395"/>
      <c r="AE488" s="396"/>
      <c r="AF488" s="394" t="s">
        <v>97</v>
      </c>
      <c r="AG488" s="395"/>
      <c r="AH488" s="395"/>
      <c r="AI488" s="396"/>
      <c r="AJ488" s="394" t="s">
        <v>55</v>
      </c>
      <c r="AK488" s="396"/>
      <c r="AL488" s="501"/>
    </row>
    <row r="489" spans="3:38" ht="15" thickBot="1" x14ac:dyDescent="0.35">
      <c r="C489" s="7" t="s">
        <v>56</v>
      </c>
      <c r="D489" s="12" t="str">
        <f>IF(J412="","",7)</f>
        <v/>
      </c>
      <c r="E489" s="13" t="str">
        <f>IF(J412="","",20)</f>
        <v/>
      </c>
      <c r="F489" s="13" t="str">
        <f>IF(J412="","",4)</f>
        <v/>
      </c>
      <c r="G489" s="14" t="str">
        <f>IF(J412="","",35)</f>
        <v/>
      </c>
      <c r="H489" s="41" t="str" cm="1">
        <f t="array" ref="H489">_xlfn.IFNA(MID(INDEX($A$3:$A$70,IF(ISNA(MATCH("720G4I3*",$A$3:$A$70,0))=TRUE,MATCH("7200435*",$A$3:$A$70,0),MATCH("720G4I3*",$A$3:$A$70,0))),$AU$8,2),"")</f>
        <v/>
      </c>
      <c r="I489" s="42" t="str" cm="1">
        <f t="array" ref="I489">_xlfn.IFNA(MID(INDEX($A$3:$A$70,IF(ISNA(MATCH("720G4I3*",$A$3:$A$70,0))=TRUE,MATCH("7200435*",$A$3:$A$70,0),MATCH("720G4I3*",$A$3:$A$70,0))),$AV$8,2),"")</f>
        <v/>
      </c>
      <c r="J489" s="24" t="str" cm="1">
        <f t="array" ref="J489">_xlfn.IFNA(MID(INDEX($A$3:$A$70,IF(ISNA(MATCH("720G4I3*",$A$3:$A$70,0))=TRUE,MATCH("7200435*",$A$3:$A$70,0),MATCH("720G4I3*",$A$3:$A$70,0))),$AW$8,2),"")</f>
        <v/>
      </c>
      <c r="K489" s="42" t="str" cm="1">
        <f t="array" ref="K489">_xlfn.IFNA(MID(INDEX($A$3:$A$70,IF(ISNA(MATCH("720G4I3*",$A$3:$A$70,0))=TRUE,MATCH("7200435*",$A$3:$A$70,0),MATCH("720G4I3*",$A$3:$A$70,0))),$AX$8,2),"")</f>
        <v/>
      </c>
      <c r="L489" s="43" t="str" cm="1">
        <f t="array" ref="L489">_xlfn.IFNA(MID(INDEX($A$3:$A$70,IF(ISNA(MATCH("720G4I3*",$A$3:$A$70,0))=TRUE,MATCH("7200435*",$A$3:$A$70,0),MATCH("720G4I3*",$A$3:$A$70,0))),$AY$8,2),"")</f>
        <v/>
      </c>
      <c r="M489" s="44" t="str" cm="1">
        <f t="array" ref="M489">_xlfn.IFNA(MID(INDEX($A$3:$A$70,IF(ISNA(MATCH("720G4I3*",$A$3:$A$70,0))=TRUE,MATCH("7200435*",$A$3:$A$70,0),MATCH("720G4I3*",$A$3:$A$70,0))),$AZ$8,2),"")</f>
        <v/>
      </c>
      <c r="N489" s="8" t="s">
        <v>60</v>
      </c>
      <c r="P489" s="19" t="s">
        <v>60</v>
      </c>
      <c r="Q489" s="20" t="s">
        <v>61</v>
      </c>
      <c r="R489" t="s">
        <v>62</v>
      </c>
      <c r="S489" s="8"/>
      <c r="T489" s="19" t="s">
        <v>60</v>
      </c>
      <c r="U489" s="20" t="s">
        <v>61</v>
      </c>
      <c r="V489" t="s">
        <v>62</v>
      </c>
      <c r="W489" s="8"/>
      <c r="X489" s="19" t="s">
        <v>60</v>
      </c>
      <c r="Y489" s="20" t="s">
        <v>61</v>
      </c>
      <c r="Z489" t="s">
        <v>62</v>
      </c>
      <c r="AA489" s="8"/>
      <c r="AB489" s="19" t="s">
        <v>60</v>
      </c>
      <c r="AC489" s="20" t="s">
        <v>61</v>
      </c>
      <c r="AD489" t="s">
        <v>62</v>
      </c>
      <c r="AE489" s="8"/>
      <c r="AF489" s="19" t="s">
        <v>60</v>
      </c>
      <c r="AG489" s="20" t="s">
        <v>61</v>
      </c>
      <c r="AH489" t="s">
        <v>62</v>
      </c>
      <c r="AJ489" s="394" t="s">
        <v>63</v>
      </c>
      <c r="AK489" s="396"/>
      <c r="AL489" s="501"/>
    </row>
    <row r="490" spans="3:38" x14ac:dyDescent="0.3">
      <c r="C490" s="7" t="s">
        <v>64</v>
      </c>
      <c r="D490" s="99" t="str">
        <f>HEX2BIN(D489,8)</f>
        <v>00000000</v>
      </c>
      <c r="E490" s="99" t="str">
        <f t="shared" ref="E490:L490" si="453">HEX2BIN(E489,8)</f>
        <v>00000000</v>
      </c>
      <c r="F490" s="99" t="str">
        <f t="shared" si="453"/>
        <v>00000000</v>
      </c>
      <c r="G490" s="99" t="str">
        <f t="shared" si="453"/>
        <v>00000000</v>
      </c>
      <c r="H490" s="99" t="str">
        <f t="shared" si="453"/>
        <v>00000000</v>
      </c>
      <c r="I490" s="99" t="str">
        <f t="shared" si="453"/>
        <v>00000000</v>
      </c>
      <c r="J490" s="99" t="str">
        <f t="shared" si="453"/>
        <v>00000000</v>
      </c>
      <c r="K490" s="99" t="str">
        <f t="shared" si="453"/>
        <v>00000000</v>
      </c>
      <c r="L490" s="99" t="str">
        <f t="shared" si="453"/>
        <v>00000000</v>
      </c>
      <c r="N490" s="8"/>
      <c r="P490" s="21" t="str">
        <f>MID(H490,1,1)</f>
        <v>0</v>
      </c>
      <c r="Q490" s="26" t="str">
        <f>P490</f>
        <v>0</v>
      </c>
      <c r="R490" s="7" t="s">
        <v>65</v>
      </c>
      <c r="S490" s="564" t="s">
        <v>1701</v>
      </c>
      <c r="T490" s="21" t="str">
        <f>MID(I490,1,1)</f>
        <v>0</v>
      </c>
      <c r="U490" s="26" t="str">
        <f>T490</f>
        <v>0</v>
      </c>
      <c r="V490" s="7" t="s">
        <v>65</v>
      </c>
      <c r="W490" s="8" t="s">
        <v>66</v>
      </c>
      <c r="X490" s="21" t="str">
        <f>MID(J490,1,1)</f>
        <v>0</v>
      </c>
      <c r="Y490" s="26" t="str">
        <f>X490</f>
        <v>0</v>
      </c>
      <c r="Z490" s="7" t="s">
        <v>65</v>
      </c>
      <c r="AA490" s="8" t="s">
        <v>66</v>
      </c>
      <c r="AB490" s="21" t="str">
        <f>MID(K490,1,1)</f>
        <v>0</v>
      </c>
      <c r="AC490" s="26" t="str">
        <f>AB490</f>
        <v>0</v>
      </c>
      <c r="AD490" s="7" t="s">
        <v>65</v>
      </c>
      <c r="AE490" s="8" t="s">
        <v>66</v>
      </c>
      <c r="AF490" s="21" t="str">
        <f>MID(L490,1,1)</f>
        <v>0</v>
      </c>
      <c r="AG490" s="26" t="str">
        <f>AF490</f>
        <v>0</v>
      </c>
      <c r="AH490" s="7" t="s">
        <v>65</v>
      </c>
      <c r="AI490" s="8" t="s">
        <v>66</v>
      </c>
      <c r="AJ490" s="400"/>
      <c r="AK490" s="401"/>
      <c r="AL490" s="501"/>
    </row>
    <row r="491" spans="3:38" ht="15" customHeight="1" x14ac:dyDescent="0.3">
      <c r="C491" s="7" t="s">
        <v>67</v>
      </c>
      <c r="D491" s="99">
        <f>HEX2DEC(D489)</f>
        <v>0</v>
      </c>
      <c r="E491" s="99">
        <f t="shared" ref="E491:L491" si="454">HEX2DEC(E489)</f>
        <v>0</v>
      </c>
      <c r="F491" s="99">
        <f t="shared" si="454"/>
        <v>0</v>
      </c>
      <c r="G491" s="99">
        <f t="shared" si="454"/>
        <v>0</v>
      </c>
      <c r="H491" s="99">
        <f t="shared" si="454"/>
        <v>0</v>
      </c>
      <c r="I491" s="99">
        <f t="shared" si="454"/>
        <v>0</v>
      </c>
      <c r="J491" s="99">
        <f t="shared" si="454"/>
        <v>0</v>
      </c>
      <c r="K491" s="99">
        <f t="shared" si="454"/>
        <v>0</v>
      </c>
      <c r="L491" s="99">
        <f t="shared" si="454"/>
        <v>0</v>
      </c>
      <c r="M491" s="99">
        <f>SUM(D491:L491)</f>
        <v>0</v>
      </c>
      <c r="N491" s="8"/>
      <c r="P491" s="21" t="str">
        <f>MID(H490,2,1)</f>
        <v>0</v>
      </c>
      <c r="Q491" s="26" t="str">
        <f t="shared" ref="Q491:Q497" si="455">P491</f>
        <v>0</v>
      </c>
      <c r="R491" s="7" t="s">
        <v>68</v>
      </c>
      <c r="S491" s="566"/>
      <c r="T491" s="21" t="str">
        <f>MID(I490,2,1)</f>
        <v>0</v>
      </c>
      <c r="U491" s="26" t="str">
        <f t="shared" ref="U491:U497" si="456">T491</f>
        <v>0</v>
      </c>
      <c r="V491" s="7" t="s">
        <v>68</v>
      </c>
      <c r="W491" s="8" t="s">
        <v>66</v>
      </c>
      <c r="X491" s="21" t="str">
        <f>MID(J490,2,1)</f>
        <v>0</v>
      </c>
      <c r="Y491" s="26" t="str">
        <f t="shared" ref="Y491:Y497" si="457">X491</f>
        <v>0</v>
      </c>
      <c r="Z491" s="7" t="s">
        <v>68</v>
      </c>
      <c r="AA491" s="8" t="s">
        <v>66</v>
      </c>
      <c r="AB491" s="21" t="str">
        <f>MID(K490,2,1)</f>
        <v>0</v>
      </c>
      <c r="AC491" s="26" t="str">
        <f t="shared" ref="AC491:AC497" si="458">AB491</f>
        <v>0</v>
      </c>
      <c r="AD491" s="7" t="s">
        <v>68</v>
      </c>
      <c r="AE491" s="8" t="s">
        <v>66</v>
      </c>
      <c r="AF491" s="21" t="str">
        <f>MID(L490,2,1)</f>
        <v>0</v>
      </c>
      <c r="AG491" s="26" t="str">
        <f t="shared" ref="AG491:AG497" si="459">AF491</f>
        <v>0</v>
      </c>
      <c r="AH491" s="7" t="s">
        <v>68</v>
      </c>
      <c r="AI491" s="8" t="s">
        <v>66</v>
      </c>
      <c r="AJ491" s="400"/>
      <c r="AK491" s="401"/>
      <c r="AL491" s="501"/>
    </row>
    <row r="492" spans="3:38" x14ac:dyDescent="0.3">
      <c r="C492" s="7" t="s">
        <v>1678</v>
      </c>
      <c r="D492" s="333" t="str">
        <f>D489</f>
        <v/>
      </c>
      <c r="E492" s="333" t="str">
        <f>E489</f>
        <v/>
      </c>
      <c r="F492" s="99" t="str">
        <f>_xlfn.IFNA(MID(INDEX($A$3:$A$70,IF(ISNA(MATCH("720G4I3*",$A$3:$A$70,0))=TRUE,MATCH("7200435*",$A$3:$A$70,0),MATCH("720G4I3*",$A$3:$A$70,0))),$AS$8,2),"")</f>
        <v/>
      </c>
      <c r="G492" s="99" t="str">
        <f>_xlfn.IFNA(MID(INDEX($A$3:$A$70,IF(ISNA(MATCH("720G4I3*",$A$3:$A$70,0))=TRUE,MATCH("7200435*",$A$3:$A$70,0),MATCH("720G4I3*",$A$3:$A$70,0))),$AT$8,2),"")</f>
        <v/>
      </c>
      <c r="N492" s="8"/>
      <c r="P492" s="21" t="str">
        <f>MID(H490,3,1)</f>
        <v>0</v>
      </c>
      <c r="Q492" s="26" t="str">
        <f t="shared" si="455"/>
        <v>0</v>
      </c>
      <c r="R492" s="7" t="s">
        <v>69</v>
      </c>
      <c r="S492" s="568"/>
      <c r="T492" s="21" t="str">
        <f>MID(I490,3,1)</f>
        <v>0</v>
      </c>
      <c r="U492" s="26" t="str">
        <f t="shared" si="456"/>
        <v>0</v>
      </c>
      <c r="V492" s="7" t="s">
        <v>69</v>
      </c>
      <c r="W492" s="8" t="s">
        <v>66</v>
      </c>
      <c r="X492" s="21" t="str">
        <f>MID(J490,3,1)</f>
        <v>0</v>
      </c>
      <c r="Y492" s="26" t="str">
        <f t="shared" si="457"/>
        <v>0</v>
      </c>
      <c r="Z492" s="7" t="s">
        <v>69</v>
      </c>
      <c r="AA492" s="8" t="s">
        <v>66</v>
      </c>
      <c r="AB492" s="21" t="str">
        <f>MID(K490,3,1)</f>
        <v>0</v>
      </c>
      <c r="AC492" s="26" t="str">
        <f t="shared" si="458"/>
        <v>0</v>
      </c>
      <c r="AD492" s="7" t="s">
        <v>69</v>
      </c>
      <c r="AE492" s="8" t="s">
        <v>66</v>
      </c>
      <c r="AF492" s="21" t="str">
        <f>MID(L490,3,1)</f>
        <v>0</v>
      </c>
      <c r="AG492" s="26" t="str">
        <f t="shared" si="459"/>
        <v>0</v>
      </c>
      <c r="AH492" s="7" t="s">
        <v>69</v>
      </c>
      <c r="AI492" s="8" t="s">
        <v>66</v>
      </c>
      <c r="AJ492" s="400"/>
      <c r="AK492" s="401"/>
      <c r="AL492" s="501"/>
    </row>
    <row r="493" spans="3:38" ht="15" thickBot="1" x14ac:dyDescent="0.35">
      <c r="C493" s="7"/>
      <c r="N493" s="8"/>
      <c r="P493" s="21" t="str">
        <f>MID(H490,4,1)</f>
        <v>0</v>
      </c>
      <c r="Q493" s="26" t="str">
        <f t="shared" si="455"/>
        <v>0</v>
      </c>
      <c r="R493" s="7" t="s">
        <v>70</v>
      </c>
      <c r="S493" s="285" t="s">
        <v>1702</v>
      </c>
      <c r="T493" s="21" t="str">
        <f>MID(I490,4,1)</f>
        <v>0</v>
      </c>
      <c r="U493" s="26" t="str">
        <f t="shared" si="456"/>
        <v>0</v>
      </c>
      <c r="V493" s="7" t="s">
        <v>70</v>
      </c>
      <c r="W493" s="8" t="s">
        <v>66</v>
      </c>
      <c r="X493" s="21" t="str">
        <f>MID(J490,4,1)</f>
        <v>0</v>
      </c>
      <c r="Y493" s="26" t="str">
        <f t="shared" si="457"/>
        <v>0</v>
      </c>
      <c r="Z493" s="7" t="s">
        <v>70</v>
      </c>
      <c r="AA493" s="8" t="s">
        <v>66</v>
      </c>
      <c r="AB493" s="21" t="str">
        <f>MID(K490,4,1)</f>
        <v>0</v>
      </c>
      <c r="AC493" s="26" t="str">
        <f t="shared" si="458"/>
        <v>0</v>
      </c>
      <c r="AD493" s="7" t="s">
        <v>70</v>
      </c>
      <c r="AE493" s="8" t="s">
        <v>66</v>
      </c>
      <c r="AF493" s="21" t="str">
        <f>MID(L490,4,1)</f>
        <v>0</v>
      </c>
      <c r="AG493" s="26" t="str">
        <f t="shared" si="459"/>
        <v>0</v>
      </c>
      <c r="AH493" s="7" t="s">
        <v>70</v>
      </c>
      <c r="AI493" s="8" t="s">
        <v>66</v>
      </c>
      <c r="AJ493" s="400"/>
      <c r="AK493" s="401"/>
      <c r="AL493" s="501"/>
    </row>
    <row r="494" spans="3:38" ht="15" thickBot="1" x14ac:dyDescent="0.35">
      <c r="C494" s="7" t="s">
        <v>56</v>
      </c>
      <c r="D494" s="15" t="str">
        <f>D489</f>
        <v/>
      </c>
      <c r="E494" s="16" t="str">
        <f>E489</f>
        <v/>
      </c>
      <c r="F494" s="16" t="str">
        <f>F489</f>
        <v/>
      </c>
      <c r="G494" s="17" t="str">
        <f>G489</f>
        <v/>
      </c>
      <c r="H494" s="23" t="str">
        <f>IF(J412="","",BIN2HEX(H495,2))</f>
        <v/>
      </c>
      <c r="I494" s="25" t="str">
        <f>IF(J412="","",BIN2HEX(I495,2))</f>
        <v/>
      </c>
      <c r="J494" s="24" t="str">
        <f>IF(J412="","",BIN2HEX(J495,2))</f>
        <v/>
      </c>
      <c r="K494" s="2" t="str">
        <f>IF(J412="","",BIN2HEX(K495,2))</f>
        <v/>
      </c>
      <c r="L494" s="18" t="str">
        <f>IF(J412="","",BIN2HEX(L495,2))</f>
        <v/>
      </c>
      <c r="M494" s="3" t="str">
        <f>IF(J412="","",IF(LEN(M495)&gt;2,MID(M495,2,2),M495))</f>
        <v/>
      </c>
      <c r="N494" s="8" t="s">
        <v>61</v>
      </c>
      <c r="P494" s="21" t="str">
        <f>MID(H490,5,1)</f>
        <v>0</v>
      </c>
      <c r="Q494" s="26" t="str">
        <f t="shared" si="455"/>
        <v>0</v>
      </c>
      <c r="R494" s="7" t="s">
        <v>71</v>
      </c>
      <c r="S494" s="8" t="s">
        <v>66</v>
      </c>
      <c r="T494" s="21" t="str">
        <f>MID(I490,5,1)</f>
        <v>0</v>
      </c>
      <c r="U494" s="26" t="str">
        <f t="shared" si="456"/>
        <v>0</v>
      </c>
      <c r="V494" s="7" t="s">
        <v>71</v>
      </c>
      <c r="W494" s="8" t="s">
        <v>66</v>
      </c>
      <c r="X494" s="21" t="str">
        <f>MID(J490,5,1)</f>
        <v>0</v>
      </c>
      <c r="Y494" s="26" t="str">
        <f t="shared" si="457"/>
        <v>0</v>
      </c>
      <c r="Z494" s="7" t="s">
        <v>71</v>
      </c>
      <c r="AA494" s="8" t="s">
        <v>66</v>
      </c>
      <c r="AB494" s="21" t="str">
        <f>MID(K490,5,1)</f>
        <v>0</v>
      </c>
      <c r="AC494" s="26" t="str">
        <f t="shared" si="458"/>
        <v>0</v>
      </c>
      <c r="AD494" s="7" t="s">
        <v>71</v>
      </c>
      <c r="AE494" s="8" t="s">
        <v>66</v>
      </c>
      <c r="AF494" s="21" t="str">
        <f>MID(L490,5,1)</f>
        <v>0</v>
      </c>
      <c r="AG494" s="26" t="str">
        <f t="shared" si="459"/>
        <v>0</v>
      </c>
      <c r="AH494" s="7" t="s">
        <v>71</v>
      </c>
      <c r="AI494" s="8" t="s">
        <v>66</v>
      </c>
      <c r="AJ494" s="400"/>
      <c r="AK494" s="401"/>
      <c r="AL494" s="501"/>
    </row>
    <row r="495" spans="3:38" x14ac:dyDescent="0.3">
      <c r="C495" s="7" t="s">
        <v>64</v>
      </c>
      <c r="D495" s="99" t="str">
        <f>HEX2BIN(D494,8)</f>
        <v>00000000</v>
      </c>
      <c r="E495" s="99" t="str">
        <f t="shared" ref="E495:G495" si="460">HEX2BIN(E494,8)</f>
        <v>00000000</v>
      </c>
      <c r="F495" s="99" t="str">
        <f t="shared" si="460"/>
        <v>00000000</v>
      </c>
      <c r="G495" s="99" t="str">
        <f t="shared" si="460"/>
        <v>00000000</v>
      </c>
      <c r="H495" s="29" t="str">
        <f>Q490&amp;Q491&amp;Q492&amp;Q493&amp;Q494&amp;Q495&amp;Q496&amp;Q497</f>
        <v>00000000</v>
      </c>
      <c r="I495" s="99" t="str">
        <f>U490&amp;U491&amp;U492&amp;U493&amp;U494&amp;U495&amp;U496&amp;U497</f>
        <v>00000000</v>
      </c>
      <c r="J495" s="29" t="str">
        <f>Y490&amp;Y491&amp;Y492&amp;Y493&amp;Y494&amp;Y495&amp;Y496&amp;Y497</f>
        <v>00000000</v>
      </c>
      <c r="K495" s="29" t="str">
        <f>AC490&amp;AC491&amp;AC492&amp;AC493&amp;AC494&amp;AC495&amp;AC496&amp;AC497</f>
        <v>00000000</v>
      </c>
      <c r="L495" s="99" t="str">
        <f>AG490&amp;AG491&amp;AG492&amp;AG493&amp;AG494&amp;AG495&amp;AG496&amp;AG497</f>
        <v>00000000</v>
      </c>
      <c r="M495" s="99" t="str">
        <f>DEC2HEX(M496)</f>
        <v>0</v>
      </c>
      <c r="N495" s="8"/>
      <c r="P495" s="21" t="str">
        <f>MID(H490,6,1)</f>
        <v>0</v>
      </c>
      <c r="Q495" s="26" t="str">
        <f t="shared" si="455"/>
        <v>0</v>
      </c>
      <c r="R495" s="7" t="s">
        <v>72</v>
      </c>
      <c r="S495" s="8" t="s">
        <v>66</v>
      </c>
      <c r="T495" s="21" t="str">
        <f>MID(I490,6,1)</f>
        <v>0</v>
      </c>
      <c r="U495" s="26" t="str">
        <f t="shared" si="456"/>
        <v>0</v>
      </c>
      <c r="V495" s="7" t="s">
        <v>72</v>
      </c>
      <c r="W495" s="8" t="s">
        <v>66</v>
      </c>
      <c r="X495" s="21" t="str">
        <f>MID(J490,6,1)</f>
        <v>0</v>
      </c>
      <c r="Y495" s="26" t="str">
        <f t="shared" si="457"/>
        <v>0</v>
      </c>
      <c r="Z495" s="7" t="s">
        <v>72</v>
      </c>
      <c r="AA495" s="8" t="s">
        <v>66</v>
      </c>
      <c r="AB495" s="21" t="str">
        <f>MID(K490,6,1)</f>
        <v>0</v>
      </c>
      <c r="AC495" s="26" t="str">
        <f t="shared" si="458"/>
        <v>0</v>
      </c>
      <c r="AD495" s="7" t="s">
        <v>72</v>
      </c>
      <c r="AE495" s="8" t="s">
        <v>66</v>
      </c>
      <c r="AF495" s="21" t="str">
        <f>MID(L490,6,1)</f>
        <v>0</v>
      </c>
      <c r="AG495" s="26" t="str">
        <f t="shared" si="459"/>
        <v>0</v>
      </c>
      <c r="AH495" s="7" t="s">
        <v>72</v>
      </c>
      <c r="AI495" s="8" t="s">
        <v>66</v>
      </c>
      <c r="AJ495" s="400"/>
      <c r="AK495" s="401"/>
      <c r="AL495" s="501"/>
    </row>
    <row r="496" spans="3:38" x14ac:dyDescent="0.3">
      <c r="C496" s="7" t="s">
        <v>67</v>
      </c>
      <c r="D496" s="99">
        <f>HEX2DEC(D494)</f>
        <v>0</v>
      </c>
      <c r="E496" s="99">
        <f t="shared" ref="E496:L496" si="461">HEX2DEC(E494)</f>
        <v>0</v>
      </c>
      <c r="F496" s="99">
        <f t="shared" si="461"/>
        <v>0</v>
      </c>
      <c r="G496" s="99">
        <f t="shared" si="461"/>
        <v>0</v>
      </c>
      <c r="H496" s="99">
        <f t="shared" si="461"/>
        <v>0</v>
      </c>
      <c r="I496" s="99">
        <f t="shared" si="461"/>
        <v>0</v>
      </c>
      <c r="J496" s="99">
        <f t="shared" si="461"/>
        <v>0</v>
      </c>
      <c r="K496" s="99">
        <f t="shared" si="461"/>
        <v>0</v>
      </c>
      <c r="L496" s="99">
        <f t="shared" si="461"/>
        <v>0</v>
      </c>
      <c r="M496" s="99">
        <f>SUM(D496:L496)</f>
        <v>0</v>
      </c>
      <c r="N496" s="8"/>
      <c r="P496" s="21" t="str">
        <f>MID(H490,7,1)</f>
        <v>0</v>
      </c>
      <c r="Q496" s="26" t="str">
        <f t="shared" si="455"/>
        <v>0</v>
      </c>
      <c r="R496" s="7" t="s">
        <v>73</v>
      </c>
      <c r="S496" s="8" t="s">
        <v>66</v>
      </c>
      <c r="T496" s="21" t="str">
        <f>MID(I490,7,1)</f>
        <v>0</v>
      </c>
      <c r="U496" s="26" t="str">
        <f t="shared" si="456"/>
        <v>0</v>
      </c>
      <c r="V496" s="7" t="s">
        <v>73</v>
      </c>
      <c r="W496" s="8" t="s">
        <v>66</v>
      </c>
      <c r="X496" s="21" t="str">
        <f>MID(J490,7,1)</f>
        <v>0</v>
      </c>
      <c r="Y496" s="26" t="str">
        <f t="shared" si="457"/>
        <v>0</v>
      </c>
      <c r="Z496" s="7" t="s">
        <v>73</v>
      </c>
      <c r="AA496" s="8" t="s">
        <v>66</v>
      </c>
      <c r="AB496" s="21" t="str">
        <f>MID(K490,7,1)</f>
        <v>0</v>
      </c>
      <c r="AC496" s="26" t="str">
        <f t="shared" si="458"/>
        <v>0</v>
      </c>
      <c r="AD496" s="7" t="s">
        <v>73</v>
      </c>
      <c r="AE496" s="8" t="s">
        <v>66</v>
      </c>
      <c r="AF496" s="21" t="str">
        <f>MID(L490,7,1)</f>
        <v>0</v>
      </c>
      <c r="AG496" s="26" t="str">
        <f t="shared" si="459"/>
        <v>0</v>
      </c>
      <c r="AH496" s="7" t="s">
        <v>73</v>
      </c>
      <c r="AI496" s="8" t="s">
        <v>66</v>
      </c>
      <c r="AJ496" s="400"/>
      <c r="AK496" s="401"/>
      <c r="AL496" s="501"/>
    </row>
    <row r="497" spans="3:38" ht="15" thickBot="1" x14ac:dyDescent="0.35">
      <c r="C497" s="9" t="s">
        <v>1678</v>
      </c>
      <c r="D497" s="334" t="str">
        <f>D492</f>
        <v/>
      </c>
      <c r="E497" s="334" t="str">
        <f t="shared" ref="E497:G497" si="462">E492</f>
        <v/>
      </c>
      <c r="F497" s="334" t="str">
        <f t="shared" si="462"/>
        <v/>
      </c>
      <c r="G497" s="334" t="str">
        <f t="shared" si="462"/>
        <v/>
      </c>
      <c r="H497" s="10"/>
      <c r="I497" s="10"/>
      <c r="J497" s="10"/>
      <c r="K497" s="10"/>
      <c r="L497" s="10"/>
      <c r="M497" s="10"/>
      <c r="N497" s="11"/>
      <c r="P497" s="22" t="str">
        <f>MID(H490,8,1)</f>
        <v>0</v>
      </c>
      <c r="Q497" s="55" t="str">
        <f t="shared" si="455"/>
        <v>0</v>
      </c>
      <c r="R497" s="9" t="s">
        <v>74</v>
      </c>
      <c r="S497" s="11" t="s">
        <v>66</v>
      </c>
      <c r="T497" s="22" t="str">
        <f>MID(I490,8,1)</f>
        <v>0</v>
      </c>
      <c r="U497" s="55" t="str">
        <f t="shared" si="456"/>
        <v>0</v>
      </c>
      <c r="V497" s="9" t="s">
        <v>74</v>
      </c>
      <c r="W497" s="11" t="s">
        <v>66</v>
      </c>
      <c r="X497" s="22" t="str">
        <f>MID(J490,8,1)</f>
        <v>0</v>
      </c>
      <c r="Y497" s="55" t="str">
        <f t="shared" si="457"/>
        <v>0</v>
      </c>
      <c r="Z497" s="9" t="s">
        <v>74</v>
      </c>
      <c r="AA497" s="11" t="s">
        <v>66</v>
      </c>
      <c r="AB497" s="22" t="str">
        <f>MID(K490,8,1)</f>
        <v>0</v>
      </c>
      <c r="AC497" s="55" t="str">
        <f t="shared" si="458"/>
        <v>0</v>
      </c>
      <c r="AD497" s="9" t="s">
        <v>74</v>
      </c>
      <c r="AE497" s="11" t="s">
        <v>66</v>
      </c>
      <c r="AF497" s="22" t="str">
        <f>MID(L490,8,1)</f>
        <v>0</v>
      </c>
      <c r="AG497" s="55" t="str">
        <f t="shared" si="459"/>
        <v>0</v>
      </c>
      <c r="AH497" s="9" t="s">
        <v>74</v>
      </c>
      <c r="AI497" s="11" t="s">
        <v>66</v>
      </c>
      <c r="AJ497" s="402"/>
      <c r="AK497" s="404"/>
      <c r="AL497" s="501"/>
    </row>
    <row r="498" spans="3:38" ht="15" thickBot="1" x14ac:dyDescent="0.35">
      <c r="C498" s="4"/>
      <c r="D498" s="5"/>
      <c r="E498" s="5"/>
      <c r="F498" s="5"/>
      <c r="G498" s="5"/>
      <c r="H498" s="5"/>
      <c r="I498" s="5"/>
      <c r="J498" s="5"/>
      <c r="K498" s="5"/>
      <c r="L498" s="5"/>
      <c r="M498" s="5" t="s">
        <v>41</v>
      </c>
      <c r="N498" s="6"/>
      <c r="P498" s="530" t="s">
        <v>1816</v>
      </c>
      <c r="Q498" s="530"/>
      <c r="R498" s="530"/>
      <c r="S498" s="530"/>
      <c r="T498" s="530"/>
      <c r="U498" s="530"/>
      <c r="V498" s="530"/>
      <c r="W498" s="530"/>
      <c r="X498" s="530"/>
      <c r="Y498" s="530"/>
      <c r="Z498" s="530"/>
      <c r="AA498" s="530"/>
      <c r="AB498" s="530"/>
      <c r="AC498" s="530"/>
      <c r="AD498" s="530"/>
      <c r="AE498" s="530"/>
      <c r="AF498" s="530"/>
      <c r="AG498" s="530"/>
      <c r="AH498" s="530"/>
      <c r="AI498" s="530"/>
      <c r="AJ498" s="530"/>
      <c r="AK498" s="530"/>
      <c r="AL498" s="501"/>
    </row>
    <row r="499" spans="3:38" ht="15" thickBot="1" x14ac:dyDescent="0.35">
      <c r="C499" s="7"/>
      <c r="D499" s="393" t="s">
        <v>1547</v>
      </c>
      <c r="E499" s="393"/>
      <c r="F499" s="393"/>
      <c r="G499" s="393"/>
      <c r="H499" s="99" t="s">
        <v>44</v>
      </c>
      <c r="I499" s="99" t="s">
        <v>45</v>
      </c>
      <c r="J499" s="99" t="s">
        <v>46</v>
      </c>
      <c r="K499" s="99" t="s">
        <v>47</v>
      </c>
      <c r="L499" s="99" t="s">
        <v>48</v>
      </c>
      <c r="M499" s="99" t="s">
        <v>49</v>
      </c>
      <c r="N499" s="8"/>
      <c r="P499" s="394" t="s">
        <v>50</v>
      </c>
      <c r="Q499" s="395"/>
      <c r="R499" s="395"/>
      <c r="S499" s="396"/>
      <c r="T499" s="394" t="s">
        <v>247</v>
      </c>
      <c r="U499" s="395"/>
      <c r="V499" s="395"/>
      <c r="W499" s="396"/>
      <c r="X499" s="394" t="s">
        <v>300</v>
      </c>
      <c r="Y499" s="395"/>
      <c r="Z499" s="395"/>
      <c r="AA499" s="396"/>
      <c r="AB499" s="394" t="s">
        <v>53</v>
      </c>
      <c r="AC499" s="395"/>
      <c r="AD499" s="395"/>
      <c r="AE499" s="396"/>
      <c r="AF499" s="394" t="s">
        <v>97</v>
      </c>
      <c r="AG499" s="395"/>
      <c r="AH499" s="395"/>
      <c r="AI499" s="396"/>
      <c r="AJ499" s="394" t="s">
        <v>55</v>
      </c>
      <c r="AK499" s="396"/>
      <c r="AL499" s="501"/>
    </row>
    <row r="500" spans="3:38" ht="15" thickBot="1" x14ac:dyDescent="0.35">
      <c r="C500" s="7" t="s">
        <v>56</v>
      </c>
      <c r="D500" s="12" t="str">
        <f>IF(J412="","",7)</f>
        <v/>
      </c>
      <c r="E500" s="13" t="str">
        <f>IF(J412="","",20)</f>
        <v/>
      </c>
      <c r="F500" s="13" t="str">
        <f>IF(J412="","",4)</f>
        <v/>
      </c>
      <c r="G500" s="14" t="str">
        <f>IF(J412="","",36)</f>
        <v/>
      </c>
      <c r="H500" s="41" t="str" cm="1">
        <f t="array" ref="H500">_xlfn.IFNA(MID(INDEX($A$3:$A$70,IF(ISNA(MATCH("720G4I4*",$A$3:$A$70,0))=TRUE,MATCH("7200436*",$A$3:$A$70,0),MATCH("720G4I4*",$A$3:$A$70,0))),$AU$8,2),"")</f>
        <v/>
      </c>
      <c r="I500" s="42" t="str" cm="1">
        <f t="array" ref="I500">_xlfn.IFNA(MID(INDEX($A$3:$A$70,IF(ISNA(MATCH("720G4I4*",$A$3:$A$70,0))=TRUE,MATCH("7200436*",$A$3:$A$70,0),MATCH("720G4I4*",$A$3:$A$70,0))),$AV$8,2),"")</f>
        <v/>
      </c>
      <c r="J500" s="24" t="str" cm="1">
        <f t="array" ref="J500">_xlfn.IFNA(MID(INDEX($A$3:$A$70,IF(ISNA(MATCH("720G4I4*",$A$3:$A$70,0))=TRUE,MATCH("7200436*",$A$3:$A$70,0),MATCH("720G4I4*",$A$3:$A$70,0))),$AW$8,2),"")</f>
        <v/>
      </c>
      <c r="K500" s="42" t="str" cm="1">
        <f t="array" ref="K500">_xlfn.IFNA(MID(INDEX($A$3:$A$70,IF(ISNA(MATCH("720G4I4*",$A$3:$A$70,0))=TRUE,MATCH("7200436*",$A$3:$A$70,0),MATCH("720G4I4*",$A$3:$A$70,0))),$AX$8,2),"")</f>
        <v/>
      </c>
      <c r="L500" s="43" t="str" cm="1">
        <f t="array" ref="L500">_xlfn.IFNA(MID(INDEX($A$3:$A$70,IF(ISNA(MATCH("720G4I4*",$A$3:$A$70,0))=TRUE,MATCH("7200436*",$A$3:$A$70,0),MATCH("720G4I4*",$A$3:$A$70,0))),$AY$8,2),"")</f>
        <v/>
      </c>
      <c r="M500" s="44" t="str" cm="1">
        <f t="array" ref="M500">_xlfn.IFNA(MID(INDEX($A$3:$A$70,IF(ISNA(MATCH("720G4I4*",$A$3:$A$70,0))=TRUE,MATCH("7200436*",$A$3:$A$70,0),MATCH("720G4I4*",$A$3:$A$70,0))),$AZ$8,2),"")</f>
        <v/>
      </c>
      <c r="N500" s="8" t="s">
        <v>60</v>
      </c>
      <c r="P500" s="19" t="s">
        <v>60</v>
      </c>
      <c r="Q500" s="20" t="s">
        <v>61</v>
      </c>
      <c r="R500" t="s">
        <v>62</v>
      </c>
      <c r="S500" s="8"/>
      <c r="T500" s="394"/>
      <c r="U500" s="395"/>
      <c r="V500" s="395"/>
      <c r="W500" s="396"/>
      <c r="X500" s="394"/>
      <c r="Y500" s="395"/>
      <c r="Z500" s="395"/>
      <c r="AA500" s="396"/>
      <c r="AB500" s="19" t="s">
        <v>60</v>
      </c>
      <c r="AC500" s="20" t="s">
        <v>61</v>
      </c>
      <c r="AD500" t="s">
        <v>62</v>
      </c>
      <c r="AE500" s="8"/>
      <c r="AF500" s="19" t="s">
        <v>60</v>
      </c>
      <c r="AG500" s="20" t="s">
        <v>61</v>
      </c>
      <c r="AH500" t="s">
        <v>62</v>
      </c>
      <c r="AJ500" s="394" t="s">
        <v>63</v>
      </c>
      <c r="AK500" s="396"/>
      <c r="AL500" s="501"/>
    </row>
    <row r="501" spans="3:38" x14ac:dyDescent="0.3">
      <c r="C501" s="7" t="s">
        <v>64</v>
      </c>
      <c r="D501" s="99" t="str">
        <f>HEX2BIN(D500,8)</f>
        <v>00000000</v>
      </c>
      <c r="E501" s="99" t="str">
        <f t="shared" ref="E501:L501" si="463">HEX2BIN(E500,8)</f>
        <v>00000000</v>
      </c>
      <c r="F501" s="99" t="str">
        <f t="shared" si="463"/>
        <v>00000000</v>
      </c>
      <c r="G501" s="99" t="str">
        <f t="shared" si="463"/>
        <v>00000000</v>
      </c>
      <c r="H501" s="99" t="str">
        <f t="shared" si="463"/>
        <v>00000000</v>
      </c>
      <c r="I501" s="99" t="str">
        <f t="shared" si="463"/>
        <v>00000000</v>
      </c>
      <c r="J501" s="99" t="str">
        <f t="shared" si="463"/>
        <v>00000000</v>
      </c>
      <c r="K501" s="99" t="str">
        <f t="shared" si="463"/>
        <v>00000000</v>
      </c>
      <c r="L501" s="99" t="str">
        <f t="shared" si="463"/>
        <v>00000000</v>
      </c>
      <c r="N501" s="8"/>
      <c r="P501" s="21" t="str">
        <f>MID(H501,1,1)</f>
        <v>0</v>
      </c>
      <c r="Q501" s="26" t="str">
        <f>P501</f>
        <v>0</v>
      </c>
      <c r="R501" s="7" t="s">
        <v>65</v>
      </c>
      <c r="S501" s="8" t="s">
        <v>66</v>
      </c>
      <c r="T501" s="400"/>
      <c r="U501" s="381"/>
      <c r="V501" s="381"/>
      <c r="W501" s="401"/>
      <c r="X501" s="400"/>
      <c r="Y501" s="381"/>
      <c r="Z501" s="381"/>
      <c r="AA501" s="401"/>
      <c r="AB501" s="21" t="str">
        <f>MID(K501,1,1)</f>
        <v>0</v>
      </c>
      <c r="AC501" s="26" t="str">
        <f>AB501</f>
        <v>0</v>
      </c>
      <c r="AD501" s="7" t="s">
        <v>65</v>
      </c>
      <c r="AE501" s="8" t="s">
        <v>66</v>
      </c>
      <c r="AF501" s="21" t="str">
        <f>MID(L501,1,1)</f>
        <v>0</v>
      </c>
      <c r="AG501" s="26" t="str">
        <f>AF501</f>
        <v>0</v>
      </c>
      <c r="AH501" s="7" t="s">
        <v>65</v>
      </c>
      <c r="AI501" s="8" t="s">
        <v>66</v>
      </c>
      <c r="AJ501" s="400"/>
      <c r="AK501" s="401"/>
      <c r="AL501" s="501"/>
    </row>
    <row r="502" spans="3:38" x14ac:dyDescent="0.3">
      <c r="C502" s="7" t="s">
        <v>67</v>
      </c>
      <c r="D502" s="99">
        <f>HEX2DEC(D500)</f>
        <v>0</v>
      </c>
      <c r="E502" s="99">
        <f t="shared" ref="E502:L502" si="464">HEX2DEC(E500)</f>
        <v>0</v>
      </c>
      <c r="F502" s="99">
        <f t="shared" si="464"/>
        <v>0</v>
      </c>
      <c r="G502" s="99">
        <f t="shared" si="464"/>
        <v>0</v>
      </c>
      <c r="H502" s="99">
        <f t="shared" si="464"/>
        <v>0</v>
      </c>
      <c r="I502" s="99">
        <f t="shared" si="464"/>
        <v>0</v>
      </c>
      <c r="J502" s="99">
        <f t="shared" si="464"/>
        <v>0</v>
      </c>
      <c r="K502" s="99">
        <f t="shared" si="464"/>
        <v>0</v>
      </c>
      <c r="L502" s="99">
        <f t="shared" si="464"/>
        <v>0</v>
      </c>
      <c r="M502" s="99">
        <f>SUM(D502:L502)</f>
        <v>0</v>
      </c>
      <c r="N502" s="8"/>
      <c r="P502" s="21" t="str">
        <f>MID(H501,2,1)</f>
        <v>0</v>
      </c>
      <c r="Q502" s="26" t="str">
        <f t="shared" ref="Q502:Q508" si="465">P502</f>
        <v>0</v>
      </c>
      <c r="R502" s="7" t="s">
        <v>68</v>
      </c>
      <c r="S502" s="8" t="s">
        <v>66</v>
      </c>
      <c r="T502" s="400"/>
      <c r="U502" s="381"/>
      <c r="V502" s="381"/>
      <c r="W502" s="401"/>
      <c r="X502" s="400"/>
      <c r="Y502" s="381"/>
      <c r="Z502" s="381"/>
      <c r="AA502" s="401"/>
      <c r="AB502" s="21" t="str">
        <f>MID(K501,2,1)</f>
        <v>0</v>
      </c>
      <c r="AC502" s="26" t="str">
        <f t="shared" ref="AC502:AC508" si="466">AB502</f>
        <v>0</v>
      </c>
      <c r="AD502" s="7" t="s">
        <v>68</v>
      </c>
      <c r="AE502" s="285" t="s">
        <v>1703</v>
      </c>
      <c r="AF502" s="21" t="str">
        <f>MID(L501,2,1)</f>
        <v>0</v>
      </c>
      <c r="AG502" s="26" t="str">
        <f t="shared" ref="AG502:AG508" si="467">AF502</f>
        <v>0</v>
      </c>
      <c r="AH502" s="7" t="s">
        <v>68</v>
      </c>
      <c r="AI502" s="8" t="s">
        <v>66</v>
      </c>
      <c r="AJ502" s="400"/>
      <c r="AK502" s="401"/>
      <c r="AL502" s="501"/>
    </row>
    <row r="503" spans="3:38" x14ac:dyDescent="0.3">
      <c r="C503" s="7" t="s">
        <v>1678</v>
      </c>
      <c r="D503" s="333" t="str">
        <f>D500</f>
        <v/>
      </c>
      <c r="E503" s="333" t="str">
        <f>E500</f>
        <v/>
      </c>
      <c r="F503" s="99" t="str">
        <f>_xlfn.IFNA(MID(INDEX($A$3:$A$70,IF(ISNA(MATCH("720G4I4*",$A$3:$A$70,0))=TRUE,MATCH("7200436*",$A$3:$A$70,0),MATCH("720G4I4*",$A$3:$A$70,0))),$AS$8,2),"")</f>
        <v/>
      </c>
      <c r="G503" s="99" t="str">
        <f>_xlfn.IFNA(MID(INDEX($A$3:$A$70,IF(ISNA(MATCH("720G4I4*",$A$3:$A$70,0))=TRUE,MATCH("7200436*",$A$3:$A$70,0),MATCH("720G4I4*",$A$3:$A$70,0))),$AT$8,2),"")</f>
        <v/>
      </c>
      <c r="N503" s="8"/>
      <c r="P503" s="21" t="str">
        <f>MID(H501,3,1)</f>
        <v>0</v>
      </c>
      <c r="Q503" s="26" t="str">
        <f t="shared" si="465"/>
        <v>0</v>
      </c>
      <c r="R503" s="7" t="s">
        <v>69</v>
      </c>
      <c r="S503" s="8" t="s">
        <v>66</v>
      </c>
      <c r="T503" s="400"/>
      <c r="U503" s="381"/>
      <c r="V503" s="381"/>
      <c r="W503" s="401"/>
      <c r="X503" s="400"/>
      <c r="Y503" s="381"/>
      <c r="Z503" s="381"/>
      <c r="AA503" s="401"/>
      <c r="AB503" s="21" t="str">
        <f>MID(K501,3,1)</f>
        <v>0</v>
      </c>
      <c r="AC503" s="26" t="str">
        <f t="shared" si="466"/>
        <v>0</v>
      </c>
      <c r="AD503" s="7" t="s">
        <v>69</v>
      </c>
      <c r="AE503" s="8" t="s">
        <v>66</v>
      </c>
      <c r="AF503" s="21" t="str">
        <f>MID(L501,3,1)</f>
        <v>0</v>
      </c>
      <c r="AG503" s="26" t="str">
        <f t="shared" si="467"/>
        <v>0</v>
      </c>
      <c r="AH503" s="7" t="s">
        <v>69</v>
      </c>
      <c r="AI503" s="8" t="s">
        <v>66</v>
      </c>
      <c r="AJ503" s="400"/>
      <c r="AK503" s="401"/>
      <c r="AL503" s="501"/>
    </row>
    <row r="504" spans="3:38" ht="15" thickBot="1" x14ac:dyDescent="0.35">
      <c r="C504" s="7"/>
      <c r="N504" s="8"/>
      <c r="P504" s="21" t="str">
        <f>MID(H501,4,1)</f>
        <v>0</v>
      </c>
      <c r="Q504" s="26" t="str">
        <f t="shared" si="465"/>
        <v>0</v>
      </c>
      <c r="R504" s="7" t="s">
        <v>70</v>
      </c>
      <c r="S504" s="8" t="s">
        <v>66</v>
      </c>
      <c r="T504" s="400"/>
      <c r="U504" s="381"/>
      <c r="V504" s="381"/>
      <c r="W504" s="401"/>
      <c r="X504" s="400"/>
      <c r="Y504" s="381"/>
      <c r="Z504" s="381"/>
      <c r="AA504" s="401"/>
      <c r="AB504" s="21" t="str">
        <f>MID(K501,4,1)</f>
        <v>0</v>
      </c>
      <c r="AC504" s="26" t="str">
        <f t="shared" si="466"/>
        <v>0</v>
      </c>
      <c r="AD504" s="7" t="s">
        <v>70</v>
      </c>
      <c r="AE504" s="8" t="s">
        <v>66</v>
      </c>
      <c r="AF504" s="21" t="str">
        <f>MID(L501,4,1)</f>
        <v>0</v>
      </c>
      <c r="AG504" s="26" t="str">
        <f t="shared" si="467"/>
        <v>0</v>
      </c>
      <c r="AH504" s="7" t="s">
        <v>70</v>
      </c>
      <c r="AI504" s="285" t="s">
        <v>1705</v>
      </c>
      <c r="AJ504" s="400"/>
      <c r="AK504" s="401"/>
      <c r="AL504" s="501"/>
    </row>
    <row r="505" spans="3:38" ht="15" thickBot="1" x14ac:dyDescent="0.35">
      <c r="C505" s="7" t="s">
        <v>56</v>
      </c>
      <c r="D505" s="15" t="str">
        <f>D500</f>
        <v/>
      </c>
      <c r="E505" s="16" t="str">
        <f>E500</f>
        <v/>
      </c>
      <c r="F505" s="16" t="str">
        <f>F500</f>
        <v/>
      </c>
      <c r="G505" s="17" t="str">
        <f>G500</f>
        <v/>
      </c>
      <c r="H505" s="23" t="str">
        <f>IF(J412="","",BIN2HEX(H506,2))</f>
        <v/>
      </c>
      <c r="I505" s="47" t="str">
        <f>I500</f>
        <v/>
      </c>
      <c r="J505" s="48" t="str">
        <f>J500</f>
        <v/>
      </c>
      <c r="K505" s="2" t="str">
        <f>IF(J412="","",BIN2HEX(K506,2))</f>
        <v/>
      </c>
      <c r="L505" s="18" t="str">
        <f>IF(J412="","",BIN2HEX(L506,2))</f>
        <v/>
      </c>
      <c r="M505" s="3" t="str">
        <f>IF(J412="","",IF(LEN(M506)&gt;2,MID(M506,2,2),M506))</f>
        <v/>
      </c>
      <c r="N505" s="8" t="s">
        <v>61</v>
      </c>
      <c r="P505" s="21" t="str">
        <f>MID(H501,5,1)</f>
        <v>0</v>
      </c>
      <c r="Q505" s="26" t="str">
        <f t="shared" si="465"/>
        <v>0</v>
      </c>
      <c r="R505" s="7" t="s">
        <v>71</v>
      </c>
      <c r="S505" s="8" t="s">
        <v>66</v>
      </c>
      <c r="T505" s="400"/>
      <c r="U505" s="381"/>
      <c r="V505" s="381"/>
      <c r="W505" s="401"/>
      <c r="X505" s="400"/>
      <c r="Y505" s="381"/>
      <c r="Z505" s="381"/>
      <c r="AA505" s="401"/>
      <c r="AB505" s="21" t="str">
        <f>MID(K501,5,1)</f>
        <v>0</v>
      </c>
      <c r="AC505" s="26" t="str">
        <f t="shared" si="466"/>
        <v>0</v>
      </c>
      <c r="AD505" s="7" t="s">
        <v>71</v>
      </c>
      <c r="AE505" s="8" t="s">
        <v>66</v>
      </c>
      <c r="AF505" s="21" t="str">
        <f>MID(L501,5,1)</f>
        <v>0</v>
      </c>
      <c r="AG505" s="26" t="str">
        <f t="shared" si="467"/>
        <v>0</v>
      </c>
      <c r="AH505" s="7" t="s">
        <v>71</v>
      </c>
      <c r="AI505" s="8" t="s">
        <v>66</v>
      </c>
      <c r="AJ505" s="400"/>
      <c r="AK505" s="401"/>
      <c r="AL505" s="501"/>
    </row>
    <row r="506" spans="3:38" x14ac:dyDescent="0.3">
      <c r="C506" s="7" t="s">
        <v>64</v>
      </c>
      <c r="D506" s="99" t="str">
        <f>HEX2BIN(D505,8)</f>
        <v>00000000</v>
      </c>
      <c r="E506" s="99" t="str">
        <f t="shared" ref="E506:G506" si="468">HEX2BIN(E505,8)</f>
        <v>00000000</v>
      </c>
      <c r="F506" s="99" t="str">
        <f t="shared" si="468"/>
        <v>00000000</v>
      </c>
      <c r="G506" s="99" t="str">
        <f t="shared" si="468"/>
        <v>00000000</v>
      </c>
      <c r="H506" s="29" t="str">
        <f>Q501&amp;Q502&amp;Q503&amp;Q504&amp;Q505&amp;Q506&amp;Q507&amp;Q508</f>
        <v>00000000</v>
      </c>
      <c r="I506" s="99"/>
      <c r="J506" s="29"/>
      <c r="K506" s="29" t="str">
        <f>AC501&amp;AC502&amp;AC503&amp;AC504&amp;AC505&amp;AC506&amp;AC507&amp;AC508</f>
        <v>00000000</v>
      </c>
      <c r="L506" s="99" t="str">
        <f>AG501&amp;AG502&amp;AG503&amp;AG504&amp;AG505&amp;AG506&amp;AG507&amp;AG508</f>
        <v>00000000</v>
      </c>
      <c r="M506" s="99" t="str">
        <f>DEC2HEX(M507)</f>
        <v>0</v>
      </c>
      <c r="N506" s="8"/>
      <c r="P506" s="21" t="str">
        <f>MID(H501,6,1)</f>
        <v>0</v>
      </c>
      <c r="Q506" s="26" t="str">
        <f t="shared" si="465"/>
        <v>0</v>
      </c>
      <c r="R506" s="7" t="s">
        <v>72</v>
      </c>
      <c r="S506" s="8" t="s">
        <v>66</v>
      </c>
      <c r="T506" s="400"/>
      <c r="U506" s="381"/>
      <c r="V506" s="381"/>
      <c r="W506" s="401"/>
      <c r="X506" s="400"/>
      <c r="Y506" s="381"/>
      <c r="Z506" s="381"/>
      <c r="AA506" s="401"/>
      <c r="AB506" s="21" t="str">
        <f>MID(K501,6,1)</f>
        <v>0</v>
      </c>
      <c r="AC506" s="26" t="str">
        <f t="shared" si="466"/>
        <v>0</v>
      </c>
      <c r="AD506" s="7" t="s">
        <v>72</v>
      </c>
      <c r="AE506" s="285" t="s">
        <v>1704</v>
      </c>
      <c r="AF506" s="21" t="str">
        <f>MID(L501,6,1)</f>
        <v>0</v>
      </c>
      <c r="AG506" s="26" t="str">
        <f t="shared" si="467"/>
        <v>0</v>
      </c>
      <c r="AH506" s="7" t="s">
        <v>72</v>
      </c>
      <c r="AI506" s="8" t="s">
        <v>66</v>
      </c>
      <c r="AJ506" s="400"/>
      <c r="AK506" s="401"/>
      <c r="AL506" s="501"/>
    </row>
    <row r="507" spans="3:38" x14ac:dyDescent="0.3">
      <c r="C507" s="7" t="s">
        <v>67</v>
      </c>
      <c r="D507" s="99">
        <f>HEX2DEC(D505)</f>
        <v>0</v>
      </c>
      <c r="E507" s="99">
        <f t="shared" ref="E507:L507" si="469">HEX2DEC(E505)</f>
        <v>0</v>
      </c>
      <c r="F507" s="99">
        <f t="shared" si="469"/>
        <v>0</v>
      </c>
      <c r="G507" s="99">
        <f t="shared" si="469"/>
        <v>0</v>
      </c>
      <c r="H507" s="99">
        <f t="shared" si="469"/>
        <v>0</v>
      </c>
      <c r="I507" s="99">
        <f t="shared" si="469"/>
        <v>0</v>
      </c>
      <c r="J507" s="99">
        <f t="shared" si="469"/>
        <v>0</v>
      </c>
      <c r="K507" s="99">
        <f t="shared" si="469"/>
        <v>0</v>
      </c>
      <c r="L507" s="99">
        <f t="shared" si="469"/>
        <v>0</v>
      </c>
      <c r="M507" s="99">
        <f>SUM(D507:L507)</f>
        <v>0</v>
      </c>
      <c r="N507" s="8"/>
      <c r="P507" s="21" t="str">
        <f>MID(H501,7,1)</f>
        <v>0</v>
      </c>
      <c r="Q507" s="26" t="str">
        <f t="shared" si="465"/>
        <v>0</v>
      </c>
      <c r="R507" s="7" t="s">
        <v>73</v>
      </c>
      <c r="S507" s="8" t="s">
        <v>66</v>
      </c>
      <c r="T507" s="400"/>
      <c r="U507" s="381"/>
      <c r="V507" s="381"/>
      <c r="W507" s="401"/>
      <c r="X507" s="400"/>
      <c r="Y507" s="381"/>
      <c r="Z507" s="381"/>
      <c r="AA507" s="401"/>
      <c r="AB507" s="21" t="str">
        <f>MID(K501,7,1)</f>
        <v>0</v>
      </c>
      <c r="AC507" s="26" t="str">
        <f t="shared" si="466"/>
        <v>0</v>
      </c>
      <c r="AD507" s="7" t="s">
        <v>73</v>
      </c>
      <c r="AE507" s="8" t="s">
        <v>66</v>
      </c>
      <c r="AF507" s="21" t="str">
        <f>MID(L501,7,1)</f>
        <v>0</v>
      </c>
      <c r="AG507" s="26" t="str">
        <f t="shared" si="467"/>
        <v>0</v>
      </c>
      <c r="AH507" s="7" t="s">
        <v>73</v>
      </c>
      <c r="AI507" s="8" t="s">
        <v>66</v>
      </c>
      <c r="AJ507" s="400"/>
      <c r="AK507" s="401"/>
      <c r="AL507" s="501"/>
    </row>
    <row r="508" spans="3:38" ht="15" thickBot="1" x14ac:dyDescent="0.35">
      <c r="C508" s="9" t="s">
        <v>1678</v>
      </c>
      <c r="D508" s="334" t="str">
        <f>D503</f>
        <v/>
      </c>
      <c r="E508" s="334" t="str">
        <f t="shared" ref="E508:G508" si="470">E503</f>
        <v/>
      </c>
      <c r="F508" s="334" t="str">
        <f t="shared" si="470"/>
        <v/>
      </c>
      <c r="G508" s="334" t="str">
        <f t="shared" si="470"/>
        <v/>
      </c>
      <c r="H508" s="10"/>
      <c r="I508" s="10"/>
      <c r="J508" s="10"/>
      <c r="K508" s="10"/>
      <c r="L508" s="10"/>
      <c r="M508" s="10"/>
      <c r="N508" s="11"/>
      <c r="P508" s="22" t="str">
        <f>MID(H501,8,1)</f>
        <v>0</v>
      </c>
      <c r="Q508" s="55" t="str">
        <f t="shared" si="465"/>
        <v>0</v>
      </c>
      <c r="R508" s="9" t="s">
        <v>74</v>
      </c>
      <c r="S508" s="11" t="s">
        <v>66</v>
      </c>
      <c r="T508" s="402"/>
      <c r="U508" s="403"/>
      <c r="V508" s="403"/>
      <c r="W508" s="404"/>
      <c r="X508" s="402"/>
      <c r="Y508" s="403"/>
      <c r="Z508" s="403"/>
      <c r="AA508" s="404"/>
      <c r="AB508" s="22" t="str">
        <f>MID(K501,8,1)</f>
        <v>0</v>
      </c>
      <c r="AC508" s="55" t="str">
        <f t="shared" si="466"/>
        <v>0</v>
      </c>
      <c r="AD508" s="9" t="s">
        <v>74</v>
      </c>
      <c r="AE508" s="11" t="s">
        <v>66</v>
      </c>
      <c r="AF508" s="22" t="str">
        <f>MID(L501,8,1)</f>
        <v>0</v>
      </c>
      <c r="AG508" s="55" t="str">
        <f t="shared" si="467"/>
        <v>0</v>
      </c>
      <c r="AH508" s="9" t="s">
        <v>74</v>
      </c>
      <c r="AI508" s="11" t="s">
        <v>66</v>
      </c>
      <c r="AJ508" s="402"/>
      <c r="AK508" s="404"/>
      <c r="AL508" s="501"/>
    </row>
    <row r="509" spans="3:38" ht="15" thickBot="1" x14ac:dyDescent="0.35">
      <c r="C509" s="4"/>
      <c r="D509" s="5"/>
      <c r="E509" s="5"/>
      <c r="F509" s="5"/>
      <c r="G509" s="5"/>
      <c r="H509" s="5"/>
      <c r="I509" s="5"/>
      <c r="J509" s="5"/>
      <c r="K509" s="5"/>
      <c r="L509" s="5"/>
      <c r="M509" s="5" t="s">
        <v>41</v>
      </c>
      <c r="N509" s="6"/>
      <c r="P509" s="530" t="s">
        <v>1817</v>
      </c>
      <c r="Q509" s="530"/>
      <c r="R509" s="530"/>
      <c r="S509" s="530"/>
      <c r="T509" s="530"/>
      <c r="U509" s="530"/>
      <c r="V509" s="530"/>
      <c r="W509" s="530"/>
      <c r="X509" s="530"/>
      <c r="Y509" s="530"/>
      <c r="Z509" s="530"/>
      <c r="AA509" s="530"/>
      <c r="AB509" s="530"/>
      <c r="AC509" s="530"/>
      <c r="AD509" s="530"/>
      <c r="AE509" s="530"/>
      <c r="AF509" s="530"/>
      <c r="AG509" s="530"/>
      <c r="AH509" s="530"/>
      <c r="AI509" s="530"/>
      <c r="AJ509" s="530"/>
      <c r="AK509" s="530"/>
      <c r="AL509" s="501"/>
    </row>
    <row r="510" spans="3:38" ht="15" thickBot="1" x14ac:dyDescent="0.35">
      <c r="C510" s="7"/>
      <c r="D510" s="393" t="s">
        <v>1546</v>
      </c>
      <c r="E510" s="393"/>
      <c r="F510" s="393"/>
      <c r="G510" s="393"/>
      <c r="H510" s="99" t="s">
        <v>44</v>
      </c>
      <c r="I510" s="99" t="s">
        <v>45</v>
      </c>
      <c r="J510" s="99" t="s">
        <v>46</v>
      </c>
      <c r="K510" s="99" t="s">
        <v>47</v>
      </c>
      <c r="L510" s="99" t="s">
        <v>48</v>
      </c>
      <c r="M510" s="99" t="s">
        <v>49</v>
      </c>
      <c r="N510" s="8"/>
      <c r="P510" s="394" t="s">
        <v>50</v>
      </c>
      <c r="Q510" s="395"/>
      <c r="R510" s="395"/>
      <c r="S510" s="396"/>
      <c r="T510" s="394" t="s">
        <v>51</v>
      </c>
      <c r="U510" s="395"/>
      <c r="V510" s="395"/>
      <c r="W510" s="396"/>
      <c r="X510" s="394" t="s">
        <v>52</v>
      </c>
      <c r="Y510" s="395"/>
      <c r="Z510" s="395"/>
      <c r="AA510" s="396"/>
      <c r="AB510" s="394" t="s">
        <v>53</v>
      </c>
      <c r="AC510" s="395"/>
      <c r="AD510" s="395"/>
      <c r="AE510" s="396"/>
      <c r="AF510" s="394" t="s">
        <v>250</v>
      </c>
      <c r="AG510" s="395"/>
      <c r="AH510" s="395"/>
      <c r="AI510" s="396"/>
      <c r="AJ510" s="394" t="s">
        <v>55</v>
      </c>
      <c r="AK510" s="396"/>
      <c r="AL510" s="501"/>
    </row>
    <row r="511" spans="3:38" ht="15" thickBot="1" x14ac:dyDescent="0.35">
      <c r="C511" s="7" t="s">
        <v>56</v>
      </c>
      <c r="D511" s="12" t="str">
        <f>IF(J412="","",7)</f>
        <v/>
      </c>
      <c r="E511" s="13" t="str">
        <f>IF(J412="","",20)</f>
        <v/>
      </c>
      <c r="F511" s="13" t="str">
        <f>IF(J412="","",4)</f>
        <v/>
      </c>
      <c r="G511" s="14" t="str">
        <f>IF(J412="","",37)</f>
        <v/>
      </c>
      <c r="H511" s="41" t="str" cm="1">
        <f t="array" ref="H511">_xlfn.IFNA(MID(INDEX($A$3:$A$70,IF(ISNA(MATCH("720G4I5*",$A$3:$A$70,0))=TRUE,MATCH("7200437*",$A$3:$A$70,0),MATCH("720G4I5*",$A$3:$A$70,0))),$AU$8,2),"")</f>
        <v/>
      </c>
      <c r="I511" s="42" t="str" cm="1">
        <f t="array" ref="I511">_xlfn.IFNA(MID(INDEX($A$3:$A$70,IF(ISNA(MATCH("720G4I5*",$A$3:$A$70,0))=TRUE,MATCH("7200437*",$A$3:$A$70,0),MATCH("720G4I5*",$A$3:$A$70,0))),$AV$8,2),"")</f>
        <v/>
      </c>
      <c r="J511" s="24" t="str" cm="1">
        <f t="array" ref="J511">_xlfn.IFNA(MID(INDEX($A$3:$A$70,IF(ISNA(MATCH("720G4I5*",$A$3:$A$70,0))=TRUE,MATCH("7200437*",$A$3:$A$70,0),MATCH("720G4I5*",$A$3:$A$70,0))),$AW$8,2),"")</f>
        <v/>
      </c>
      <c r="K511" s="42" t="str" cm="1">
        <f t="array" ref="K511">_xlfn.IFNA(MID(INDEX($A$3:$A$70,IF(ISNA(MATCH("720G4I5*",$A$3:$A$70,0))=TRUE,MATCH("7200437*",$A$3:$A$70,0),MATCH("720G4I5*",$A$3:$A$70,0))),$AX$8,2),"")</f>
        <v/>
      </c>
      <c r="L511" s="43" t="str" cm="1">
        <f t="array" ref="L511">_xlfn.IFNA(MID(INDEX($A$3:$A$70,IF(ISNA(MATCH("720G4I5*",$A$3:$A$70,0))=TRUE,MATCH("7200437*",$A$3:$A$70,0),MATCH("720G4I5*",$A$3:$A$70,0))),$AY$8,2),"")</f>
        <v/>
      </c>
      <c r="M511" s="44" t="str" cm="1">
        <f t="array" ref="M511">_xlfn.IFNA(MID(INDEX($A$3:$A$70,IF(ISNA(MATCH("720G4I5*",$A$3:$A$70,0))=TRUE,MATCH("7200437*",$A$3:$A$70,0),MATCH("720G4I5*",$A$3:$A$70,0))),$AZ$8,2),"")</f>
        <v/>
      </c>
      <c r="N511" s="8" t="s">
        <v>60</v>
      </c>
      <c r="P511" s="19" t="s">
        <v>60</v>
      </c>
      <c r="Q511" s="20" t="s">
        <v>61</v>
      </c>
      <c r="R511" t="s">
        <v>62</v>
      </c>
      <c r="S511" s="8"/>
      <c r="T511" s="19" t="s">
        <v>60</v>
      </c>
      <c r="U511" s="20" t="s">
        <v>61</v>
      </c>
      <c r="V511" t="s">
        <v>62</v>
      </c>
      <c r="W511" s="8"/>
      <c r="X511" s="19" t="s">
        <v>60</v>
      </c>
      <c r="Y511" s="20" t="s">
        <v>61</v>
      </c>
      <c r="Z511" t="s">
        <v>62</v>
      </c>
      <c r="AA511" s="8"/>
      <c r="AB511" s="19" t="s">
        <v>60</v>
      </c>
      <c r="AC511" s="20" t="s">
        <v>61</v>
      </c>
      <c r="AD511" t="s">
        <v>62</v>
      </c>
      <c r="AE511" s="8"/>
      <c r="AF511" s="394"/>
      <c r="AG511" s="395"/>
      <c r="AH511" s="395"/>
      <c r="AI511" s="396"/>
      <c r="AJ511" s="394" t="s">
        <v>63</v>
      </c>
      <c r="AK511" s="396"/>
      <c r="AL511" s="501"/>
    </row>
    <row r="512" spans="3:38" x14ac:dyDescent="0.3">
      <c r="C512" s="7" t="s">
        <v>64</v>
      </c>
      <c r="D512" s="99" t="str">
        <f>HEX2BIN(D511,8)</f>
        <v>00000000</v>
      </c>
      <c r="E512" s="99" t="str">
        <f t="shared" ref="E512:L512" si="471">HEX2BIN(E511,8)</f>
        <v>00000000</v>
      </c>
      <c r="F512" s="99" t="str">
        <f t="shared" si="471"/>
        <v>00000000</v>
      </c>
      <c r="G512" s="99" t="str">
        <f t="shared" si="471"/>
        <v>00000000</v>
      </c>
      <c r="H512" s="99" t="str">
        <f t="shared" si="471"/>
        <v>00000000</v>
      </c>
      <c r="I512" s="99" t="str">
        <f t="shared" si="471"/>
        <v>00000000</v>
      </c>
      <c r="J512" s="99" t="str">
        <f t="shared" si="471"/>
        <v>00000000</v>
      </c>
      <c r="K512" s="99" t="str">
        <f t="shared" si="471"/>
        <v>00000000</v>
      </c>
      <c r="L512" s="99" t="str">
        <f t="shared" si="471"/>
        <v>00000000</v>
      </c>
      <c r="N512" s="8"/>
      <c r="P512" s="21" t="str">
        <f>MID(H512,1,1)</f>
        <v>0</v>
      </c>
      <c r="Q512" s="26" t="str">
        <f>P512</f>
        <v>0</v>
      </c>
      <c r="R512" s="7" t="s">
        <v>65</v>
      </c>
      <c r="S512" s="8" t="s">
        <v>66</v>
      </c>
      <c r="T512" s="21" t="str">
        <f>MID(I512,1,1)</f>
        <v>0</v>
      </c>
      <c r="U512" s="26" t="str">
        <f>T512</f>
        <v>0</v>
      </c>
      <c r="V512" s="7" t="s">
        <v>65</v>
      </c>
      <c r="W512" s="8" t="s">
        <v>66</v>
      </c>
      <c r="X512" s="21" t="str">
        <f>MID(J512,1,1)</f>
        <v>0</v>
      </c>
      <c r="Y512" s="26" t="str">
        <f>X512</f>
        <v>0</v>
      </c>
      <c r="Z512" s="7" t="s">
        <v>65</v>
      </c>
      <c r="AA512" s="8" t="s">
        <v>66</v>
      </c>
      <c r="AB512" s="21" t="str">
        <f>MID(K512,1,1)</f>
        <v>0</v>
      </c>
      <c r="AC512" s="26" t="str">
        <f>AB512</f>
        <v>0</v>
      </c>
      <c r="AD512" s="7" t="s">
        <v>65</v>
      </c>
      <c r="AE512" s="8" t="s">
        <v>66</v>
      </c>
      <c r="AF512" s="400"/>
      <c r="AG512" s="381"/>
      <c r="AH512" s="381"/>
      <c r="AI512" s="401"/>
      <c r="AJ512" s="400"/>
      <c r="AK512" s="401"/>
      <c r="AL512" s="501"/>
    </row>
    <row r="513" spans="3:38" x14ac:dyDescent="0.3">
      <c r="C513" s="7" t="s">
        <v>67</v>
      </c>
      <c r="D513" s="99">
        <f>HEX2DEC(D511)</f>
        <v>0</v>
      </c>
      <c r="E513" s="99">
        <f t="shared" ref="E513:L513" si="472">HEX2DEC(E511)</f>
        <v>0</v>
      </c>
      <c r="F513" s="99">
        <f t="shared" si="472"/>
        <v>0</v>
      </c>
      <c r="G513" s="99">
        <f t="shared" si="472"/>
        <v>0</v>
      </c>
      <c r="H513" s="99">
        <f t="shared" si="472"/>
        <v>0</v>
      </c>
      <c r="I513" s="99">
        <f t="shared" si="472"/>
        <v>0</v>
      </c>
      <c r="J513" s="99">
        <f t="shared" si="472"/>
        <v>0</v>
      </c>
      <c r="K513" s="99">
        <f t="shared" si="472"/>
        <v>0</v>
      </c>
      <c r="L513" s="99">
        <f t="shared" si="472"/>
        <v>0</v>
      </c>
      <c r="M513" s="99">
        <f>SUM(D513:L513)</f>
        <v>0</v>
      </c>
      <c r="N513" s="8"/>
      <c r="P513" s="21" t="str">
        <f>MID(H512,2,1)</f>
        <v>0</v>
      </c>
      <c r="Q513" s="26" t="str">
        <f t="shared" ref="Q513:Q519" si="473">P513</f>
        <v>0</v>
      </c>
      <c r="R513" s="7" t="s">
        <v>68</v>
      </c>
      <c r="S513" s="285" t="s">
        <v>1694</v>
      </c>
      <c r="T513" s="21" t="str">
        <f>MID(I512,2,1)</f>
        <v>0</v>
      </c>
      <c r="U513" s="26" t="str">
        <f t="shared" ref="U513:U519" si="474">T513</f>
        <v>0</v>
      </c>
      <c r="V513" s="7" t="s">
        <v>68</v>
      </c>
      <c r="W513" s="8" t="s">
        <v>66</v>
      </c>
      <c r="X513" s="21" t="str">
        <f>MID(J512,2,1)</f>
        <v>0</v>
      </c>
      <c r="Y513" s="26" t="str">
        <f t="shared" ref="Y513:Y519" si="475">X513</f>
        <v>0</v>
      </c>
      <c r="Z513" s="7" t="s">
        <v>68</v>
      </c>
      <c r="AA513" s="8" t="s">
        <v>66</v>
      </c>
      <c r="AB513" s="21" t="str">
        <f>MID(K512,2,1)</f>
        <v>0</v>
      </c>
      <c r="AC513" s="26" t="str">
        <f t="shared" ref="AC513:AC519" si="476">AB513</f>
        <v>0</v>
      </c>
      <c r="AD513" s="7" t="s">
        <v>68</v>
      </c>
      <c r="AE513" s="8" t="s">
        <v>66</v>
      </c>
      <c r="AF513" s="400"/>
      <c r="AG513" s="381"/>
      <c r="AH513" s="381"/>
      <c r="AI513" s="401"/>
      <c r="AJ513" s="400"/>
      <c r="AK513" s="401"/>
      <c r="AL513" s="501"/>
    </row>
    <row r="514" spans="3:38" x14ac:dyDescent="0.3">
      <c r="C514" s="7" t="s">
        <v>1678</v>
      </c>
      <c r="D514" s="333" t="str">
        <f>D511</f>
        <v/>
      </c>
      <c r="E514" s="333" t="str">
        <f>E511</f>
        <v/>
      </c>
      <c r="F514" s="99" t="str">
        <f>_xlfn.IFNA(MID(INDEX($A$3:$A$70,IF(ISNA(MATCH("720G4I5*",$A$3:$A$70,0))=TRUE,MATCH("7200437*",$A$3:$A$70,0),MATCH("720G4I5*",$A$3:$A$70,0))),$AS$8,2),"")</f>
        <v/>
      </c>
      <c r="G514" s="99" t="str">
        <f>_xlfn.IFNA(MID(INDEX($A$3:$A$70,IF(ISNA(MATCH("720G4I5*",$A$3:$A$70,0))=TRUE,MATCH("7200437*",$A$3:$A$70,0),MATCH("720G4I5*",$A$3:$A$70,0))),$AT$8,2),"")</f>
        <v/>
      </c>
      <c r="N514" s="8"/>
      <c r="P514" s="21" t="str">
        <f>MID(H512,3,1)</f>
        <v>0</v>
      </c>
      <c r="Q514" s="26" t="str">
        <f t="shared" si="473"/>
        <v>0</v>
      </c>
      <c r="R514" s="7" t="s">
        <v>69</v>
      </c>
      <c r="S514" s="8" t="s">
        <v>66</v>
      </c>
      <c r="T514" s="21" t="str">
        <f>MID(I512,3,1)</f>
        <v>0</v>
      </c>
      <c r="U514" s="26" t="str">
        <f t="shared" si="474"/>
        <v>0</v>
      </c>
      <c r="V514" s="7" t="s">
        <v>69</v>
      </c>
      <c r="W514" s="8" t="s">
        <v>66</v>
      </c>
      <c r="X514" s="21" t="str">
        <f>MID(J512,3,1)</f>
        <v>0</v>
      </c>
      <c r="Y514" s="26" t="str">
        <f t="shared" si="475"/>
        <v>0</v>
      </c>
      <c r="Z514" s="7" t="s">
        <v>69</v>
      </c>
      <c r="AA514" s="8" t="s">
        <v>66</v>
      </c>
      <c r="AB514" s="21" t="str">
        <f>MID(K512,3,1)</f>
        <v>0</v>
      </c>
      <c r="AC514" s="26" t="str">
        <f t="shared" si="476"/>
        <v>0</v>
      </c>
      <c r="AD514" s="7" t="s">
        <v>69</v>
      </c>
      <c r="AE514" s="8" t="s">
        <v>66</v>
      </c>
      <c r="AF514" s="400"/>
      <c r="AG514" s="381"/>
      <c r="AH514" s="381"/>
      <c r="AI514" s="401"/>
      <c r="AJ514" s="400"/>
      <c r="AK514" s="401"/>
      <c r="AL514" s="501"/>
    </row>
    <row r="515" spans="3:38" ht="15" thickBot="1" x14ac:dyDescent="0.35">
      <c r="C515" s="7"/>
      <c r="N515" s="8"/>
      <c r="P515" s="21" t="str">
        <f>MID(H512,4,1)</f>
        <v>0</v>
      </c>
      <c r="Q515" s="26" t="str">
        <f t="shared" si="473"/>
        <v>0</v>
      </c>
      <c r="R515" s="7" t="s">
        <v>70</v>
      </c>
      <c r="S515" s="8" t="s">
        <v>66</v>
      </c>
      <c r="T515" s="21" t="str">
        <f>MID(I512,4,1)</f>
        <v>0</v>
      </c>
      <c r="U515" s="26" t="str">
        <f t="shared" si="474"/>
        <v>0</v>
      </c>
      <c r="V515" s="7" t="s">
        <v>70</v>
      </c>
      <c r="W515" s="8" t="s">
        <v>66</v>
      </c>
      <c r="X515" s="21" t="str">
        <f>MID(J512,4,1)</f>
        <v>0</v>
      </c>
      <c r="Y515" s="26" t="str">
        <f t="shared" si="475"/>
        <v>0</v>
      </c>
      <c r="Z515" s="7" t="s">
        <v>70</v>
      </c>
      <c r="AA515" s="8" t="s">
        <v>66</v>
      </c>
      <c r="AB515" s="21" t="str">
        <f>MID(K512,4,1)</f>
        <v>0</v>
      </c>
      <c r="AC515" s="26" t="str">
        <f t="shared" si="476"/>
        <v>0</v>
      </c>
      <c r="AD515" s="7" t="s">
        <v>70</v>
      </c>
      <c r="AE515" s="8" t="s">
        <v>66</v>
      </c>
      <c r="AF515" s="400"/>
      <c r="AG515" s="381"/>
      <c r="AH515" s="381"/>
      <c r="AI515" s="401"/>
      <c r="AJ515" s="400"/>
      <c r="AK515" s="401"/>
      <c r="AL515" s="501"/>
    </row>
    <row r="516" spans="3:38" ht="15" thickBot="1" x14ac:dyDescent="0.35">
      <c r="C516" s="7" t="s">
        <v>56</v>
      </c>
      <c r="D516" s="15" t="str">
        <f>D511</f>
        <v/>
      </c>
      <c r="E516" s="16" t="str">
        <f>E511</f>
        <v/>
      </c>
      <c r="F516" s="16" t="str">
        <f>F511</f>
        <v/>
      </c>
      <c r="G516" s="17" t="str">
        <f>G511</f>
        <v/>
      </c>
      <c r="H516" s="23" t="str">
        <f>IF(J412="","",BIN2HEX(H517,2))</f>
        <v/>
      </c>
      <c r="I516" s="25" t="str">
        <f>IF(J412="","",BIN2HEX(I517,2))</f>
        <v/>
      </c>
      <c r="J516" s="24" t="str">
        <f>IF(J412="","",BIN2HEX(J517,2))</f>
        <v/>
      </c>
      <c r="K516" s="2" t="str">
        <f>IF(J412="","",BIN2HEX(K517,2))</f>
        <v/>
      </c>
      <c r="L516" s="49" t="str">
        <f>L511</f>
        <v/>
      </c>
      <c r="M516" s="3" t="str">
        <f>IF(J412="","",IF(LEN(M517)&gt;2,MID(M517,2,2),M517))</f>
        <v/>
      </c>
      <c r="N516" s="8" t="s">
        <v>61</v>
      </c>
      <c r="P516" s="21" t="str">
        <f>MID(H512,5,1)</f>
        <v>0</v>
      </c>
      <c r="Q516" s="26" t="str">
        <f t="shared" si="473"/>
        <v>0</v>
      </c>
      <c r="R516" s="7" t="s">
        <v>71</v>
      </c>
      <c r="S516" s="8" t="s">
        <v>66</v>
      </c>
      <c r="T516" s="21" t="str">
        <f>MID(I512,5,1)</f>
        <v>0</v>
      </c>
      <c r="U516" s="26" t="str">
        <f t="shared" si="474"/>
        <v>0</v>
      </c>
      <c r="V516" s="7" t="s">
        <v>71</v>
      </c>
      <c r="W516" s="8" t="s">
        <v>66</v>
      </c>
      <c r="X516" s="21" t="str">
        <f>MID(J512,5,1)</f>
        <v>0</v>
      </c>
      <c r="Y516" s="26" t="str">
        <f t="shared" si="475"/>
        <v>0</v>
      </c>
      <c r="Z516" s="7" t="s">
        <v>71</v>
      </c>
      <c r="AA516" s="8" t="s">
        <v>66</v>
      </c>
      <c r="AB516" s="21" t="str">
        <f>MID(K512,5,1)</f>
        <v>0</v>
      </c>
      <c r="AC516" s="26" t="str">
        <f t="shared" si="476"/>
        <v>0</v>
      </c>
      <c r="AD516" s="7" t="s">
        <v>71</v>
      </c>
      <c r="AE516" s="8" t="s">
        <v>66</v>
      </c>
      <c r="AF516" s="400"/>
      <c r="AG516" s="381"/>
      <c r="AH516" s="381"/>
      <c r="AI516" s="401"/>
      <c r="AJ516" s="400"/>
      <c r="AK516" s="401"/>
      <c r="AL516" s="501"/>
    </row>
    <row r="517" spans="3:38" x14ac:dyDescent="0.3">
      <c r="C517" s="7" t="s">
        <v>64</v>
      </c>
      <c r="D517" s="99" t="str">
        <f>HEX2BIN(D516,8)</f>
        <v>00000000</v>
      </c>
      <c r="E517" s="99" t="str">
        <f t="shared" ref="E517:G517" si="477">HEX2BIN(E516,8)</f>
        <v>00000000</v>
      </c>
      <c r="F517" s="99" t="str">
        <f t="shared" si="477"/>
        <v>00000000</v>
      </c>
      <c r="G517" s="99" t="str">
        <f t="shared" si="477"/>
        <v>00000000</v>
      </c>
      <c r="H517" s="29" t="str">
        <f>Q512&amp;Q513&amp;Q514&amp;Q515&amp;Q516&amp;Q517&amp;Q518&amp;Q519</f>
        <v>00000000</v>
      </c>
      <c r="I517" s="99" t="str">
        <f>U512&amp;U513&amp;U514&amp;U515&amp;U516&amp;U517&amp;U518&amp;U519</f>
        <v>00000000</v>
      </c>
      <c r="J517" s="29" t="str">
        <f>Y512&amp;Y513&amp;Y514&amp;Y515&amp;Y516&amp;Y517&amp;Y518&amp;Y519</f>
        <v>00000000</v>
      </c>
      <c r="K517" s="29" t="str">
        <f>AC512&amp;AC513&amp;AC514&amp;AC515&amp;AC516&amp;AC517&amp;AC518&amp;AC519</f>
        <v>00000000</v>
      </c>
      <c r="L517" s="99"/>
      <c r="M517" s="99" t="str">
        <f>DEC2HEX(M518)</f>
        <v>0</v>
      </c>
      <c r="N517" s="8"/>
      <c r="P517" s="21" t="str">
        <f>MID(H512,6,1)</f>
        <v>0</v>
      </c>
      <c r="Q517" s="26" t="str">
        <f t="shared" si="473"/>
        <v>0</v>
      </c>
      <c r="R517" s="7" t="s">
        <v>72</v>
      </c>
      <c r="S517" s="8" t="s">
        <v>66</v>
      </c>
      <c r="T517" s="21" t="str">
        <f>MID(I512,6,1)</f>
        <v>0</v>
      </c>
      <c r="U517" s="26" t="str">
        <f t="shared" si="474"/>
        <v>0</v>
      </c>
      <c r="V517" s="7" t="s">
        <v>72</v>
      </c>
      <c r="W517" s="8" t="s">
        <v>66</v>
      </c>
      <c r="X517" s="21" t="str">
        <f>MID(J512,6,1)</f>
        <v>0</v>
      </c>
      <c r="Y517" s="26" t="str">
        <f t="shared" si="475"/>
        <v>0</v>
      </c>
      <c r="Z517" s="7" t="s">
        <v>72</v>
      </c>
      <c r="AA517" s="8" t="s">
        <v>66</v>
      </c>
      <c r="AB517" s="21" t="str">
        <f>MID(K512,6,1)</f>
        <v>0</v>
      </c>
      <c r="AC517" s="26" t="str">
        <f t="shared" si="476"/>
        <v>0</v>
      </c>
      <c r="AD517" s="7" t="s">
        <v>72</v>
      </c>
      <c r="AE517" s="8" t="s">
        <v>66</v>
      </c>
      <c r="AF517" s="400"/>
      <c r="AG517" s="381"/>
      <c r="AH517" s="381"/>
      <c r="AI517" s="401"/>
      <c r="AJ517" s="400"/>
      <c r="AK517" s="401"/>
      <c r="AL517" s="501"/>
    </row>
    <row r="518" spans="3:38" x14ac:dyDescent="0.3">
      <c r="C518" s="7" t="s">
        <v>67</v>
      </c>
      <c r="D518" s="99">
        <f>HEX2DEC(D516)</f>
        <v>0</v>
      </c>
      <c r="E518" s="99">
        <f t="shared" ref="E518:L518" si="478">HEX2DEC(E516)</f>
        <v>0</v>
      </c>
      <c r="F518" s="99">
        <f t="shared" si="478"/>
        <v>0</v>
      </c>
      <c r="G518" s="99">
        <f t="shared" si="478"/>
        <v>0</v>
      </c>
      <c r="H518" s="99">
        <f t="shared" si="478"/>
        <v>0</v>
      </c>
      <c r="I518" s="99">
        <f t="shared" si="478"/>
        <v>0</v>
      </c>
      <c r="J518" s="99">
        <f t="shared" si="478"/>
        <v>0</v>
      </c>
      <c r="K518" s="99">
        <f t="shared" si="478"/>
        <v>0</v>
      </c>
      <c r="L518" s="99">
        <f t="shared" si="478"/>
        <v>0</v>
      </c>
      <c r="M518" s="99">
        <f>SUM(D518:L518)</f>
        <v>0</v>
      </c>
      <c r="N518" s="8"/>
      <c r="P518" s="21" t="str">
        <f>MID(H512,7,1)</f>
        <v>0</v>
      </c>
      <c r="Q518" s="26" t="str">
        <f t="shared" si="473"/>
        <v>0</v>
      </c>
      <c r="R518" s="7" t="s">
        <v>73</v>
      </c>
      <c r="S518" s="8" t="s">
        <v>66</v>
      </c>
      <c r="T518" s="21" t="str">
        <f>MID(I512,7,1)</f>
        <v>0</v>
      </c>
      <c r="U518" s="26" t="str">
        <f t="shared" si="474"/>
        <v>0</v>
      </c>
      <c r="V518" s="7" t="s">
        <v>73</v>
      </c>
      <c r="W518" s="8" t="s">
        <v>66</v>
      </c>
      <c r="X518" s="21" t="str">
        <f>MID(J512,7,1)</f>
        <v>0</v>
      </c>
      <c r="Y518" s="26" t="str">
        <f t="shared" si="475"/>
        <v>0</v>
      </c>
      <c r="Z518" s="7" t="s">
        <v>73</v>
      </c>
      <c r="AA518" s="8" t="s">
        <v>66</v>
      </c>
      <c r="AB518" s="21" t="str">
        <f>MID(K512,7,1)</f>
        <v>0</v>
      </c>
      <c r="AC518" s="26" t="str">
        <f t="shared" si="476"/>
        <v>0</v>
      </c>
      <c r="AD518" s="7" t="s">
        <v>73</v>
      </c>
      <c r="AE518" s="8" t="s">
        <v>66</v>
      </c>
      <c r="AF518" s="400"/>
      <c r="AG518" s="381"/>
      <c r="AH518" s="381"/>
      <c r="AI518" s="401"/>
      <c r="AJ518" s="400"/>
      <c r="AK518" s="401"/>
      <c r="AL518" s="501"/>
    </row>
    <row r="519" spans="3:38" ht="15" thickBot="1" x14ac:dyDescent="0.35">
      <c r="C519" s="9" t="s">
        <v>1678</v>
      </c>
      <c r="D519" s="334" t="str">
        <f>D514</f>
        <v/>
      </c>
      <c r="E519" s="334" t="str">
        <f t="shared" ref="E519:G519" si="479">E514</f>
        <v/>
      </c>
      <c r="F519" s="334" t="str">
        <f t="shared" si="479"/>
        <v/>
      </c>
      <c r="G519" s="334" t="str">
        <f t="shared" si="479"/>
        <v/>
      </c>
      <c r="H519" s="10"/>
      <c r="I519" s="10"/>
      <c r="J519" s="10"/>
      <c r="K519" s="10"/>
      <c r="L519" s="10"/>
      <c r="M519" s="10"/>
      <c r="N519" s="11"/>
      <c r="P519" s="22" t="str">
        <f>MID(H512,8,1)</f>
        <v>0</v>
      </c>
      <c r="Q519" s="55" t="str">
        <f t="shared" si="473"/>
        <v>0</v>
      </c>
      <c r="R519" s="9" t="s">
        <v>74</v>
      </c>
      <c r="S519" s="11" t="s">
        <v>66</v>
      </c>
      <c r="T519" s="22" t="str">
        <f>MID(I512,8,1)</f>
        <v>0</v>
      </c>
      <c r="U519" s="55" t="str">
        <f t="shared" si="474"/>
        <v>0</v>
      </c>
      <c r="V519" s="9" t="s">
        <v>74</v>
      </c>
      <c r="W519" s="11" t="s">
        <v>66</v>
      </c>
      <c r="X519" s="22" t="str">
        <f>MID(J512,8,1)</f>
        <v>0</v>
      </c>
      <c r="Y519" s="55" t="str">
        <f t="shared" si="475"/>
        <v>0</v>
      </c>
      <c r="Z519" s="9" t="s">
        <v>74</v>
      </c>
      <c r="AA519" s="11" t="s">
        <v>66</v>
      </c>
      <c r="AB519" s="22" t="str">
        <f>MID(K512,8,1)</f>
        <v>0</v>
      </c>
      <c r="AC519" s="55" t="str">
        <f t="shared" si="476"/>
        <v>0</v>
      </c>
      <c r="AD519" s="9" t="s">
        <v>74</v>
      </c>
      <c r="AE519" s="11" t="s">
        <v>66</v>
      </c>
      <c r="AF519" s="402"/>
      <c r="AG519" s="403"/>
      <c r="AH519" s="403"/>
      <c r="AI519" s="404"/>
      <c r="AJ519" s="402"/>
      <c r="AK519" s="404"/>
      <c r="AL519" s="501"/>
    </row>
    <row r="520" spans="3:38" ht="15" thickBot="1" x14ac:dyDescent="0.35">
      <c r="C520" s="4"/>
      <c r="D520" s="5"/>
      <c r="E520" s="5"/>
      <c r="F520" s="5"/>
      <c r="G520" s="5"/>
      <c r="H520" s="5"/>
      <c r="I520" s="5"/>
      <c r="J520" s="5"/>
      <c r="K520" s="5"/>
      <c r="L520" s="5"/>
      <c r="M520" s="5" t="s">
        <v>41</v>
      </c>
      <c r="N520" s="6"/>
      <c r="P520" s="530" t="s">
        <v>1818</v>
      </c>
      <c r="Q520" s="530"/>
      <c r="R520" s="530"/>
      <c r="S520" s="530"/>
      <c r="T520" s="530"/>
      <c r="U520" s="530"/>
      <c r="V520" s="530"/>
      <c r="W520" s="530"/>
      <c r="X520" s="530"/>
      <c r="Y520" s="530"/>
      <c r="Z520" s="530"/>
      <c r="AA520" s="530"/>
      <c r="AB520" s="530"/>
      <c r="AC520" s="530"/>
      <c r="AD520" s="530"/>
      <c r="AE520" s="530"/>
      <c r="AF520" s="530"/>
      <c r="AG520" s="530"/>
      <c r="AH520" s="530"/>
      <c r="AI520" s="530"/>
      <c r="AJ520" s="530"/>
      <c r="AK520" s="530"/>
      <c r="AL520" s="501"/>
    </row>
    <row r="521" spans="3:38" ht="15" thickBot="1" x14ac:dyDescent="0.35">
      <c r="C521" s="7"/>
      <c r="D521" s="393" t="s">
        <v>1545</v>
      </c>
      <c r="E521" s="393"/>
      <c r="F521" s="393"/>
      <c r="G521" s="393"/>
      <c r="H521" s="99" t="s">
        <v>44</v>
      </c>
      <c r="I521" s="99" t="s">
        <v>45</v>
      </c>
      <c r="J521" s="99" t="s">
        <v>46</v>
      </c>
      <c r="K521" s="99" t="s">
        <v>47</v>
      </c>
      <c r="L521" s="99" t="s">
        <v>48</v>
      </c>
      <c r="M521" s="99" t="s">
        <v>49</v>
      </c>
      <c r="N521" s="8"/>
      <c r="P521" s="394" t="s">
        <v>301</v>
      </c>
      <c r="Q521" s="395"/>
      <c r="R521" s="395"/>
      <c r="S521" s="396"/>
      <c r="T521" s="394" t="s">
        <v>51</v>
      </c>
      <c r="U521" s="395"/>
      <c r="V521" s="395"/>
      <c r="W521" s="396"/>
      <c r="X521" s="394" t="s">
        <v>52</v>
      </c>
      <c r="Y521" s="395"/>
      <c r="Z521" s="395"/>
      <c r="AA521" s="396"/>
      <c r="AB521" s="394" t="s">
        <v>53</v>
      </c>
      <c r="AC521" s="395"/>
      <c r="AD521" s="395"/>
      <c r="AE521" s="396"/>
      <c r="AF521" s="394" t="s">
        <v>97</v>
      </c>
      <c r="AG521" s="395"/>
      <c r="AH521" s="395"/>
      <c r="AI521" s="396"/>
      <c r="AJ521" s="394" t="s">
        <v>55</v>
      </c>
      <c r="AK521" s="396"/>
      <c r="AL521" s="501"/>
    </row>
    <row r="522" spans="3:38" ht="15" thickBot="1" x14ac:dyDescent="0.35">
      <c r="C522" s="7" t="s">
        <v>56</v>
      </c>
      <c r="D522" s="12" t="str">
        <f>IF(J412="","",7)</f>
        <v/>
      </c>
      <c r="E522" s="13" t="str">
        <f>IF(J412="","",20)</f>
        <v/>
      </c>
      <c r="F522" s="13" t="str">
        <f>IF(J412="","",4)</f>
        <v/>
      </c>
      <c r="G522" s="14" t="str">
        <f>IF(J412="","",38)</f>
        <v/>
      </c>
      <c r="H522" s="41" t="str" cm="1">
        <f t="array" ref="H522">_xlfn.IFNA(MID(INDEX($A$3:$A$70,IF(ISNA(MATCH("720G4I6*",$A$3:$A$70,0))=TRUE,MATCH("7200438*",$A$3:$A$70,0),MATCH("720G4I6*",$A$3:$A$70,0))),$AU$8,2),"")</f>
        <v/>
      </c>
      <c r="I522" s="42" t="str" cm="1">
        <f t="array" ref="I522">_xlfn.IFNA(MID(INDEX($A$3:$A$70,IF(ISNA(MATCH("720G4I6*",$A$3:$A$70,0))=TRUE,MATCH("7200438*",$A$3:$A$70,0),MATCH("720G4I6*",$A$3:$A$70,0))),$AV$8,2),"")</f>
        <v/>
      </c>
      <c r="J522" s="24" t="str" cm="1">
        <f t="array" ref="J522">_xlfn.IFNA(MID(INDEX($A$3:$A$70,IF(ISNA(MATCH("720G4I6*",$A$3:$A$70,0))=TRUE,MATCH("7200438*",$A$3:$A$70,0),MATCH("720G4I6*",$A$3:$A$70,0))),$AW$8,2),"")</f>
        <v/>
      </c>
      <c r="K522" s="42" t="str" cm="1">
        <f t="array" ref="K522">_xlfn.IFNA(MID(INDEX($A$3:$A$70,IF(ISNA(MATCH("720G4I6*",$A$3:$A$70,0))=TRUE,MATCH("7200438*",$A$3:$A$70,0),MATCH("720G4I6*",$A$3:$A$70,0))),$AX$8,2),"")</f>
        <v/>
      </c>
      <c r="L522" s="43" t="str" cm="1">
        <f t="array" ref="L522">_xlfn.IFNA(MID(INDEX($A$3:$A$70,IF(ISNA(MATCH("720G4I6*",$A$3:$A$70,0))=TRUE,MATCH("7200438*",$A$3:$A$70,0),MATCH("720G4I6*",$A$3:$A$70,0))),$AY$8,2),"")</f>
        <v/>
      </c>
      <c r="M522" s="44" t="str" cm="1">
        <f t="array" ref="M522">_xlfn.IFNA(MID(INDEX($A$3:$A$70,IF(ISNA(MATCH("720G4I6*",$A$3:$A$70,0))=TRUE,MATCH("7200438*",$A$3:$A$70,0),MATCH("720G4I6*",$A$3:$A$70,0))),$AZ$8,2),"")</f>
        <v/>
      </c>
      <c r="N522" s="8" t="s">
        <v>60</v>
      </c>
      <c r="P522" s="394"/>
      <c r="Q522" s="395"/>
      <c r="R522" s="395"/>
      <c r="S522" s="396"/>
      <c r="T522" s="19" t="s">
        <v>60</v>
      </c>
      <c r="U522" s="20" t="s">
        <v>61</v>
      </c>
      <c r="V522" t="s">
        <v>62</v>
      </c>
      <c r="W522" s="8"/>
      <c r="X522" s="19" t="s">
        <v>60</v>
      </c>
      <c r="Y522" s="20" t="s">
        <v>61</v>
      </c>
      <c r="Z522" t="s">
        <v>62</v>
      </c>
      <c r="AA522" s="8"/>
      <c r="AB522" s="19" t="s">
        <v>60</v>
      </c>
      <c r="AC522" s="20" t="s">
        <v>61</v>
      </c>
      <c r="AD522" t="s">
        <v>62</v>
      </c>
      <c r="AE522" s="8"/>
      <c r="AF522" s="19" t="s">
        <v>60</v>
      </c>
      <c r="AG522" s="20" t="s">
        <v>61</v>
      </c>
      <c r="AH522" t="s">
        <v>62</v>
      </c>
      <c r="AJ522" s="394" t="s">
        <v>63</v>
      </c>
      <c r="AK522" s="396"/>
      <c r="AL522" s="501"/>
    </row>
    <row r="523" spans="3:38" x14ac:dyDescent="0.3">
      <c r="C523" s="7" t="s">
        <v>64</v>
      </c>
      <c r="D523" s="99" t="str">
        <f>HEX2BIN(D522,8)</f>
        <v>00000000</v>
      </c>
      <c r="E523" s="99" t="str">
        <f t="shared" ref="E523:L523" si="480">HEX2BIN(E522,8)</f>
        <v>00000000</v>
      </c>
      <c r="F523" s="99" t="str">
        <f t="shared" si="480"/>
        <v>00000000</v>
      </c>
      <c r="G523" s="99" t="str">
        <f t="shared" si="480"/>
        <v>00000000</v>
      </c>
      <c r="H523" s="99" t="str">
        <f t="shared" si="480"/>
        <v>00000000</v>
      </c>
      <c r="I523" s="99" t="str">
        <f t="shared" si="480"/>
        <v>00000000</v>
      </c>
      <c r="J523" s="99" t="str">
        <f t="shared" si="480"/>
        <v>00000000</v>
      </c>
      <c r="K523" s="99" t="str">
        <f t="shared" si="480"/>
        <v>00000000</v>
      </c>
      <c r="L523" s="99" t="str">
        <f t="shared" si="480"/>
        <v>00000000</v>
      </c>
      <c r="N523" s="8"/>
      <c r="P523" s="400"/>
      <c r="Q523" s="381"/>
      <c r="R523" s="381"/>
      <c r="S523" s="401"/>
      <c r="T523" s="21" t="str">
        <f>MID(I523,1,1)</f>
        <v>0</v>
      </c>
      <c r="U523" s="26" t="str">
        <f>T523</f>
        <v>0</v>
      </c>
      <c r="V523" s="7" t="s">
        <v>65</v>
      </c>
      <c r="W523" s="8" t="s">
        <v>66</v>
      </c>
      <c r="X523" s="21" t="str">
        <f>MID(J523,1,1)</f>
        <v>0</v>
      </c>
      <c r="Y523" s="26" t="str">
        <f>X523</f>
        <v>0</v>
      </c>
      <c r="Z523" s="7" t="s">
        <v>65</v>
      </c>
      <c r="AA523" s="8" t="s">
        <v>66</v>
      </c>
      <c r="AB523" s="21" t="str">
        <f>MID(K523,1,1)</f>
        <v>0</v>
      </c>
      <c r="AC523" s="26" t="str">
        <f>AB523</f>
        <v>0</v>
      </c>
      <c r="AD523" s="7" t="s">
        <v>65</v>
      </c>
      <c r="AE523" s="8" t="s">
        <v>66</v>
      </c>
      <c r="AF523" s="21" t="str">
        <f>MID(L523,1,1)</f>
        <v>0</v>
      </c>
      <c r="AG523" s="26" t="str">
        <f>AF523</f>
        <v>0</v>
      </c>
      <c r="AH523" s="7" t="s">
        <v>65</v>
      </c>
      <c r="AI523" s="8" t="s">
        <v>66</v>
      </c>
      <c r="AJ523" s="400"/>
      <c r="AK523" s="401"/>
      <c r="AL523" s="501"/>
    </row>
    <row r="524" spans="3:38" x14ac:dyDescent="0.3">
      <c r="C524" s="7" t="s">
        <v>67</v>
      </c>
      <c r="D524" s="99">
        <f>HEX2DEC(D522)</f>
        <v>0</v>
      </c>
      <c r="E524" s="99">
        <f t="shared" ref="E524:L524" si="481">HEX2DEC(E522)</f>
        <v>0</v>
      </c>
      <c r="F524" s="99">
        <f t="shared" si="481"/>
        <v>0</v>
      </c>
      <c r="G524" s="99">
        <f t="shared" si="481"/>
        <v>0</v>
      </c>
      <c r="H524" s="99">
        <f t="shared" si="481"/>
        <v>0</v>
      </c>
      <c r="I524" s="99">
        <f t="shared" si="481"/>
        <v>0</v>
      </c>
      <c r="J524" s="99">
        <f t="shared" si="481"/>
        <v>0</v>
      </c>
      <c r="K524" s="99">
        <f t="shared" si="481"/>
        <v>0</v>
      </c>
      <c r="L524" s="99">
        <f t="shared" si="481"/>
        <v>0</v>
      </c>
      <c r="M524" s="99">
        <f>SUM(D524:L524)</f>
        <v>0</v>
      </c>
      <c r="N524" s="8"/>
      <c r="P524" s="400"/>
      <c r="Q524" s="381"/>
      <c r="R524" s="381"/>
      <c r="S524" s="401"/>
      <c r="T524" s="21" t="str">
        <f>MID(I523,2,1)</f>
        <v>0</v>
      </c>
      <c r="U524" s="26" t="str">
        <f t="shared" ref="U524:U530" si="482">T524</f>
        <v>0</v>
      </c>
      <c r="V524" s="7" t="s">
        <v>68</v>
      </c>
      <c r="W524" s="8" t="s">
        <v>66</v>
      </c>
      <c r="X524" s="21" t="str">
        <f>MID(J523,2,1)</f>
        <v>0</v>
      </c>
      <c r="Y524" s="26" t="str">
        <f t="shared" ref="Y524:Y530" si="483">X524</f>
        <v>0</v>
      </c>
      <c r="Z524" s="7" t="s">
        <v>68</v>
      </c>
      <c r="AA524" s="8" t="s">
        <v>66</v>
      </c>
      <c r="AB524" s="21" t="str">
        <f>MID(K523,2,1)</f>
        <v>0</v>
      </c>
      <c r="AC524" s="26" t="str">
        <f t="shared" ref="AC524:AC530" si="484">AB524</f>
        <v>0</v>
      </c>
      <c r="AD524" s="7" t="s">
        <v>68</v>
      </c>
      <c r="AE524" s="8" t="s">
        <v>66</v>
      </c>
      <c r="AF524" s="21" t="str">
        <f>MID(L523,2,1)</f>
        <v>0</v>
      </c>
      <c r="AG524" s="26" t="str">
        <f t="shared" ref="AG524:AG530" si="485">AF524</f>
        <v>0</v>
      </c>
      <c r="AH524" s="7" t="s">
        <v>68</v>
      </c>
      <c r="AI524" s="8" t="s">
        <v>66</v>
      </c>
      <c r="AJ524" s="400"/>
      <c r="AK524" s="401"/>
      <c r="AL524" s="501"/>
    </row>
    <row r="525" spans="3:38" x14ac:dyDescent="0.3">
      <c r="C525" s="7" t="s">
        <v>1678</v>
      </c>
      <c r="D525" s="333" t="str">
        <f>D522</f>
        <v/>
      </c>
      <c r="E525" s="333" t="str">
        <f>E522</f>
        <v/>
      </c>
      <c r="F525" s="99" t="str">
        <f>_xlfn.IFNA(MID(INDEX($A$3:$A$70,IF(ISNA(MATCH("720G4I6*",$A$3:$A$70,0))=TRUE,MATCH("7200438*",$A$3:$A$70,0),MATCH("720G4I6*",$A$3:$A$70,0))),$AS$8,2),"")</f>
        <v/>
      </c>
      <c r="G525" s="99" t="str">
        <f>_xlfn.IFNA(MID(INDEX($A$3:$A$70,IF(ISNA(MATCH("720G4I6*",$A$3:$A$70,0))=TRUE,MATCH("7200438*",$A$3:$A$70,0),MATCH("720G4I6*",$A$3:$A$70,0))),$AT$8,2),"")</f>
        <v/>
      </c>
      <c r="N525" s="8"/>
      <c r="P525" s="400"/>
      <c r="Q525" s="381"/>
      <c r="R525" s="381"/>
      <c r="S525" s="401"/>
      <c r="T525" s="21" t="str">
        <f>MID(I523,3,1)</f>
        <v>0</v>
      </c>
      <c r="U525" s="26" t="str">
        <f t="shared" si="482"/>
        <v>0</v>
      </c>
      <c r="V525" s="7" t="s">
        <v>69</v>
      </c>
      <c r="W525" s="8" t="s">
        <v>66</v>
      </c>
      <c r="X525" s="21" t="str">
        <f>MID(J523,3,1)</f>
        <v>0</v>
      </c>
      <c r="Y525" s="26" t="str">
        <f t="shared" si="483"/>
        <v>0</v>
      </c>
      <c r="Z525" s="7" t="s">
        <v>69</v>
      </c>
      <c r="AA525" s="8" t="s">
        <v>66</v>
      </c>
      <c r="AB525" s="21" t="str">
        <f>MID(K523,3,1)</f>
        <v>0</v>
      </c>
      <c r="AC525" s="26" t="str">
        <f t="shared" si="484"/>
        <v>0</v>
      </c>
      <c r="AD525" s="7" t="s">
        <v>69</v>
      </c>
      <c r="AE525" s="8" t="s">
        <v>66</v>
      </c>
      <c r="AF525" s="21" t="str">
        <f>MID(L523,3,1)</f>
        <v>0</v>
      </c>
      <c r="AG525" s="26" t="str">
        <f t="shared" si="485"/>
        <v>0</v>
      </c>
      <c r="AH525" s="7" t="s">
        <v>69</v>
      </c>
      <c r="AI525" s="8" t="s">
        <v>66</v>
      </c>
      <c r="AJ525" s="400"/>
      <c r="AK525" s="401"/>
      <c r="AL525" s="501"/>
    </row>
    <row r="526" spans="3:38" ht="15" thickBot="1" x14ac:dyDescent="0.35">
      <c r="C526" s="7"/>
      <c r="N526" s="8"/>
      <c r="P526" s="400"/>
      <c r="Q526" s="381"/>
      <c r="R526" s="381"/>
      <c r="S526" s="401"/>
      <c r="T526" s="21" t="str">
        <f>MID(I523,4,1)</f>
        <v>0</v>
      </c>
      <c r="U526" s="26" t="str">
        <f t="shared" si="482"/>
        <v>0</v>
      </c>
      <c r="V526" s="7" t="s">
        <v>70</v>
      </c>
      <c r="W526" s="8" t="s">
        <v>66</v>
      </c>
      <c r="X526" s="21" t="str">
        <f>MID(J523,4,1)</f>
        <v>0</v>
      </c>
      <c r="Y526" s="26" t="str">
        <f t="shared" si="483"/>
        <v>0</v>
      </c>
      <c r="Z526" s="7" t="s">
        <v>70</v>
      </c>
      <c r="AA526" s="8" t="s">
        <v>66</v>
      </c>
      <c r="AB526" s="21" t="str">
        <f>MID(K523,4,1)</f>
        <v>0</v>
      </c>
      <c r="AC526" s="26" t="str">
        <f t="shared" si="484"/>
        <v>0</v>
      </c>
      <c r="AD526" s="7" t="s">
        <v>70</v>
      </c>
      <c r="AE526" s="8" t="s">
        <v>66</v>
      </c>
      <c r="AF526" s="21" t="str">
        <f>MID(L523,4,1)</f>
        <v>0</v>
      </c>
      <c r="AG526" s="26" t="str">
        <f t="shared" si="485"/>
        <v>0</v>
      </c>
      <c r="AH526" s="7" t="s">
        <v>70</v>
      </c>
      <c r="AI526" s="8" t="s">
        <v>66</v>
      </c>
      <c r="AJ526" s="400"/>
      <c r="AK526" s="401"/>
      <c r="AL526" s="501"/>
    </row>
    <row r="527" spans="3:38" ht="15" thickBot="1" x14ac:dyDescent="0.35">
      <c r="C527" s="7" t="s">
        <v>56</v>
      </c>
      <c r="D527" s="15" t="str">
        <f>D522</f>
        <v/>
      </c>
      <c r="E527" s="16" t="str">
        <f>E522</f>
        <v/>
      </c>
      <c r="F527" s="16" t="str">
        <f>F522</f>
        <v/>
      </c>
      <c r="G527" s="17" t="str">
        <f>G522</f>
        <v/>
      </c>
      <c r="H527" s="50" t="str">
        <f>H522</f>
        <v/>
      </c>
      <c r="I527" s="25" t="str">
        <f>IF(J412="","",BIN2HEX(I528,2))</f>
        <v/>
      </c>
      <c r="J527" s="24" t="str">
        <f>IF(J412="","",BIN2HEX(J528,2))</f>
        <v/>
      </c>
      <c r="K527" s="2" t="str">
        <f>IF(J412="","",BIN2HEX(K528,2))</f>
        <v/>
      </c>
      <c r="L527" s="18" t="str">
        <f>IF(J412="","",BIN2HEX(L528,2))</f>
        <v/>
      </c>
      <c r="M527" s="3" t="str">
        <f>IF(J412="","",IF(LEN(M528)&gt;2,MID(M528,2,2),M528))</f>
        <v/>
      </c>
      <c r="N527" s="8" t="s">
        <v>61</v>
      </c>
      <c r="P527" s="400"/>
      <c r="Q527" s="381"/>
      <c r="R527" s="381"/>
      <c r="S527" s="401"/>
      <c r="T527" s="21" t="str">
        <f>MID(I523,5,1)</f>
        <v>0</v>
      </c>
      <c r="U527" s="26" t="str">
        <f t="shared" si="482"/>
        <v>0</v>
      </c>
      <c r="V527" s="7" t="s">
        <v>71</v>
      </c>
      <c r="W527" s="8" t="s">
        <v>66</v>
      </c>
      <c r="X527" s="21" t="str">
        <f>MID(J523,5,1)</f>
        <v>0</v>
      </c>
      <c r="Y527" s="26" t="str">
        <f t="shared" si="483"/>
        <v>0</v>
      </c>
      <c r="Z527" s="7" t="s">
        <v>71</v>
      </c>
      <c r="AA527" s="8" t="s">
        <v>66</v>
      </c>
      <c r="AB527" s="21" t="str">
        <f>MID(K523,5,1)</f>
        <v>0</v>
      </c>
      <c r="AC527" s="26" t="str">
        <f t="shared" si="484"/>
        <v>0</v>
      </c>
      <c r="AD527" s="7" t="s">
        <v>71</v>
      </c>
      <c r="AE527" s="8" t="s">
        <v>66</v>
      </c>
      <c r="AF527" s="21" t="str">
        <f>MID(L523,5,1)</f>
        <v>0</v>
      </c>
      <c r="AG527" s="26" t="str">
        <f t="shared" si="485"/>
        <v>0</v>
      </c>
      <c r="AH527" s="7" t="s">
        <v>71</v>
      </c>
      <c r="AI527" s="8" t="s">
        <v>66</v>
      </c>
      <c r="AJ527" s="400"/>
      <c r="AK527" s="401"/>
      <c r="AL527" s="501"/>
    </row>
    <row r="528" spans="3:38" x14ac:dyDescent="0.3">
      <c r="C528" s="7" t="s">
        <v>64</v>
      </c>
      <c r="D528" s="99" t="str">
        <f>HEX2BIN(D527,8)</f>
        <v>00000000</v>
      </c>
      <c r="E528" s="99" t="str">
        <f t="shared" ref="E528:G528" si="486">HEX2BIN(E527,8)</f>
        <v>00000000</v>
      </c>
      <c r="F528" s="99" t="str">
        <f t="shared" si="486"/>
        <v>00000000</v>
      </c>
      <c r="G528" s="99" t="str">
        <f t="shared" si="486"/>
        <v>00000000</v>
      </c>
      <c r="H528" s="29"/>
      <c r="I528" s="99" t="str">
        <f>U523&amp;U524&amp;U525&amp;U526&amp;U527&amp;U528&amp;U529&amp;U530</f>
        <v>00000000</v>
      </c>
      <c r="J528" s="29" t="str">
        <f>Y523&amp;Y524&amp;Y525&amp;Y526&amp;Y527&amp;Y528&amp;Y529&amp;Y530</f>
        <v>00000000</v>
      </c>
      <c r="K528" s="29" t="str">
        <f>AC523&amp;AC524&amp;AC525&amp;AC526&amp;AC527&amp;AC528&amp;AC529&amp;AC530</f>
        <v>00000000</v>
      </c>
      <c r="L528" s="99" t="str">
        <f>AG523&amp;AG524&amp;AG525&amp;AG526&amp;AG527&amp;AG528&amp;AG529&amp;AG530</f>
        <v>00000000</v>
      </c>
      <c r="M528" s="99" t="str">
        <f>DEC2HEX(M529)</f>
        <v>0</v>
      </c>
      <c r="N528" s="8"/>
      <c r="P528" s="400"/>
      <c r="Q528" s="381"/>
      <c r="R528" s="381"/>
      <c r="S528" s="401"/>
      <c r="T528" s="21" t="str">
        <f>MID(I523,6,1)</f>
        <v>0</v>
      </c>
      <c r="U528" s="26" t="str">
        <f t="shared" si="482"/>
        <v>0</v>
      </c>
      <c r="V528" s="7" t="s">
        <v>72</v>
      </c>
      <c r="W528" s="8" t="s">
        <v>66</v>
      </c>
      <c r="X528" s="21" t="str">
        <f>MID(J523,6,1)</f>
        <v>0</v>
      </c>
      <c r="Y528" s="26" t="str">
        <f t="shared" si="483"/>
        <v>0</v>
      </c>
      <c r="Z528" s="7" t="s">
        <v>72</v>
      </c>
      <c r="AA528" s="8" t="s">
        <v>66</v>
      </c>
      <c r="AB528" s="21" t="str">
        <f>MID(K523,6,1)</f>
        <v>0</v>
      </c>
      <c r="AC528" s="26" t="str">
        <f t="shared" si="484"/>
        <v>0</v>
      </c>
      <c r="AD528" s="7" t="s">
        <v>72</v>
      </c>
      <c r="AE528" s="8" t="s">
        <v>66</v>
      </c>
      <c r="AF528" s="21" t="str">
        <f>MID(L523,6,1)</f>
        <v>0</v>
      </c>
      <c r="AG528" s="26" t="str">
        <f t="shared" si="485"/>
        <v>0</v>
      </c>
      <c r="AH528" s="7" t="s">
        <v>72</v>
      </c>
      <c r="AI528" s="8" t="s">
        <v>66</v>
      </c>
      <c r="AJ528" s="400"/>
      <c r="AK528" s="401"/>
      <c r="AL528" s="501"/>
    </row>
    <row r="529" spans="3:38" x14ac:dyDescent="0.3">
      <c r="C529" s="7" t="s">
        <v>67</v>
      </c>
      <c r="D529" s="99">
        <f>HEX2DEC(D527)</f>
        <v>0</v>
      </c>
      <c r="E529" s="99">
        <f t="shared" ref="E529:L529" si="487">HEX2DEC(E527)</f>
        <v>0</v>
      </c>
      <c r="F529" s="99">
        <f t="shared" si="487"/>
        <v>0</v>
      </c>
      <c r="G529" s="99">
        <f t="shared" si="487"/>
        <v>0</v>
      </c>
      <c r="H529" s="99">
        <f t="shared" si="487"/>
        <v>0</v>
      </c>
      <c r="I529" s="99">
        <f t="shared" si="487"/>
        <v>0</v>
      </c>
      <c r="J529" s="99">
        <f t="shared" si="487"/>
        <v>0</v>
      </c>
      <c r="K529" s="99">
        <f t="shared" si="487"/>
        <v>0</v>
      </c>
      <c r="L529" s="99">
        <f t="shared" si="487"/>
        <v>0</v>
      </c>
      <c r="M529" s="99">
        <f>SUM(D529:L529)</f>
        <v>0</v>
      </c>
      <c r="N529" s="8"/>
      <c r="P529" s="400"/>
      <c r="Q529" s="381"/>
      <c r="R529" s="381"/>
      <c r="S529" s="401"/>
      <c r="T529" s="21" t="str">
        <f>MID(I523,7,1)</f>
        <v>0</v>
      </c>
      <c r="U529" s="26" t="str">
        <f t="shared" si="482"/>
        <v>0</v>
      </c>
      <c r="V529" s="7" t="s">
        <v>73</v>
      </c>
      <c r="W529" s="8" t="s">
        <v>66</v>
      </c>
      <c r="X529" s="21" t="str">
        <f>MID(J523,7,1)</f>
        <v>0</v>
      </c>
      <c r="Y529" s="26" t="str">
        <f t="shared" si="483"/>
        <v>0</v>
      </c>
      <c r="Z529" s="7" t="s">
        <v>73</v>
      </c>
      <c r="AA529" s="8" t="s">
        <v>66</v>
      </c>
      <c r="AB529" s="21" t="str">
        <f>MID(K523,7,1)</f>
        <v>0</v>
      </c>
      <c r="AC529" s="26" t="str">
        <f t="shared" si="484"/>
        <v>0</v>
      </c>
      <c r="AD529" s="7" t="s">
        <v>73</v>
      </c>
      <c r="AE529" s="8" t="s">
        <v>66</v>
      </c>
      <c r="AF529" s="21" t="str">
        <f>MID(L523,7,1)</f>
        <v>0</v>
      </c>
      <c r="AG529" s="26" t="str">
        <f t="shared" si="485"/>
        <v>0</v>
      </c>
      <c r="AH529" s="7" t="s">
        <v>73</v>
      </c>
      <c r="AI529" s="8" t="s">
        <v>66</v>
      </c>
      <c r="AJ529" s="400"/>
      <c r="AK529" s="401"/>
      <c r="AL529" s="501"/>
    </row>
    <row r="530" spans="3:38" ht="15" thickBot="1" x14ac:dyDescent="0.35">
      <c r="C530" s="9" t="s">
        <v>1678</v>
      </c>
      <c r="D530" s="334" t="str">
        <f>D525</f>
        <v/>
      </c>
      <c r="E530" s="334" t="str">
        <f t="shared" ref="E530:G530" si="488">E525</f>
        <v/>
      </c>
      <c r="F530" s="334" t="str">
        <f t="shared" si="488"/>
        <v/>
      </c>
      <c r="G530" s="334" t="str">
        <f t="shared" si="488"/>
        <v/>
      </c>
      <c r="H530" s="10"/>
      <c r="I530" s="10"/>
      <c r="J530" s="10"/>
      <c r="K530" s="10"/>
      <c r="L530" s="10"/>
      <c r="M530" s="10"/>
      <c r="N530" s="11"/>
      <c r="P530" s="402"/>
      <c r="Q530" s="403"/>
      <c r="R530" s="403"/>
      <c r="S530" s="404"/>
      <c r="T530" s="22" t="str">
        <f>MID(I523,8,1)</f>
        <v>0</v>
      </c>
      <c r="U530" s="55" t="str">
        <f t="shared" si="482"/>
        <v>0</v>
      </c>
      <c r="V530" s="9" t="s">
        <v>74</v>
      </c>
      <c r="W530" s="11" t="s">
        <v>66</v>
      </c>
      <c r="X530" s="22" t="str">
        <f>MID(J523,8,1)</f>
        <v>0</v>
      </c>
      <c r="Y530" s="55" t="str">
        <f t="shared" si="483"/>
        <v>0</v>
      </c>
      <c r="Z530" s="9" t="s">
        <v>74</v>
      </c>
      <c r="AA530" s="11" t="s">
        <v>66</v>
      </c>
      <c r="AB530" s="22" t="str">
        <f>MID(K523,8,1)</f>
        <v>0</v>
      </c>
      <c r="AC530" s="55" t="str">
        <f t="shared" si="484"/>
        <v>0</v>
      </c>
      <c r="AD530" s="9" t="s">
        <v>74</v>
      </c>
      <c r="AE530" s="11" t="s">
        <v>66</v>
      </c>
      <c r="AF530" s="22" t="str">
        <f>MID(L523,8,1)</f>
        <v>0</v>
      </c>
      <c r="AG530" s="55" t="str">
        <f t="shared" si="485"/>
        <v>0</v>
      </c>
      <c r="AH530" s="9" t="s">
        <v>74</v>
      </c>
      <c r="AI530" s="11" t="s">
        <v>66</v>
      </c>
      <c r="AJ530" s="402"/>
      <c r="AK530" s="404"/>
      <c r="AL530" s="501"/>
    </row>
    <row r="531" spans="3:38" ht="15" thickBot="1" x14ac:dyDescent="0.35">
      <c r="C531" s="4"/>
      <c r="D531" s="5"/>
      <c r="E531" s="5"/>
      <c r="F531" s="5"/>
      <c r="G531" s="5"/>
      <c r="H531" s="5"/>
      <c r="I531" s="5"/>
      <c r="J531" s="5"/>
      <c r="K531" s="5"/>
      <c r="L531" s="5"/>
      <c r="M531" s="5" t="s">
        <v>41</v>
      </c>
      <c r="N531" s="6"/>
      <c r="P531" s="530" t="s">
        <v>1819</v>
      </c>
      <c r="Q531" s="530"/>
      <c r="R531" s="530"/>
      <c r="S531" s="530"/>
      <c r="T531" s="530"/>
      <c r="U531" s="530"/>
      <c r="V531" s="530"/>
      <c r="W531" s="530"/>
      <c r="X531" s="530"/>
      <c r="Y531" s="530"/>
      <c r="Z531" s="530"/>
      <c r="AA531" s="530"/>
      <c r="AB531" s="530"/>
      <c r="AC531" s="530"/>
      <c r="AD531" s="530"/>
      <c r="AE531" s="530"/>
      <c r="AF531" s="530"/>
      <c r="AG531" s="530"/>
      <c r="AH531" s="530"/>
      <c r="AI531" s="530"/>
      <c r="AJ531" s="530"/>
      <c r="AK531" s="530"/>
      <c r="AL531" s="501"/>
    </row>
    <row r="532" spans="3:38" ht="15" thickBot="1" x14ac:dyDescent="0.35">
      <c r="C532" s="7"/>
      <c r="D532" s="393" t="s">
        <v>1544</v>
      </c>
      <c r="E532" s="393"/>
      <c r="F532" s="393"/>
      <c r="G532" s="393"/>
      <c r="H532" s="99" t="s">
        <v>44</v>
      </c>
      <c r="I532" s="99" t="s">
        <v>45</v>
      </c>
      <c r="J532" s="99" t="s">
        <v>46</v>
      </c>
      <c r="K532" s="99" t="s">
        <v>47</v>
      </c>
      <c r="L532" s="99" t="s">
        <v>48</v>
      </c>
      <c r="M532" s="99" t="s">
        <v>49</v>
      </c>
      <c r="N532" s="8"/>
      <c r="P532" s="394" t="s">
        <v>50</v>
      </c>
      <c r="Q532" s="395"/>
      <c r="R532" s="395"/>
      <c r="S532" s="396"/>
      <c r="T532" s="394" t="s">
        <v>51</v>
      </c>
      <c r="U532" s="395"/>
      <c r="V532" s="395"/>
      <c r="W532" s="396"/>
      <c r="X532" s="394" t="s">
        <v>255</v>
      </c>
      <c r="Y532" s="395"/>
      <c r="Z532" s="395"/>
      <c r="AA532" s="396"/>
      <c r="AB532" s="394" t="s">
        <v>302</v>
      </c>
      <c r="AC532" s="395"/>
      <c r="AD532" s="395"/>
      <c r="AE532" s="396"/>
      <c r="AF532" s="394" t="s">
        <v>97</v>
      </c>
      <c r="AG532" s="395"/>
      <c r="AH532" s="395"/>
      <c r="AI532" s="396"/>
      <c r="AJ532" s="394" t="s">
        <v>55</v>
      </c>
      <c r="AK532" s="396"/>
      <c r="AL532" s="501"/>
    </row>
    <row r="533" spans="3:38" ht="15" thickBot="1" x14ac:dyDescent="0.35">
      <c r="C533" s="7" t="s">
        <v>56</v>
      </c>
      <c r="D533" s="12" t="str">
        <f>IF(J412="","",7)</f>
        <v/>
      </c>
      <c r="E533" s="13" t="str">
        <f>IF(J412="","",20)</f>
        <v/>
      </c>
      <c r="F533" s="13" t="str">
        <f>IF(J412="","",4)</f>
        <v/>
      </c>
      <c r="G533" s="14" t="str">
        <f>IF(J412="","",39)</f>
        <v/>
      </c>
      <c r="H533" s="41" t="str" cm="1">
        <f t="array" ref="H533">_xlfn.IFNA(MID(INDEX($A$3:$A$70,IF(ISNA(MATCH("720G4I7*",$A$3:$A$70,0))=TRUE,MATCH("7200439*",$A$3:$A$70,0),MATCH("720G4I7*",$A$3:$A$70,0))),$AU$8,2),"")</f>
        <v/>
      </c>
      <c r="I533" s="42" t="str" cm="1">
        <f t="array" ref="I533">_xlfn.IFNA(MID(INDEX($A$3:$A$70,IF(ISNA(MATCH("720G4I7*",$A$3:$A$70,0))=TRUE,MATCH("7200439*",$A$3:$A$70,0),MATCH("720G4I7*",$A$3:$A$70,0))),$AV$8,2),"")</f>
        <v/>
      </c>
      <c r="J533" s="24" t="str" cm="1">
        <f t="array" ref="J533">_xlfn.IFNA(MID(INDEX($A$3:$A$70,IF(ISNA(MATCH("720G4I7*",$A$3:$A$70,0))=TRUE,MATCH("7200439*",$A$3:$A$70,0),MATCH("720G4I7*",$A$3:$A$70,0))),$AW$8,2),"")</f>
        <v/>
      </c>
      <c r="K533" s="42" t="str" cm="1">
        <f t="array" ref="K533">_xlfn.IFNA(MID(INDEX($A$3:$A$70,IF(ISNA(MATCH("720G4I7*",$A$3:$A$70,0))=TRUE,MATCH("7200439*",$A$3:$A$70,0),MATCH("720G4I7*",$A$3:$A$70,0))),$AX$8,2),"")</f>
        <v/>
      </c>
      <c r="L533" s="43" t="str" cm="1">
        <f t="array" ref="L533">_xlfn.IFNA(MID(INDEX($A$3:$A$70,IF(ISNA(MATCH("720G4I7*",$A$3:$A$70,0))=TRUE,MATCH("7200439*",$A$3:$A$70,0),MATCH("720G4I7*",$A$3:$A$70,0))),$AY$8,2),"")</f>
        <v/>
      </c>
      <c r="M533" s="44" t="str" cm="1">
        <f t="array" ref="M533">_xlfn.IFNA(MID(INDEX($A$3:$A$70,IF(ISNA(MATCH("720G4I7*",$A$3:$A$70,0))=TRUE,MATCH("7200439*",$A$3:$A$70,0),MATCH("720G4I7*",$A$3:$A$70,0))),$AZ$8,2),"")</f>
        <v/>
      </c>
      <c r="N533" s="8" t="s">
        <v>60</v>
      </c>
      <c r="P533" s="19" t="s">
        <v>60</v>
      </c>
      <c r="Q533" s="20" t="s">
        <v>61</v>
      </c>
      <c r="R533" t="s">
        <v>62</v>
      </c>
      <c r="S533" s="8"/>
      <c r="T533" s="19" t="s">
        <v>60</v>
      </c>
      <c r="U533" s="20" t="s">
        <v>61</v>
      </c>
      <c r="V533" t="s">
        <v>62</v>
      </c>
      <c r="W533" s="8"/>
      <c r="X533" s="394"/>
      <c r="Y533" s="395"/>
      <c r="Z533" s="395"/>
      <c r="AA533" s="396"/>
      <c r="AB533" s="394"/>
      <c r="AC533" s="395"/>
      <c r="AD533" s="395"/>
      <c r="AE533" s="396"/>
      <c r="AF533" s="19" t="s">
        <v>60</v>
      </c>
      <c r="AG533" s="20" t="s">
        <v>61</v>
      </c>
      <c r="AH533" t="s">
        <v>62</v>
      </c>
      <c r="AJ533" s="394" t="s">
        <v>63</v>
      </c>
      <c r="AK533" s="396"/>
      <c r="AL533" s="501"/>
    </row>
    <row r="534" spans="3:38" x14ac:dyDescent="0.3">
      <c r="C534" s="7" t="s">
        <v>64</v>
      </c>
      <c r="D534" s="99" t="str">
        <f>HEX2BIN(D533,8)</f>
        <v>00000000</v>
      </c>
      <c r="E534" s="99" t="str">
        <f t="shared" ref="E534:L534" si="489">HEX2BIN(E533,8)</f>
        <v>00000000</v>
      </c>
      <c r="F534" s="99" t="str">
        <f t="shared" si="489"/>
        <v>00000000</v>
      </c>
      <c r="G534" s="99" t="str">
        <f t="shared" si="489"/>
        <v>00000000</v>
      </c>
      <c r="H534" s="99" t="str">
        <f t="shared" si="489"/>
        <v>00000000</v>
      </c>
      <c r="I534" s="99" t="str">
        <f t="shared" si="489"/>
        <v>00000000</v>
      </c>
      <c r="J534" s="99" t="str">
        <f t="shared" si="489"/>
        <v>00000000</v>
      </c>
      <c r="K534" s="99" t="str">
        <f t="shared" si="489"/>
        <v>00000000</v>
      </c>
      <c r="L534" s="99" t="str">
        <f t="shared" si="489"/>
        <v>00000000</v>
      </c>
      <c r="N534" s="8"/>
      <c r="P534" s="21" t="str">
        <f>MID(H534,1,1)</f>
        <v>0</v>
      </c>
      <c r="Q534" s="26" t="str">
        <f>P534</f>
        <v>0</v>
      </c>
      <c r="R534" s="7" t="s">
        <v>65</v>
      </c>
      <c r="S534" s="8" t="s">
        <v>66</v>
      </c>
      <c r="T534" s="21" t="str">
        <f>MID(I534,1,1)</f>
        <v>0</v>
      </c>
      <c r="U534" s="26" t="str">
        <f>T534</f>
        <v>0</v>
      </c>
      <c r="V534" s="7" t="s">
        <v>65</v>
      </c>
      <c r="W534" s="8" t="s">
        <v>66</v>
      </c>
      <c r="X534" s="400"/>
      <c r="Y534" s="381"/>
      <c r="Z534" s="381"/>
      <c r="AA534" s="401"/>
      <c r="AB534" s="400"/>
      <c r="AC534" s="381"/>
      <c r="AD534" s="381"/>
      <c r="AE534" s="401"/>
      <c r="AF534" s="21" t="str">
        <f>MID(L534,1,1)</f>
        <v>0</v>
      </c>
      <c r="AG534" s="26" t="str">
        <f>AF534</f>
        <v>0</v>
      </c>
      <c r="AH534" s="7" t="s">
        <v>65</v>
      </c>
      <c r="AI534" s="8" t="s">
        <v>66</v>
      </c>
      <c r="AJ534" s="400"/>
      <c r="AK534" s="401"/>
      <c r="AL534" s="501"/>
    </row>
    <row r="535" spans="3:38" x14ac:dyDescent="0.3">
      <c r="C535" s="7" t="s">
        <v>67</v>
      </c>
      <c r="D535" s="99">
        <f>HEX2DEC(D533)</f>
        <v>0</v>
      </c>
      <c r="E535" s="99">
        <f t="shared" ref="E535:L535" si="490">HEX2DEC(E533)</f>
        <v>0</v>
      </c>
      <c r="F535" s="99">
        <f t="shared" si="490"/>
        <v>0</v>
      </c>
      <c r="G535" s="99">
        <f t="shared" si="490"/>
        <v>0</v>
      </c>
      <c r="H535" s="99">
        <f t="shared" si="490"/>
        <v>0</v>
      </c>
      <c r="I535" s="99">
        <f t="shared" si="490"/>
        <v>0</v>
      </c>
      <c r="J535" s="99">
        <f t="shared" si="490"/>
        <v>0</v>
      </c>
      <c r="K535" s="99">
        <f t="shared" si="490"/>
        <v>0</v>
      </c>
      <c r="L535" s="99">
        <f t="shared" si="490"/>
        <v>0</v>
      </c>
      <c r="M535" s="99">
        <f>SUM(D535:L535)</f>
        <v>0</v>
      </c>
      <c r="N535" s="8"/>
      <c r="P535" s="21" t="str">
        <f>MID(H534,2,1)</f>
        <v>0</v>
      </c>
      <c r="Q535" s="26" t="str">
        <f t="shared" ref="Q535:Q541" si="491">P535</f>
        <v>0</v>
      </c>
      <c r="R535" s="7" t="s">
        <v>68</v>
      </c>
      <c r="S535" s="8" t="s">
        <v>66</v>
      </c>
      <c r="T535" s="21" t="str">
        <f>MID(I534,2,1)</f>
        <v>0</v>
      </c>
      <c r="U535" s="26" t="str">
        <f t="shared" ref="U535:U541" si="492">T535</f>
        <v>0</v>
      </c>
      <c r="V535" s="7" t="s">
        <v>68</v>
      </c>
      <c r="W535" s="8" t="s">
        <v>66</v>
      </c>
      <c r="X535" s="400"/>
      <c r="Y535" s="381"/>
      <c r="Z535" s="381"/>
      <c r="AA535" s="401"/>
      <c r="AB535" s="400"/>
      <c r="AC535" s="381"/>
      <c r="AD535" s="381"/>
      <c r="AE535" s="401"/>
      <c r="AF535" s="21" t="str">
        <f>MID(L534,2,1)</f>
        <v>0</v>
      </c>
      <c r="AG535" s="26" t="str">
        <f t="shared" ref="AG535:AG541" si="493">AF535</f>
        <v>0</v>
      </c>
      <c r="AH535" s="7" t="s">
        <v>68</v>
      </c>
      <c r="AI535" s="8" t="s">
        <v>66</v>
      </c>
      <c r="AJ535" s="400"/>
      <c r="AK535" s="401"/>
      <c r="AL535" s="501"/>
    </row>
    <row r="536" spans="3:38" x14ac:dyDescent="0.3">
      <c r="C536" s="7" t="s">
        <v>1678</v>
      </c>
      <c r="D536" s="333" t="str">
        <f>D533</f>
        <v/>
      </c>
      <c r="E536" s="333" t="str">
        <f>E533</f>
        <v/>
      </c>
      <c r="F536" s="99" t="str">
        <f>_xlfn.IFNA(MID(INDEX($A$3:$A$70,IF(ISNA(MATCH("720G4I7*",$A$3:$A$70,0))=TRUE,MATCH("7200439*",$A$3:$A$70,0),MATCH("720G4I7*",$A$3:$A$70,0))),$AS$8,2),"")</f>
        <v/>
      </c>
      <c r="G536" s="99" t="str">
        <f>_xlfn.IFNA(MID(INDEX($A$3:$A$70,IF(ISNA(MATCH("720G4I7*",$A$3:$A$70,0))=TRUE,MATCH("7200439*",$A$3:$A$70,0),MATCH("720G4I7*",$A$3:$A$70,0))),$AT$8,2),"")</f>
        <v/>
      </c>
      <c r="N536" s="8"/>
      <c r="P536" s="21" t="str">
        <f>MID(H534,3,1)</f>
        <v>0</v>
      </c>
      <c r="Q536" s="26" t="str">
        <f t="shared" si="491"/>
        <v>0</v>
      </c>
      <c r="R536" s="7" t="s">
        <v>69</v>
      </c>
      <c r="S536" s="8" t="s">
        <v>66</v>
      </c>
      <c r="T536" s="21" t="str">
        <f>MID(I534,3,1)</f>
        <v>0</v>
      </c>
      <c r="U536" s="26" t="str">
        <f t="shared" si="492"/>
        <v>0</v>
      </c>
      <c r="V536" s="7" t="s">
        <v>69</v>
      </c>
      <c r="W536" s="8" t="s">
        <v>66</v>
      </c>
      <c r="X536" s="400"/>
      <c r="Y536" s="381"/>
      <c r="Z536" s="381"/>
      <c r="AA536" s="401"/>
      <c r="AB536" s="400"/>
      <c r="AC536" s="381"/>
      <c r="AD536" s="381"/>
      <c r="AE536" s="401"/>
      <c r="AF536" s="21" t="str">
        <f>MID(L534,3,1)</f>
        <v>0</v>
      </c>
      <c r="AG536" s="26" t="str">
        <f t="shared" si="493"/>
        <v>0</v>
      </c>
      <c r="AH536" s="7" t="s">
        <v>69</v>
      </c>
      <c r="AI536" s="8" t="s">
        <v>66</v>
      </c>
      <c r="AJ536" s="400"/>
      <c r="AK536" s="401"/>
      <c r="AL536" s="501"/>
    </row>
    <row r="537" spans="3:38" ht="15" thickBot="1" x14ac:dyDescent="0.35">
      <c r="C537" s="7"/>
      <c r="N537" s="8"/>
      <c r="P537" s="21" t="str">
        <f>MID(H534,4,1)</f>
        <v>0</v>
      </c>
      <c r="Q537" s="26" t="str">
        <f t="shared" si="491"/>
        <v>0</v>
      </c>
      <c r="R537" s="7" t="s">
        <v>70</v>
      </c>
      <c r="S537" s="8" t="s">
        <v>66</v>
      </c>
      <c r="T537" s="21" t="str">
        <f>MID(I534,4,1)</f>
        <v>0</v>
      </c>
      <c r="U537" s="26" t="str">
        <f t="shared" si="492"/>
        <v>0</v>
      </c>
      <c r="V537" s="7" t="s">
        <v>70</v>
      </c>
      <c r="W537" s="8" t="s">
        <v>66</v>
      </c>
      <c r="X537" s="400"/>
      <c r="Y537" s="381"/>
      <c r="Z537" s="381"/>
      <c r="AA537" s="401"/>
      <c r="AB537" s="400"/>
      <c r="AC537" s="381"/>
      <c r="AD537" s="381"/>
      <c r="AE537" s="401"/>
      <c r="AF537" s="21" t="str">
        <f>MID(L534,4,1)</f>
        <v>0</v>
      </c>
      <c r="AG537" s="26" t="str">
        <f t="shared" si="493"/>
        <v>0</v>
      </c>
      <c r="AH537" s="7" t="s">
        <v>70</v>
      </c>
      <c r="AI537" s="8" t="s">
        <v>66</v>
      </c>
      <c r="AJ537" s="400"/>
      <c r="AK537" s="401"/>
      <c r="AL537" s="501"/>
    </row>
    <row r="538" spans="3:38" ht="15" thickBot="1" x14ac:dyDescent="0.35">
      <c r="C538" s="7" t="s">
        <v>56</v>
      </c>
      <c r="D538" s="15" t="str">
        <f>D533</f>
        <v/>
      </c>
      <c r="E538" s="16" t="str">
        <f>E533</f>
        <v/>
      </c>
      <c r="F538" s="16" t="str">
        <f>F533</f>
        <v/>
      </c>
      <c r="G538" s="17" t="str">
        <f>G533</f>
        <v/>
      </c>
      <c r="H538" s="23" t="str">
        <f>IF(J412="","",BIN2HEX(H539,2))</f>
        <v/>
      </c>
      <c r="I538" s="25" t="str">
        <f>IF(J412="","",BIN2HEX(I539,2))</f>
        <v/>
      </c>
      <c r="J538" s="48" t="str">
        <f>J533</f>
        <v/>
      </c>
      <c r="K538" s="47" t="str">
        <f>K533</f>
        <v/>
      </c>
      <c r="L538" s="18" t="str">
        <f>IF(J412="","",BIN2HEX(L539,2))</f>
        <v/>
      </c>
      <c r="M538" s="3" t="str">
        <f>IF(J412="","",IF(LEN(M539)&gt;2,MID(M539,2,2),M539))</f>
        <v/>
      </c>
      <c r="N538" s="8" t="s">
        <v>61</v>
      </c>
      <c r="P538" s="21" t="str">
        <f>MID(H534,5,1)</f>
        <v>0</v>
      </c>
      <c r="Q538" s="26" t="str">
        <f t="shared" si="491"/>
        <v>0</v>
      </c>
      <c r="R538" s="7" t="s">
        <v>71</v>
      </c>
      <c r="S538" s="8" t="s">
        <v>66</v>
      </c>
      <c r="T538" s="21" t="str">
        <f>MID(I534,5,1)</f>
        <v>0</v>
      </c>
      <c r="U538" s="26" t="str">
        <f t="shared" si="492"/>
        <v>0</v>
      </c>
      <c r="V538" s="7" t="s">
        <v>71</v>
      </c>
      <c r="W538" s="8" t="s">
        <v>66</v>
      </c>
      <c r="X538" s="400"/>
      <c r="Y538" s="381"/>
      <c r="Z538" s="381"/>
      <c r="AA538" s="401"/>
      <c r="AB538" s="400"/>
      <c r="AC538" s="381"/>
      <c r="AD538" s="381"/>
      <c r="AE538" s="401"/>
      <c r="AF538" s="21" t="str">
        <f>MID(L534,5,1)</f>
        <v>0</v>
      </c>
      <c r="AG538" s="26" t="str">
        <f t="shared" si="493"/>
        <v>0</v>
      </c>
      <c r="AH538" s="7" t="s">
        <v>71</v>
      </c>
      <c r="AI538" s="8" t="s">
        <v>66</v>
      </c>
      <c r="AJ538" s="400"/>
      <c r="AK538" s="401"/>
      <c r="AL538" s="501"/>
    </row>
    <row r="539" spans="3:38" x14ac:dyDescent="0.3">
      <c r="C539" s="7" t="s">
        <v>64</v>
      </c>
      <c r="D539" s="99" t="str">
        <f>HEX2BIN(D538,8)</f>
        <v>00000000</v>
      </c>
      <c r="E539" s="99" t="str">
        <f t="shared" ref="E539:G539" si="494">HEX2BIN(E538,8)</f>
        <v>00000000</v>
      </c>
      <c r="F539" s="99" t="str">
        <f t="shared" si="494"/>
        <v>00000000</v>
      </c>
      <c r="G539" s="99" t="str">
        <f t="shared" si="494"/>
        <v>00000000</v>
      </c>
      <c r="H539" s="29" t="str">
        <f>Q534&amp;Q535&amp;Q536&amp;Q537&amp;Q538&amp;Q539&amp;Q540&amp;Q541</f>
        <v>00000000</v>
      </c>
      <c r="I539" s="99" t="str">
        <f>U534&amp;U535&amp;U536&amp;U537&amp;U538&amp;U539&amp;U540&amp;U541</f>
        <v>00000000</v>
      </c>
      <c r="J539" s="29"/>
      <c r="K539" s="29"/>
      <c r="L539" s="99" t="str">
        <f>AG534&amp;AG535&amp;AG536&amp;AG537&amp;AG538&amp;AG539&amp;AG540&amp;AG541</f>
        <v>00000000</v>
      </c>
      <c r="M539" s="99" t="str">
        <f>DEC2HEX(M540)</f>
        <v>0</v>
      </c>
      <c r="N539" s="8"/>
      <c r="P539" s="21" t="str">
        <f>MID(H534,6,1)</f>
        <v>0</v>
      </c>
      <c r="Q539" s="26" t="str">
        <f t="shared" si="491"/>
        <v>0</v>
      </c>
      <c r="R539" s="7" t="s">
        <v>72</v>
      </c>
      <c r="S539" s="8" t="s">
        <v>66</v>
      </c>
      <c r="T539" s="21" t="str">
        <f>MID(I534,6,1)</f>
        <v>0</v>
      </c>
      <c r="U539" s="26" t="str">
        <f t="shared" si="492"/>
        <v>0</v>
      </c>
      <c r="V539" s="7" t="s">
        <v>72</v>
      </c>
      <c r="W539" s="8" t="s">
        <v>66</v>
      </c>
      <c r="X539" s="400"/>
      <c r="Y539" s="381"/>
      <c r="Z539" s="381"/>
      <c r="AA539" s="401"/>
      <c r="AB539" s="400"/>
      <c r="AC539" s="381"/>
      <c r="AD539" s="381"/>
      <c r="AE539" s="401"/>
      <c r="AF539" s="21" t="str">
        <f>MID(L534,6,1)</f>
        <v>0</v>
      </c>
      <c r="AG539" s="26" t="str">
        <f t="shared" si="493"/>
        <v>0</v>
      </c>
      <c r="AH539" s="7" t="s">
        <v>72</v>
      </c>
      <c r="AI539" s="8" t="s">
        <v>66</v>
      </c>
      <c r="AJ539" s="400"/>
      <c r="AK539" s="401"/>
      <c r="AL539" s="501"/>
    </row>
    <row r="540" spans="3:38" x14ac:dyDescent="0.3">
      <c r="C540" s="7" t="s">
        <v>67</v>
      </c>
      <c r="D540" s="99">
        <f>HEX2DEC(D538)</f>
        <v>0</v>
      </c>
      <c r="E540" s="99">
        <f t="shared" ref="E540:L540" si="495">HEX2DEC(E538)</f>
        <v>0</v>
      </c>
      <c r="F540" s="99">
        <f t="shared" si="495"/>
        <v>0</v>
      </c>
      <c r="G540" s="99">
        <f t="shared" si="495"/>
        <v>0</v>
      </c>
      <c r="H540" s="99">
        <f t="shared" si="495"/>
        <v>0</v>
      </c>
      <c r="I540" s="99">
        <f t="shared" si="495"/>
        <v>0</v>
      </c>
      <c r="J540" s="99">
        <f t="shared" si="495"/>
        <v>0</v>
      </c>
      <c r="K540" s="99">
        <f t="shared" si="495"/>
        <v>0</v>
      </c>
      <c r="L540" s="99">
        <f t="shared" si="495"/>
        <v>0</v>
      </c>
      <c r="M540" s="99">
        <f>SUM(D540:L540)</f>
        <v>0</v>
      </c>
      <c r="N540" s="8"/>
      <c r="P540" s="21" t="str">
        <f>MID(H534,7,1)</f>
        <v>0</v>
      </c>
      <c r="Q540" s="26" t="str">
        <f t="shared" si="491"/>
        <v>0</v>
      </c>
      <c r="R540" s="7" t="s">
        <v>73</v>
      </c>
      <c r="S540" s="8" t="s">
        <v>66</v>
      </c>
      <c r="T540" s="21" t="str">
        <f>MID(I534,7,1)</f>
        <v>0</v>
      </c>
      <c r="U540" s="26" t="str">
        <f t="shared" si="492"/>
        <v>0</v>
      </c>
      <c r="V540" s="7" t="s">
        <v>73</v>
      </c>
      <c r="W540" s="8" t="s">
        <v>66</v>
      </c>
      <c r="X540" s="400"/>
      <c r="Y540" s="381"/>
      <c r="Z540" s="381"/>
      <c r="AA540" s="401"/>
      <c r="AB540" s="400"/>
      <c r="AC540" s="381"/>
      <c r="AD540" s="381"/>
      <c r="AE540" s="401"/>
      <c r="AF540" s="21" t="str">
        <f>MID(L534,7,1)</f>
        <v>0</v>
      </c>
      <c r="AG540" s="26" t="str">
        <f t="shared" si="493"/>
        <v>0</v>
      </c>
      <c r="AH540" s="7" t="s">
        <v>73</v>
      </c>
      <c r="AI540" s="8" t="s">
        <v>66</v>
      </c>
      <c r="AJ540" s="400"/>
      <c r="AK540" s="401"/>
      <c r="AL540" s="501"/>
    </row>
    <row r="541" spans="3:38" ht="15" thickBot="1" x14ac:dyDescent="0.35">
      <c r="C541" s="9" t="s">
        <v>1678</v>
      </c>
      <c r="D541" s="334" t="str">
        <f>D536</f>
        <v/>
      </c>
      <c r="E541" s="334" t="str">
        <f t="shared" ref="E541:G541" si="496">E536</f>
        <v/>
      </c>
      <c r="F541" s="334" t="str">
        <f t="shared" si="496"/>
        <v/>
      </c>
      <c r="G541" s="334" t="str">
        <f t="shared" si="496"/>
        <v/>
      </c>
      <c r="H541" s="10"/>
      <c r="I541" s="10"/>
      <c r="J541" s="10"/>
      <c r="K541" s="10"/>
      <c r="L541" s="10"/>
      <c r="M541" s="10"/>
      <c r="N541" s="11"/>
      <c r="P541" s="22" t="str">
        <f>MID(H534,8,1)</f>
        <v>0</v>
      </c>
      <c r="Q541" s="55" t="str">
        <f t="shared" si="491"/>
        <v>0</v>
      </c>
      <c r="R541" s="9" t="s">
        <v>74</v>
      </c>
      <c r="S541" s="11" t="s">
        <v>66</v>
      </c>
      <c r="T541" s="22" t="str">
        <f>MID(I534,8,1)</f>
        <v>0</v>
      </c>
      <c r="U541" s="55" t="str">
        <f t="shared" si="492"/>
        <v>0</v>
      </c>
      <c r="V541" s="9" t="s">
        <v>74</v>
      </c>
      <c r="W541" s="11" t="s">
        <v>66</v>
      </c>
      <c r="X541" s="402"/>
      <c r="Y541" s="403"/>
      <c r="Z541" s="403"/>
      <c r="AA541" s="404"/>
      <c r="AB541" s="402"/>
      <c r="AC541" s="403"/>
      <c r="AD541" s="403"/>
      <c r="AE541" s="404"/>
      <c r="AF541" s="22" t="str">
        <f>MID(L534,8,1)</f>
        <v>0</v>
      </c>
      <c r="AG541" s="55" t="str">
        <f t="shared" si="493"/>
        <v>0</v>
      </c>
      <c r="AH541" s="9" t="s">
        <v>74</v>
      </c>
      <c r="AI541" s="11" t="s">
        <v>66</v>
      </c>
      <c r="AJ541" s="402"/>
      <c r="AK541" s="404"/>
      <c r="AL541" s="501"/>
    </row>
    <row r="542" spans="3:38" ht="15" thickBot="1" x14ac:dyDescent="0.35">
      <c r="C542" s="4"/>
      <c r="D542" s="5"/>
      <c r="E542" s="5"/>
      <c r="F542" s="5"/>
      <c r="G542" s="5"/>
      <c r="H542" s="5"/>
      <c r="I542" s="5"/>
      <c r="J542" s="5"/>
      <c r="K542" s="5"/>
      <c r="L542" s="5"/>
      <c r="M542" s="5" t="s">
        <v>41</v>
      </c>
      <c r="N542" s="6"/>
      <c r="P542" s="530" t="s">
        <v>1820</v>
      </c>
      <c r="Q542" s="530"/>
      <c r="R542" s="530"/>
      <c r="S542" s="530"/>
      <c r="T542" s="530"/>
      <c r="U542" s="530"/>
      <c r="V542" s="530"/>
      <c r="W542" s="530"/>
      <c r="X542" s="530"/>
      <c r="Y542" s="530"/>
      <c r="Z542" s="530"/>
      <c r="AA542" s="530"/>
      <c r="AB542" s="530"/>
      <c r="AC542" s="530"/>
      <c r="AD542" s="530"/>
      <c r="AE542" s="530"/>
      <c r="AF542" s="530"/>
      <c r="AG542" s="530"/>
      <c r="AH542" s="530"/>
      <c r="AI542" s="530"/>
      <c r="AJ542" s="530"/>
      <c r="AK542" s="530"/>
      <c r="AL542" s="501"/>
    </row>
    <row r="543" spans="3:38" ht="15" thickBot="1" x14ac:dyDescent="0.35">
      <c r="C543" s="7"/>
      <c r="D543" s="393" t="s">
        <v>1543</v>
      </c>
      <c r="E543" s="393"/>
      <c r="F543" s="393"/>
      <c r="G543" s="393"/>
      <c r="H543" s="99" t="s">
        <v>44</v>
      </c>
      <c r="I543" s="99" t="s">
        <v>45</v>
      </c>
      <c r="J543" s="99" t="s">
        <v>46</v>
      </c>
      <c r="K543" s="99" t="s">
        <v>47</v>
      </c>
      <c r="L543" s="99" t="s">
        <v>48</v>
      </c>
      <c r="M543" s="99" t="s">
        <v>49</v>
      </c>
      <c r="N543" s="8"/>
      <c r="P543" s="394" t="s">
        <v>50</v>
      </c>
      <c r="Q543" s="395"/>
      <c r="R543" s="395"/>
      <c r="S543" s="396"/>
      <c r="T543" s="394" t="s">
        <v>51</v>
      </c>
      <c r="U543" s="395"/>
      <c r="V543" s="395"/>
      <c r="W543" s="396"/>
      <c r="X543" s="394" t="s">
        <v>52</v>
      </c>
      <c r="Y543" s="395"/>
      <c r="Z543" s="395"/>
      <c r="AA543" s="396"/>
      <c r="AB543" s="394" t="s">
        <v>53</v>
      </c>
      <c r="AC543" s="395"/>
      <c r="AD543" s="395"/>
      <c r="AE543" s="396"/>
      <c r="AF543" s="394" t="s">
        <v>97</v>
      </c>
      <c r="AG543" s="395"/>
      <c r="AH543" s="395"/>
      <c r="AI543" s="396"/>
      <c r="AJ543" s="394" t="s">
        <v>55</v>
      </c>
      <c r="AK543" s="396"/>
      <c r="AL543" s="501"/>
    </row>
    <row r="544" spans="3:38" ht="15" thickBot="1" x14ac:dyDescent="0.35">
      <c r="C544" s="7" t="s">
        <v>56</v>
      </c>
      <c r="D544" s="12" t="str">
        <f>IF(J412="","",7)</f>
        <v/>
      </c>
      <c r="E544" s="13" t="str">
        <f>IF(J412="","",20)</f>
        <v/>
      </c>
      <c r="F544" s="13" t="str">
        <f>IF(J412="","",4)</f>
        <v/>
      </c>
      <c r="G544" s="14" t="str">
        <f>IF(J412="","",40)</f>
        <v/>
      </c>
      <c r="H544" s="41" t="str" cm="1">
        <f t="array" ref="H544">_xlfn.IFNA(MID(INDEX($A$3:$A$70,IF(ISNA(MATCH("720G4I8*",$A$3:$A$70,0))=TRUE,MATCH("7200440*",$A$3:$A$70,0),MATCH("720G4I8*",$A$3:$A$70,0))),$AU$8,2),"")</f>
        <v/>
      </c>
      <c r="I544" s="42" t="str" cm="1">
        <f t="array" ref="I544">_xlfn.IFNA(MID(INDEX($A$3:$A$70,IF(ISNA(MATCH("720G4I8*",$A$3:$A$70,0))=TRUE,MATCH("7200440*",$A$3:$A$70,0),MATCH("720G4I8*",$A$3:$A$70,0))),$AV$8,2),"")</f>
        <v/>
      </c>
      <c r="J544" s="24" t="str" cm="1">
        <f t="array" ref="J544">_xlfn.IFNA(MID(INDEX($A$3:$A$70,IF(ISNA(MATCH("720G4I8*",$A$3:$A$70,0))=TRUE,MATCH("7200440*",$A$3:$A$70,0),MATCH("720G4I8*",$A$3:$A$70,0))),$AW$8,2),"")</f>
        <v/>
      </c>
      <c r="K544" s="42" t="str" cm="1">
        <f t="array" ref="K544">_xlfn.IFNA(MID(INDEX($A$3:$A$70,IF(ISNA(MATCH("720G4I8*",$A$3:$A$70,0))=TRUE,MATCH("7200440*",$A$3:$A$70,0),MATCH("720G4I8*",$A$3:$A$70,0))),$AX$8,2),"")</f>
        <v/>
      </c>
      <c r="L544" s="43" t="str" cm="1">
        <f t="array" ref="L544">_xlfn.IFNA(MID(INDEX($A$3:$A$70,IF(ISNA(MATCH("720G4I8*",$A$3:$A$70,0))=TRUE,MATCH("7200440*",$A$3:$A$70,0),MATCH("720G4I8*",$A$3:$A$70,0))),$AY$8,2),"")</f>
        <v/>
      </c>
      <c r="M544" s="44" t="str" cm="1">
        <f t="array" ref="M544">_xlfn.IFNA(MID(INDEX($A$3:$A$70,IF(ISNA(MATCH("720G4I8*",$A$3:$A$70,0))=TRUE,MATCH("7200440*",$A$3:$A$70,0),MATCH("720G4I8*",$A$3:$A$70,0))),$AZ$8,2),"")</f>
        <v/>
      </c>
      <c r="N544" s="8" t="s">
        <v>60</v>
      </c>
      <c r="P544" s="19" t="s">
        <v>60</v>
      </c>
      <c r="Q544" s="20" t="s">
        <v>61</v>
      </c>
      <c r="R544" t="s">
        <v>62</v>
      </c>
      <c r="S544" s="8"/>
      <c r="T544" s="19" t="s">
        <v>60</v>
      </c>
      <c r="U544" s="20" t="s">
        <v>61</v>
      </c>
      <c r="V544" t="s">
        <v>62</v>
      </c>
      <c r="W544" s="8"/>
      <c r="X544" s="19" t="s">
        <v>60</v>
      </c>
      <c r="Y544" s="20" t="s">
        <v>61</v>
      </c>
      <c r="Z544" t="s">
        <v>62</v>
      </c>
      <c r="AA544" s="8"/>
      <c r="AB544" s="19" t="s">
        <v>60</v>
      </c>
      <c r="AC544" s="20" t="s">
        <v>61</v>
      </c>
      <c r="AD544" t="s">
        <v>62</v>
      </c>
      <c r="AE544" s="8"/>
      <c r="AF544" s="19" t="s">
        <v>60</v>
      </c>
      <c r="AG544" s="20" t="s">
        <v>61</v>
      </c>
      <c r="AH544" t="s">
        <v>62</v>
      </c>
      <c r="AJ544" s="394" t="s">
        <v>63</v>
      </c>
      <c r="AK544" s="396"/>
      <c r="AL544" s="501"/>
    </row>
    <row r="545" spans="3:38" x14ac:dyDescent="0.3">
      <c r="C545" s="7" t="s">
        <v>64</v>
      </c>
      <c r="D545" s="99" t="str">
        <f>HEX2BIN(D544,8)</f>
        <v>00000000</v>
      </c>
      <c r="E545" s="99" t="str">
        <f t="shared" ref="E545:L545" si="497">HEX2BIN(E544,8)</f>
        <v>00000000</v>
      </c>
      <c r="F545" s="99" t="str">
        <f t="shared" si="497"/>
        <v>00000000</v>
      </c>
      <c r="G545" s="99" t="str">
        <f t="shared" si="497"/>
        <v>00000000</v>
      </c>
      <c r="H545" s="99" t="str">
        <f t="shared" si="497"/>
        <v>00000000</v>
      </c>
      <c r="I545" s="99" t="str">
        <f t="shared" si="497"/>
        <v>00000000</v>
      </c>
      <c r="J545" s="99" t="str">
        <f t="shared" si="497"/>
        <v>00000000</v>
      </c>
      <c r="K545" s="99" t="str">
        <f t="shared" si="497"/>
        <v>00000000</v>
      </c>
      <c r="L545" s="99" t="str">
        <f t="shared" si="497"/>
        <v>00000000</v>
      </c>
      <c r="N545" s="8"/>
      <c r="P545" s="21" t="str">
        <f>MID(H545,1,1)</f>
        <v>0</v>
      </c>
      <c r="Q545" s="26" t="str">
        <f>P545</f>
        <v>0</v>
      </c>
      <c r="R545" s="7" t="s">
        <v>65</v>
      </c>
      <c r="S545" s="8" t="s">
        <v>66</v>
      </c>
      <c r="T545" s="21" t="str">
        <f>MID(I545,1,1)</f>
        <v>0</v>
      </c>
      <c r="U545" s="26" t="str">
        <f>T545</f>
        <v>0</v>
      </c>
      <c r="V545" s="7" t="s">
        <v>65</v>
      </c>
      <c r="W545" s="8" t="s">
        <v>66</v>
      </c>
      <c r="X545" s="21" t="str">
        <f>MID(J545,1,1)</f>
        <v>0</v>
      </c>
      <c r="Y545" s="26" t="str">
        <f>X545</f>
        <v>0</v>
      </c>
      <c r="Z545" s="7" t="s">
        <v>65</v>
      </c>
      <c r="AA545" s="8" t="s">
        <v>66</v>
      </c>
      <c r="AB545" s="21" t="str">
        <f>MID(K545,1,1)</f>
        <v>0</v>
      </c>
      <c r="AC545" s="26" t="str">
        <f>AB545</f>
        <v>0</v>
      </c>
      <c r="AD545" s="7" t="s">
        <v>65</v>
      </c>
      <c r="AE545" s="8" t="s">
        <v>66</v>
      </c>
      <c r="AF545" s="21" t="str">
        <f>MID(L545,1,1)</f>
        <v>0</v>
      </c>
      <c r="AG545" s="26" t="str">
        <f>AF545</f>
        <v>0</v>
      </c>
      <c r="AH545" s="7" t="s">
        <v>65</v>
      </c>
      <c r="AI545" s="8" t="s">
        <v>66</v>
      </c>
      <c r="AJ545" s="400"/>
      <c r="AK545" s="401"/>
      <c r="AL545" s="501"/>
    </row>
    <row r="546" spans="3:38" x14ac:dyDescent="0.3">
      <c r="C546" s="7" t="s">
        <v>67</v>
      </c>
      <c r="D546" s="99">
        <f>HEX2DEC(D544)</f>
        <v>0</v>
      </c>
      <c r="E546" s="99">
        <f t="shared" ref="E546:L546" si="498">HEX2DEC(E544)</f>
        <v>0</v>
      </c>
      <c r="F546" s="99">
        <f t="shared" si="498"/>
        <v>0</v>
      </c>
      <c r="G546" s="99">
        <f t="shared" si="498"/>
        <v>0</v>
      </c>
      <c r="H546" s="99">
        <f t="shared" si="498"/>
        <v>0</v>
      </c>
      <c r="I546" s="99">
        <f t="shared" si="498"/>
        <v>0</v>
      </c>
      <c r="J546" s="99">
        <f t="shared" si="498"/>
        <v>0</v>
      </c>
      <c r="K546" s="99">
        <f t="shared" si="498"/>
        <v>0</v>
      </c>
      <c r="L546" s="99">
        <f t="shared" si="498"/>
        <v>0</v>
      </c>
      <c r="M546" s="99">
        <f>SUM(D546:L546)</f>
        <v>0</v>
      </c>
      <c r="N546" s="8"/>
      <c r="P546" s="21" t="str">
        <f>MID(H545,2,1)</f>
        <v>0</v>
      </c>
      <c r="Q546" s="26" t="str">
        <f t="shared" ref="Q546:Q552" si="499">P546</f>
        <v>0</v>
      </c>
      <c r="R546" s="7" t="s">
        <v>68</v>
      </c>
      <c r="S546" s="8" t="s">
        <v>66</v>
      </c>
      <c r="T546" s="21" t="str">
        <f>MID(I545,2,1)</f>
        <v>0</v>
      </c>
      <c r="U546" s="26" t="str">
        <f t="shared" ref="U546:U552" si="500">T546</f>
        <v>0</v>
      </c>
      <c r="V546" s="7" t="s">
        <v>68</v>
      </c>
      <c r="W546" s="8" t="s">
        <v>66</v>
      </c>
      <c r="X546" s="21" t="str">
        <f>MID(J545,2,1)</f>
        <v>0</v>
      </c>
      <c r="Y546" s="26" t="str">
        <f t="shared" ref="Y546:Y552" si="501">X546</f>
        <v>0</v>
      </c>
      <c r="Z546" s="7" t="s">
        <v>68</v>
      </c>
      <c r="AA546" s="8" t="s">
        <v>66</v>
      </c>
      <c r="AB546" s="21" t="str">
        <f>MID(K545,2,1)</f>
        <v>0</v>
      </c>
      <c r="AC546" s="26" t="str">
        <f t="shared" ref="AC546:AC552" si="502">AB546</f>
        <v>0</v>
      </c>
      <c r="AD546" s="7" t="s">
        <v>68</v>
      </c>
      <c r="AE546" s="8" t="s">
        <v>66</v>
      </c>
      <c r="AF546" s="21" t="str">
        <f>MID(L545,2,1)</f>
        <v>0</v>
      </c>
      <c r="AG546" s="26" t="str">
        <f t="shared" ref="AG546:AG552" si="503">AF546</f>
        <v>0</v>
      </c>
      <c r="AH546" s="7" t="s">
        <v>68</v>
      </c>
      <c r="AI546" s="8" t="s">
        <v>66</v>
      </c>
      <c r="AJ546" s="400"/>
      <c r="AK546" s="401"/>
      <c r="AL546" s="501"/>
    </row>
    <row r="547" spans="3:38" x14ac:dyDescent="0.3">
      <c r="C547" s="7" t="s">
        <v>1678</v>
      </c>
      <c r="D547" s="333" t="str">
        <f>D544</f>
        <v/>
      </c>
      <c r="E547" s="333" t="str">
        <f>E544</f>
        <v/>
      </c>
      <c r="F547" s="99" t="str">
        <f>_xlfn.IFNA(MID(INDEX($A$3:$A$70,IF(ISNA(MATCH("720G4I8*",$A$3:$A$70,0))=TRUE,MATCH("7200440*",$A$3:$A$70,0),MATCH("720G4I8*",$A$3:$A$70,0))),$AS$8,2),"")</f>
        <v/>
      </c>
      <c r="G547" s="99" t="str">
        <f>_xlfn.IFNA(MID(INDEX($A$3:$A$70,IF(ISNA(MATCH("720G4I8*",$A$3:$A$70,0))=TRUE,MATCH("7200440*",$A$3:$A$70,0),MATCH("720G4I8*",$A$3:$A$70,0))),$AT$8,2),"")</f>
        <v/>
      </c>
      <c r="N547" s="8"/>
      <c r="P547" s="21" t="str">
        <f>MID(H545,3,1)</f>
        <v>0</v>
      </c>
      <c r="Q547" s="26" t="str">
        <f t="shared" si="499"/>
        <v>0</v>
      </c>
      <c r="R547" s="7" t="s">
        <v>69</v>
      </c>
      <c r="S547" s="8" t="s">
        <v>66</v>
      </c>
      <c r="T547" s="21" t="str">
        <f>MID(I545,3,1)</f>
        <v>0</v>
      </c>
      <c r="U547" s="26" t="str">
        <f t="shared" si="500"/>
        <v>0</v>
      </c>
      <c r="V547" s="7" t="s">
        <v>69</v>
      </c>
      <c r="W547" s="8" t="s">
        <v>66</v>
      </c>
      <c r="X547" s="21" t="str">
        <f>MID(J545,3,1)</f>
        <v>0</v>
      </c>
      <c r="Y547" s="26" t="str">
        <f t="shared" si="501"/>
        <v>0</v>
      </c>
      <c r="Z547" s="7" t="s">
        <v>69</v>
      </c>
      <c r="AA547" s="8" t="s">
        <v>66</v>
      </c>
      <c r="AB547" s="21" t="str">
        <f>MID(K545,3,1)</f>
        <v>0</v>
      </c>
      <c r="AC547" s="26" t="str">
        <f t="shared" si="502"/>
        <v>0</v>
      </c>
      <c r="AD547" s="7" t="s">
        <v>69</v>
      </c>
      <c r="AE547" s="8" t="s">
        <v>66</v>
      </c>
      <c r="AF547" s="21" t="str">
        <f>MID(L545,3,1)</f>
        <v>0</v>
      </c>
      <c r="AG547" s="26" t="str">
        <f t="shared" si="503"/>
        <v>0</v>
      </c>
      <c r="AH547" s="7" t="s">
        <v>69</v>
      </c>
      <c r="AI547" s="8" t="s">
        <v>66</v>
      </c>
      <c r="AJ547" s="400"/>
      <c r="AK547" s="401"/>
      <c r="AL547" s="501"/>
    </row>
    <row r="548" spans="3:38" ht="15" thickBot="1" x14ac:dyDescent="0.35">
      <c r="C548" s="7"/>
      <c r="N548" s="8"/>
      <c r="P548" s="21" t="str">
        <f>MID(H545,4,1)</f>
        <v>0</v>
      </c>
      <c r="Q548" s="26" t="str">
        <f t="shared" si="499"/>
        <v>0</v>
      </c>
      <c r="R548" s="7" t="s">
        <v>70</v>
      </c>
      <c r="S548" s="8" t="s">
        <v>66</v>
      </c>
      <c r="T548" s="21" t="str">
        <f>MID(I545,4,1)</f>
        <v>0</v>
      </c>
      <c r="U548" s="26" t="str">
        <f t="shared" si="500"/>
        <v>0</v>
      </c>
      <c r="V548" s="7" t="s">
        <v>70</v>
      </c>
      <c r="W548" s="8" t="s">
        <v>66</v>
      </c>
      <c r="X548" s="21" t="str">
        <f>MID(J545,4,1)</f>
        <v>0</v>
      </c>
      <c r="Y548" s="26" t="str">
        <f t="shared" si="501"/>
        <v>0</v>
      </c>
      <c r="Z548" s="7" t="s">
        <v>70</v>
      </c>
      <c r="AA548" s="8" t="s">
        <v>66</v>
      </c>
      <c r="AB548" s="21" t="str">
        <f>MID(K545,4,1)</f>
        <v>0</v>
      </c>
      <c r="AC548" s="26" t="str">
        <f t="shared" si="502"/>
        <v>0</v>
      </c>
      <c r="AD548" s="7" t="s">
        <v>70</v>
      </c>
      <c r="AE548" s="8" t="s">
        <v>66</v>
      </c>
      <c r="AF548" s="21" t="str">
        <f>MID(L545,4,1)</f>
        <v>0</v>
      </c>
      <c r="AG548" s="26" t="str">
        <f t="shared" si="503"/>
        <v>0</v>
      </c>
      <c r="AH548" s="7" t="s">
        <v>70</v>
      </c>
      <c r="AI548" s="8" t="s">
        <v>66</v>
      </c>
      <c r="AJ548" s="400"/>
      <c r="AK548" s="401"/>
      <c r="AL548" s="501"/>
    </row>
    <row r="549" spans="3:38" ht="15" thickBot="1" x14ac:dyDescent="0.35">
      <c r="C549" s="7" t="s">
        <v>56</v>
      </c>
      <c r="D549" s="15" t="str">
        <f>D544</f>
        <v/>
      </c>
      <c r="E549" s="16" t="str">
        <f>E544</f>
        <v/>
      </c>
      <c r="F549" s="16" t="str">
        <f>F544</f>
        <v/>
      </c>
      <c r="G549" s="17" t="str">
        <f>G544</f>
        <v/>
      </c>
      <c r="H549" s="23" t="str">
        <f>IF(J412="","",BIN2HEX(H550,2))</f>
        <v/>
      </c>
      <c r="I549" s="25" t="str">
        <f>IF(J412="","",BIN2HEX(I550,2))</f>
        <v/>
      </c>
      <c r="J549" s="24" t="str">
        <f>IF(J412="","",BIN2HEX(J550,2))</f>
        <v/>
      </c>
      <c r="K549" s="2" t="str">
        <f>IF(J412="","",BIN2HEX(K550,2))</f>
        <v/>
      </c>
      <c r="L549" s="18" t="str">
        <f>IF(J412="","",BIN2HEX(L550,2))</f>
        <v/>
      </c>
      <c r="M549" s="3" t="str">
        <f>IF(J412="","",IF(LEN(M550)&gt;2,MID(M550,2,2),M550))</f>
        <v/>
      </c>
      <c r="N549" s="8" t="s">
        <v>61</v>
      </c>
      <c r="P549" s="21" t="str">
        <f>MID(H545,5,1)</f>
        <v>0</v>
      </c>
      <c r="Q549" s="26" t="str">
        <f t="shared" si="499"/>
        <v>0</v>
      </c>
      <c r="R549" s="7" t="s">
        <v>71</v>
      </c>
      <c r="S549" s="8" t="s">
        <v>66</v>
      </c>
      <c r="T549" s="21" t="str">
        <f>MID(I545,5,1)</f>
        <v>0</v>
      </c>
      <c r="U549" s="26" t="str">
        <f t="shared" si="500"/>
        <v>0</v>
      </c>
      <c r="V549" s="7" t="s">
        <v>71</v>
      </c>
      <c r="W549" s="8" t="s">
        <v>66</v>
      </c>
      <c r="X549" s="21" t="str">
        <f>MID(J545,5,1)</f>
        <v>0</v>
      </c>
      <c r="Y549" s="26" t="str">
        <f t="shared" si="501"/>
        <v>0</v>
      </c>
      <c r="Z549" s="7" t="s">
        <v>71</v>
      </c>
      <c r="AA549" s="8" t="s">
        <v>66</v>
      </c>
      <c r="AB549" s="21" t="str">
        <f>MID(K545,5,1)</f>
        <v>0</v>
      </c>
      <c r="AC549" s="26" t="str">
        <f t="shared" si="502"/>
        <v>0</v>
      </c>
      <c r="AD549" s="7" t="s">
        <v>71</v>
      </c>
      <c r="AE549" s="8" t="s">
        <v>66</v>
      </c>
      <c r="AF549" s="21" t="str">
        <f>MID(L545,5,1)</f>
        <v>0</v>
      </c>
      <c r="AG549" s="26" t="str">
        <f t="shared" si="503"/>
        <v>0</v>
      </c>
      <c r="AH549" s="7" t="s">
        <v>71</v>
      </c>
      <c r="AI549" s="8" t="s">
        <v>66</v>
      </c>
      <c r="AJ549" s="400"/>
      <c r="AK549" s="401"/>
      <c r="AL549" s="501"/>
    </row>
    <row r="550" spans="3:38" x14ac:dyDescent="0.3">
      <c r="C550" s="7" t="s">
        <v>64</v>
      </c>
      <c r="D550" s="99" t="str">
        <f>HEX2BIN(D549,8)</f>
        <v>00000000</v>
      </c>
      <c r="E550" s="99" t="str">
        <f t="shared" ref="E550:G550" si="504">HEX2BIN(E549,8)</f>
        <v>00000000</v>
      </c>
      <c r="F550" s="99" t="str">
        <f t="shared" si="504"/>
        <v>00000000</v>
      </c>
      <c r="G550" s="99" t="str">
        <f t="shared" si="504"/>
        <v>00000000</v>
      </c>
      <c r="H550" s="29" t="str">
        <f>Q545&amp;Q546&amp;Q547&amp;Q548&amp;Q549&amp;Q550&amp;Q551&amp;Q552</f>
        <v>00000000</v>
      </c>
      <c r="I550" s="99" t="str">
        <f>U545&amp;U546&amp;U547&amp;U548&amp;U549&amp;U550&amp;U551&amp;U552</f>
        <v>00000000</v>
      </c>
      <c r="J550" s="29" t="str">
        <f>Y545&amp;Y546&amp;Y547&amp;Y548&amp;Y549&amp;Y550&amp;Y551&amp;Y552</f>
        <v>00000000</v>
      </c>
      <c r="K550" s="29" t="str">
        <f>AC545&amp;AC546&amp;AC547&amp;AC548&amp;AC549&amp;AC550&amp;AC551&amp;AC552</f>
        <v>00000000</v>
      </c>
      <c r="L550" s="99" t="str">
        <f>AG545&amp;AG546&amp;AG547&amp;AG548&amp;AG549&amp;AG550&amp;AG551&amp;AG552</f>
        <v>00000000</v>
      </c>
      <c r="M550" s="99" t="str">
        <f>DEC2HEX(M551)</f>
        <v>0</v>
      </c>
      <c r="N550" s="8"/>
      <c r="P550" s="21" t="str">
        <f>MID(H545,6,1)</f>
        <v>0</v>
      </c>
      <c r="Q550" s="26" t="str">
        <f t="shared" si="499"/>
        <v>0</v>
      </c>
      <c r="R550" s="7" t="s">
        <v>72</v>
      </c>
      <c r="S550" s="8" t="s">
        <v>66</v>
      </c>
      <c r="T550" s="21" t="str">
        <f>MID(I545,6,1)</f>
        <v>0</v>
      </c>
      <c r="U550" s="26" t="str">
        <f t="shared" si="500"/>
        <v>0</v>
      </c>
      <c r="V550" s="7" t="s">
        <v>72</v>
      </c>
      <c r="W550" s="8" t="s">
        <v>66</v>
      </c>
      <c r="X550" s="21" t="str">
        <f>MID(J545,6,1)</f>
        <v>0</v>
      </c>
      <c r="Y550" s="26" t="str">
        <f t="shared" si="501"/>
        <v>0</v>
      </c>
      <c r="Z550" s="7" t="s">
        <v>72</v>
      </c>
      <c r="AA550" s="8" t="s">
        <v>66</v>
      </c>
      <c r="AB550" s="21" t="str">
        <f>MID(K545,6,1)</f>
        <v>0</v>
      </c>
      <c r="AC550" s="26" t="str">
        <f t="shared" si="502"/>
        <v>0</v>
      </c>
      <c r="AD550" s="7" t="s">
        <v>72</v>
      </c>
      <c r="AE550" s="8" t="s">
        <v>66</v>
      </c>
      <c r="AF550" s="21" t="str">
        <f>MID(L545,6,1)</f>
        <v>0</v>
      </c>
      <c r="AG550" s="26" t="str">
        <f t="shared" si="503"/>
        <v>0</v>
      </c>
      <c r="AH550" s="7" t="s">
        <v>72</v>
      </c>
      <c r="AI550" s="8" t="s">
        <v>66</v>
      </c>
      <c r="AJ550" s="400"/>
      <c r="AK550" s="401"/>
      <c r="AL550" s="501"/>
    </row>
    <row r="551" spans="3:38" x14ac:dyDescent="0.3">
      <c r="C551" s="7" t="s">
        <v>67</v>
      </c>
      <c r="D551" s="99">
        <f>HEX2DEC(D549)</f>
        <v>0</v>
      </c>
      <c r="E551" s="99">
        <f t="shared" ref="E551:L551" si="505">HEX2DEC(E549)</f>
        <v>0</v>
      </c>
      <c r="F551" s="99">
        <f t="shared" si="505"/>
        <v>0</v>
      </c>
      <c r="G551" s="99">
        <f t="shared" si="505"/>
        <v>0</v>
      </c>
      <c r="H551" s="99">
        <f t="shared" si="505"/>
        <v>0</v>
      </c>
      <c r="I551" s="99">
        <f t="shared" si="505"/>
        <v>0</v>
      </c>
      <c r="J551" s="99">
        <f t="shared" si="505"/>
        <v>0</v>
      </c>
      <c r="K551" s="99">
        <f t="shared" si="505"/>
        <v>0</v>
      </c>
      <c r="L551" s="99">
        <f t="shared" si="505"/>
        <v>0</v>
      </c>
      <c r="M551" s="99">
        <f>SUM(D551:L551)</f>
        <v>0</v>
      </c>
      <c r="N551" s="8"/>
      <c r="P551" s="21" t="str">
        <f>MID(H545,7,1)</f>
        <v>0</v>
      </c>
      <c r="Q551" s="26" t="str">
        <f t="shared" si="499"/>
        <v>0</v>
      </c>
      <c r="R551" s="7" t="s">
        <v>73</v>
      </c>
      <c r="S551" s="8" t="s">
        <v>66</v>
      </c>
      <c r="T551" s="21" t="str">
        <f>MID(I545,7,1)</f>
        <v>0</v>
      </c>
      <c r="U551" s="26" t="str">
        <f t="shared" si="500"/>
        <v>0</v>
      </c>
      <c r="V551" s="7" t="s">
        <v>73</v>
      </c>
      <c r="W551" s="8" t="s">
        <v>66</v>
      </c>
      <c r="X551" s="21" t="str">
        <f>MID(J545,7,1)</f>
        <v>0</v>
      </c>
      <c r="Y551" s="26" t="str">
        <f t="shared" si="501"/>
        <v>0</v>
      </c>
      <c r="Z551" s="7" t="s">
        <v>73</v>
      </c>
      <c r="AA551" s="8" t="s">
        <v>66</v>
      </c>
      <c r="AB551" s="21" t="str">
        <f>MID(K545,7,1)</f>
        <v>0</v>
      </c>
      <c r="AC551" s="26" t="str">
        <f t="shared" si="502"/>
        <v>0</v>
      </c>
      <c r="AD551" s="7" t="s">
        <v>73</v>
      </c>
      <c r="AE551" s="8" t="s">
        <v>66</v>
      </c>
      <c r="AF551" s="21" t="str">
        <f>MID(L545,7,1)</f>
        <v>0</v>
      </c>
      <c r="AG551" s="26" t="str">
        <f t="shared" si="503"/>
        <v>0</v>
      </c>
      <c r="AH551" s="7" t="s">
        <v>73</v>
      </c>
      <c r="AI551" s="8" t="s">
        <v>66</v>
      </c>
      <c r="AJ551" s="400"/>
      <c r="AK551" s="401"/>
      <c r="AL551" s="501"/>
    </row>
    <row r="552" spans="3:38" ht="15" thickBot="1" x14ac:dyDescent="0.35">
      <c r="C552" s="9" t="s">
        <v>1678</v>
      </c>
      <c r="D552" s="334" t="str">
        <f>D547</f>
        <v/>
      </c>
      <c r="E552" s="334" t="str">
        <f t="shared" ref="E552:G552" si="506">E547</f>
        <v/>
      </c>
      <c r="F552" s="334" t="str">
        <f t="shared" si="506"/>
        <v/>
      </c>
      <c r="G552" s="334" t="str">
        <f t="shared" si="506"/>
        <v/>
      </c>
      <c r="H552" s="10"/>
      <c r="I552" s="10"/>
      <c r="J552" s="10"/>
      <c r="K552" s="10"/>
      <c r="L552" s="10"/>
      <c r="M552" s="10"/>
      <c r="N552" s="11"/>
      <c r="P552" s="22" t="str">
        <f>MID(H545,8,1)</f>
        <v>0</v>
      </c>
      <c r="Q552" s="55" t="str">
        <f t="shared" si="499"/>
        <v>0</v>
      </c>
      <c r="R552" s="9" t="s">
        <v>74</v>
      </c>
      <c r="S552" s="11" t="s">
        <v>66</v>
      </c>
      <c r="T552" s="22" t="str">
        <f>MID(I545,8,1)</f>
        <v>0</v>
      </c>
      <c r="U552" s="55" t="str">
        <f t="shared" si="500"/>
        <v>0</v>
      </c>
      <c r="V552" s="9" t="s">
        <v>74</v>
      </c>
      <c r="W552" s="11" t="s">
        <v>66</v>
      </c>
      <c r="X552" s="22" t="str">
        <f>MID(J545,8,1)</f>
        <v>0</v>
      </c>
      <c r="Y552" s="55" t="str">
        <f t="shared" si="501"/>
        <v>0</v>
      </c>
      <c r="Z552" s="9" t="s">
        <v>74</v>
      </c>
      <c r="AA552" s="11" t="s">
        <v>66</v>
      </c>
      <c r="AB552" s="22" t="str">
        <f>MID(K545,8,1)</f>
        <v>0</v>
      </c>
      <c r="AC552" s="55" t="str">
        <f t="shared" si="502"/>
        <v>0</v>
      </c>
      <c r="AD552" s="9" t="s">
        <v>74</v>
      </c>
      <c r="AE552" s="11" t="s">
        <v>66</v>
      </c>
      <c r="AF552" s="22" t="str">
        <f>MID(L545,8,1)</f>
        <v>0</v>
      </c>
      <c r="AG552" s="55" t="str">
        <f t="shared" si="503"/>
        <v>0</v>
      </c>
      <c r="AH552" s="9" t="s">
        <v>74</v>
      </c>
      <c r="AI552" s="11" t="s">
        <v>66</v>
      </c>
      <c r="AJ552" s="402"/>
      <c r="AK552" s="404"/>
      <c r="AL552" s="501"/>
    </row>
    <row r="553" spans="3:38" ht="15" thickBot="1" x14ac:dyDescent="0.35">
      <c r="C553" s="4"/>
      <c r="D553" s="5"/>
      <c r="E553" s="5"/>
      <c r="F553" s="5"/>
      <c r="G553" s="5"/>
      <c r="H553" s="5"/>
      <c r="I553" s="5"/>
      <c r="J553" s="5"/>
      <c r="K553" s="5"/>
      <c r="L553" s="5"/>
      <c r="M553" s="5" t="s">
        <v>41</v>
      </c>
      <c r="N553" s="6"/>
      <c r="P553" s="530" t="s">
        <v>1821</v>
      </c>
      <c r="Q553" s="530"/>
      <c r="R553" s="530"/>
      <c r="S553" s="530"/>
      <c r="T553" s="530"/>
      <c r="U553" s="530"/>
      <c r="V553" s="530"/>
      <c r="W553" s="530"/>
      <c r="X553" s="530"/>
      <c r="Y553" s="530"/>
      <c r="Z553" s="530"/>
      <c r="AA553" s="530"/>
      <c r="AB553" s="530"/>
      <c r="AC553" s="530"/>
      <c r="AD553" s="530"/>
      <c r="AE553" s="530"/>
      <c r="AF553" s="530"/>
      <c r="AG553" s="530"/>
      <c r="AH553" s="530"/>
      <c r="AI553" s="530"/>
      <c r="AJ553" s="530"/>
      <c r="AK553" s="530"/>
      <c r="AL553" s="501"/>
    </row>
    <row r="554" spans="3:38" ht="15" thickBot="1" x14ac:dyDescent="0.35">
      <c r="C554" s="7"/>
      <c r="D554" s="393" t="s">
        <v>1542</v>
      </c>
      <c r="E554" s="393"/>
      <c r="F554" s="393"/>
      <c r="G554" s="393"/>
      <c r="H554" s="99" t="s">
        <v>44</v>
      </c>
      <c r="I554" s="99" t="s">
        <v>45</v>
      </c>
      <c r="J554" s="99" t="s">
        <v>46</v>
      </c>
      <c r="K554" s="99" t="s">
        <v>47</v>
      </c>
      <c r="L554" s="99" t="s">
        <v>48</v>
      </c>
      <c r="M554" s="99" t="s">
        <v>49</v>
      </c>
      <c r="N554" s="8"/>
      <c r="P554" s="394" t="s">
        <v>260</v>
      </c>
      <c r="Q554" s="395"/>
      <c r="R554" s="395"/>
      <c r="S554" s="396"/>
      <c r="T554" s="394" t="s">
        <v>304</v>
      </c>
      <c r="U554" s="395"/>
      <c r="V554" s="395"/>
      <c r="W554" s="396"/>
      <c r="X554" s="394" t="s">
        <v>52</v>
      </c>
      <c r="Y554" s="395"/>
      <c r="Z554" s="395"/>
      <c r="AA554" s="396"/>
      <c r="AB554" s="394" t="s">
        <v>53</v>
      </c>
      <c r="AC554" s="395"/>
      <c r="AD554" s="395"/>
      <c r="AE554" s="396"/>
      <c r="AF554" s="394" t="s">
        <v>97</v>
      </c>
      <c r="AG554" s="395"/>
      <c r="AH554" s="395"/>
      <c r="AI554" s="396"/>
      <c r="AJ554" s="394" t="s">
        <v>55</v>
      </c>
      <c r="AK554" s="396"/>
      <c r="AL554" s="501"/>
    </row>
    <row r="555" spans="3:38" ht="15" thickBot="1" x14ac:dyDescent="0.35">
      <c r="C555" s="7" t="s">
        <v>56</v>
      </c>
      <c r="D555" s="12" t="str">
        <f>IF(J412="","",7)</f>
        <v/>
      </c>
      <c r="E555" s="13" t="str">
        <f>IF(J412="","",20)</f>
        <v/>
      </c>
      <c r="F555" s="13" t="str">
        <f>IF(J412="","",4)</f>
        <v/>
      </c>
      <c r="G555" s="14" t="str">
        <f>IF(J412="","",41)</f>
        <v/>
      </c>
      <c r="H555" s="41" t="str" cm="1">
        <f t="array" ref="H555">_xlfn.IFNA(MID(INDEX($A$3:$A$70,IF(ISNA(MATCH("720G4I9*",$A$3:$A$70,0))=TRUE,MATCH("7200441*",$A$3:$A$70,0),MATCH("720G4I9*",$A$3:$A$70,0))),$AU$8,2),"")</f>
        <v/>
      </c>
      <c r="I555" s="42" t="str" cm="1">
        <f t="array" ref="I555">_xlfn.IFNA(MID(INDEX($A$3:$A$70,IF(ISNA(MATCH("720G4I9*",$A$3:$A$70,0))=TRUE,MATCH("7200441*",$A$3:$A$70,0),MATCH("720G4I9*",$A$3:$A$70,0))),$AV$8,2),"")</f>
        <v/>
      </c>
      <c r="J555" s="24" t="str" cm="1">
        <f t="array" ref="J555">_xlfn.IFNA(MID(INDEX($A$3:$A$70,IF(ISNA(MATCH("720G4I9*",$A$3:$A$70,0))=TRUE,MATCH("7200441*",$A$3:$A$70,0),MATCH("720G4I9*",$A$3:$A$70,0))),$AW$8,2),"")</f>
        <v/>
      </c>
      <c r="K555" s="42" t="str" cm="1">
        <f t="array" ref="K555">_xlfn.IFNA(MID(INDEX($A$3:$A$70,IF(ISNA(MATCH("720G4I9*",$A$3:$A$70,0))=TRUE,MATCH("7200441*",$A$3:$A$70,0),MATCH("720G4I9*",$A$3:$A$70,0))),$AX$8,2),"")</f>
        <v/>
      </c>
      <c r="L555" s="43" t="str" cm="1">
        <f t="array" ref="L555">_xlfn.IFNA(MID(INDEX($A$3:$A$70,IF(ISNA(MATCH("720G4I9*",$A$3:$A$70,0))=TRUE,MATCH("7200441*",$A$3:$A$70,0),MATCH("720G4I9*",$A$3:$A$70,0))),$AY$8,2),"")</f>
        <v/>
      </c>
      <c r="M555" s="44" t="str" cm="1">
        <f t="array" ref="M555">_xlfn.IFNA(MID(INDEX($A$3:$A$70,IF(ISNA(MATCH("720G4I9*",$A$3:$A$70,0))=TRUE,MATCH("7200441*",$A$3:$A$70,0),MATCH("720G4I9*",$A$3:$A$70,0))),$AZ$8,2),"")</f>
        <v/>
      </c>
      <c r="N555" s="8" t="s">
        <v>60</v>
      </c>
      <c r="P555" s="394"/>
      <c r="Q555" s="395"/>
      <c r="R555" s="395"/>
      <c r="S555" s="396"/>
      <c r="T555" s="394"/>
      <c r="U555" s="395"/>
      <c r="V555" s="395"/>
      <c r="W555" s="396"/>
      <c r="X555" s="19" t="s">
        <v>60</v>
      </c>
      <c r="Y555" s="20" t="s">
        <v>61</v>
      </c>
      <c r="Z555" t="s">
        <v>62</v>
      </c>
      <c r="AA555" s="8"/>
      <c r="AB555" s="19" t="s">
        <v>60</v>
      </c>
      <c r="AC555" s="20" t="s">
        <v>61</v>
      </c>
      <c r="AD555" t="s">
        <v>62</v>
      </c>
      <c r="AE555" s="8"/>
      <c r="AF555" s="19" t="s">
        <v>60</v>
      </c>
      <c r="AG555" s="20" t="s">
        <v>61</v>
      </c>
      <c r="AH555" t="s">
        <v>62</v>
      </c>
      <c r="AJ555" s="394" t="s">
        <v>63</v>
      </c>
      <c r="AK555" s="396"/>
      <c r="AL555" s="501"/>
    </row>
    <row r="556" spans="3:38" x14ac:dyDescent="0.3">
      <c r="C556" s="7" t="s">
        <v>64</v>
      </c>
      <c r="D556" s="99" t="str">
        <f>HEX2BIN(D555,8)</f>
        <v>00000000</v>
      </c>
      <c r="E556" s="99" t="str">
        <f t="shared" ref="E556:L556" si="507">HEX2BIN(E555,8)</f>
        <v>00000000</v>
      </c>
      <c r="F556" s="99" t="str">
        <f t="shared" si="507"/>
        <v>00000000</v>
      </c>
      <c r="G556" s="99" t="str">
        <f t="shared" si="507"/>
        <v>00000000</v>
      </c>
      <c r="H556" s="99" t="str">
        <f t="shared" si="507"/>
        <v>00000000</v>
      </c>
      <c r="I556" s="99" t="str">
        <f t="shared" si="507"/>
        <v>00000000</v>
      </c>
      <c r="J556" s="99" t="str">
        <f t="shared" si="507"/>
        <v>00000000</v>
      </c>
      <c r="K556" s="99" t="str">
        <f t="shared" si="507"/>
        <v>00000000</v>
      </c>
      <c r="L556" s="99" t="str">
        <f t="shared" si="507"/>
        <v>00000000</v>
      </c>
      <c r="N556" s="8"/>
      <c r="P556" s="400"/>
      <c r="Q556" s="381"/>
      <c r="R556" s="381"/>
      <c r="S556" s="401"/>
      <c r="T556" s="400"/>
      <c r="U556" s="381"/>
      <c r="V556" s="381"/>
      <c r="W556" s="401"/>
      <c r="X556" s="21" t="str">
        <f>MID(J556,1,1)</f>
        <v>0</v>
      </c>
      <c r="Y556" s="26" t="str">
        <f>X556</f>
        <v>0</v>
      </c>
      <c r="Z556" s="7" t="s">
        <v>65</v>
      </c>
      <c r="AA556" s="8" t="s">
        <v>66</v>
      </c>
      <c r="AB556" s="21" t="str">
        <f>MID(K556,1,1)</f>
        <v>0</v>
      </c>
      <c r="AC556" s="26" t="str">
        <f>AB556</f>
        <v>0</v>
      </c>
      <c r="AD556" s="7" t="s">
        <v>65</v>
      </c>
      <c r="AE556" s="8" t="s">
        <v>66</v>
      </c>
      <c r="AF556" s="21" t="str">
        <f>MID(L556,1,1)</f>
        <v>0</v>
      </c>
      <c r="AG556" s="26" t="str">
        <f>AF556</f>
        <v>0</v>
      </c>
      <c r="AH556" s="7" t="s">
        <v>65</v>
      </c>
      <c r="AI556" s="8" t="s">
        <v>66</v>
      </c>
      <c r="AJ556" s="400"/>
      <c r="AK556" s="401"/>
      <c r="AL556" s="501"/>
    </row>
    <row r="557" spans="3:38" x14ac:dyDescent="0.3">
      <c r="C557" s="7" t="s">
        <v>67</v>
      </c>
      <c r="D557" s="99">
        <f>HEX2DEC(D555)</f>
        <v>0</v>
      </c>
      <c r="E557" s="99">
        <f t="shared" ref="E557:L557" si="508">HEX2DEC(E555)</f>
        <v>0</v>
      </c>
      <c r="F557" s="99">
        <f t="shared" si="508"/>
        <v>0</v>
      </c>
      <c r="G557" s="99">
        <f t="shared" si="508"/>
        <v>0</v>
      </c>
      <c r="H557" s="99">
        <f t="shared" si="508"/>
        <v>0</v>
      </c>
      <c r="I557" s="99">
        <f t="shared" si="508"/>
        <v>0</v>
      </c>
      <c r="J557" s="99">
        <f t="shared" si="508"/>
        <v>0</v>
      </c>
      <c r="K557" s="99">
        <f t="shared" si="508"/>
        <v>0</v>
      </c>
      <c r="L557" s="99">
        <f t="shared" si="508"/>
        <v>0</v>
      </c>
      <c r="M557" s="99">
        <f>SUM(D557:L557)</f>
        <v>0</v>
      </c>
      <c r="N557" s="8"/>
      <c r="P557" s="400"/>
      <c r="Q557" s="381"/>
      <c r="R557" s="381"/>
      <c r="S557" s="401"/>
      <c r="T557" s="400"/>
      <c r="U557" s="381"/>
      <c r="V557" s="381"/>
      <c r="W557" s="401"/>
      <c r="X557" s="21" t="str">
        <f>MID(J556,2,1)</f>
        <v>0</v>
      </c>
      <c r="Y557" s="26" t="str">
        <f t="shared" ref="Y557:Y563" si="509">X557</f>
        <v>0</v>
      </c>
      <c r="Z557" s="7" t="s">
        <v>68</v>
      </c>
      <c r="AA557" s="8" t="s">
        <v>66</v>
      </c>
      <c r="AB557" s="21" t="str">
        <f>MID(K556,2,1)</f>
        <v>0</v>
      </c>
      <c r="AC557" s="26" t="str">
        <f t="shared" ref="AC557:AC563" si="510">AB557</f>
        <v>0</v>
      </c>
      <c r="AD557" s="7" t="s">
        <v>68</v>
      </c>
      <c r="AE557" s="8" t="s">
        <v>66</v>
      </c>
      <c r="AF557" s="21" t="str">
        <f>MID(L556,2,1)</f>
        <v>0</v>
      </c>
      <c r="AG557" s="26" t="str">
        <f t="shared" ref="AG557:AG563" si="511">AF557</f>
        <v>0</v>
      </c>
      <c r="AH557" s="7" t="s">
        <v>68</v>
      </c>
      <c r="AI557" s="8" t="s">
        <v>66</v>
      </c>
      <c r="AJ557" s="400"/>
      <c r="AK557" s="401"/>
      <c r="AL557" s="501"/>
    </row>
    <row r="558" spans="3:38" x14ac:dyDescent="0.3">
      <c r="C558" s="7" t="s">
        <v>1678</v>
      </c>
      <c r="D558" s="333" t="str">
        <f>D555</f>
        <v/>
      </c>
      <c r="E558" s="333" t="str">
        <f>E555</f>
        <v/>
      </c>
      <c r="F558" s="99" t="str">
        <f>_xlfn.IFNA(MID(INDEX($A$3:$A$70,IF(ISNA(MATCH("720G4I9*",$A$3:$A$70,0))=TRUE,MATCH("7200441*",$A$3:$A$70,0),MATCH("720G4I9*",$A$3:$A$70,0))),$AS$8,2),"")</f>
        <v/>
      </c>
      <c r="G558" s="99" t="str">
        <f>_xlfn.IFNA(MID(INDEX($A$3:$A$70,IF(ISNA(MATCH("720G4I9*",$A$3:$A$70,0))=TRUE,MATCH("7200441*",$A$3:$A$70,0),MATCH("720G4I9*",$A$3:$A$70,0))),$AT$8,2),"")</f>
        <v/>
      </c>
      <c r="N558" s="8"/>
      <c r="P558" s="400"/>
      <c r="Q558" s="381"/>
      <c r="R558" s="381"/>
      <c r="S558" s="401"/>
      <c r="T558" s="400"/>
      <c r="U558" s="381"/>
      <c r="V558" s="381"/>
      <c r="W558" s="401"/>
      <c r="X558" s="21" t="str">
        <f>MID(J556,3,1)</f>
        <v>0</v>
      </c>
      <c r="Y558" s="26" t="str">
        <f t="shared" si="509"/>
        <v>0</v>
      </c>
      <c r="Z558" s="7" t="s">
        <v>69</v>
      </c>
      <c r="AA558" s="8" t="s">
        <v>66</v>
      </c>
      <c r="AB558" s="21" t="str">
        <f>MID(K556,3,1)</f>
        <v>0</v>
      </c>
      <c r="AC558" s="26" t="str">
        <f t="shared" si="510"/>
        <v>0</v>
      </c>
      <c r="AD558" s="7" t="s">
        <v>69</v>
      </c>
      <c r="AE558" s="8" t="s">
        <v>66</v>
      </c>
      <c r="AF558" s="21" t="str">
        <f>MID(L556,3,1)</f>
        <v>0</v>
      </c>
      <c r="AG558" s="26" t="str">
        <f t="shared" si="511"/>
        <v>0</v>
      </c>
      <c r="AH558" s="7" t="s">
        <v>69</v>
      </c>
      <c r="AI558" s="8" t="s">
        <v>66</v>
      </c>
      <c r="AJ558" s="400"/>
      <c r="AK558" s="401"/>
      <c r="AL558" s="501"/>
    </row>
    <row r="559" spans="3:38" ht="15" thickBot="1" x14ac:dyDescent="0.35">
      <c r="C559" s="7"/>
      <c r="N559" s="8"/>
      <c r="P559" s="400"/>
      <c r="Q559" s="381"/>
      <c r="R559" s="381"/>
      <c r="S559" s="401"/>
      <c r="T559" s="400"/>
      <c r="U559" s="381"/>
      <c r="V559" s="381"/>
      <c r="W559" s="401"/>
      <c r="X559" s="21" t="str">
        <f>MID(J556,4,1)</f>
        <v>0</v>
      </c>
      <c r="Y559" s="26" t="str">
        <f t="shared" si="509"/>
        <v>0</v>
      </c>
      <c r="Z559" s="7" t="s">
        <v>70</v>
      </c>
      <c r="AA559" s="8" t="s">
        <v>66</v>
      </c>
      <c r="AB559" s="21" t="str">
        <f>MID(K556,4,1)</f>
        <v>0</v>
      </c>
      <c r="AC559" s="26" t="str">
        <f t="shared" si="510"/>
        <v>0</v>
      </c>
      <c r="AD559" s="7" t="s">
        <v>70</v>
      </c>
      <c r="AE559" s="8" t="s">
        <v>66</v>
      </c>
      <c r="AF559" s="21" t="str">
        <f>MID(L556,4,1)</f>
        <v>0</v>
      </c>
      <c r="AG559" s="26" t="str">
        <f t="shared" si="511"/>
        <v>0</v>
      </c>
      <c r="AH559" s="7" t="s">
        <v>70</v>
      </c>
      <c r="AI559" s="8" t="s">
        <v>66</v>
      </c>
      <c r="AJ559" s="400"/>
      <c r="AK559" s="401"/>
      <c r="AL559" s="501"/>
    </row>
    <row r="560" spans="3:38" ht="15" thickBot="1" x14ac:dyDescent="0.35">
      <c r="C560" s="7" t="s">
        <v>56</v>
      </c>
      <c r="D560" s="15" t="str">
        <f t="shared" ref="D560:I560" si="512">D555</f>
        <v/>
      </c>
      <c r="E560" s="16" t="str">
        <f t="shared" si="512"/>
        <v/>
      </c>
      <c r="F560" s="16" t="str">
        <f t="shared" si="512"/>
        <v/>
      </c>
      <c r="G560" s="17" t="str">
        <f t="shared" si="512"/>
        <v/>
      </c>
      <c r="H560" s="50" t="str">
        <f t="shared" si="512"/>
        <v/>
      </c>
      <c r="I560" s="47" t="str">
        <f t="shared" si="512"/>
        <v/>
      </c>
      <c r="J560" s="24" t="str">
        <f>IF(J412="","",BIN2HEX(J561,2))</f>
        <v/>
      </c>
      <c r="K560" s="2" t="str">
        <f>IF(J412="","",BIN2HEX(K561,2))</f>
        <v/>
      </c>
      <c r="L560" s="18" t="str">
        <f>IF(J412="","",BIN2HEX(L561,2))</f>
        <v/>
      </c>
      <c r="M560" s="3" t="str">
        <f>IF(J412="","",IF(LEN(M561)&gt;2,MID(M561,2,2),M561))</f>
        <v/>
      </c>
      <c r="N560" s="8" t="s">
        <v>61</v>
      </c>
      <c r="P560" s="400"/>
      <c r="Q560" s="381"/>
      <c r="R560" s="381"/>
      <c r="S560" s="401"/>
      <c r="T560" s="400"/>
      <c r="U560" s="381"/>
      <c r="V560" s="381"/>
      <c r="W560" s="401"/>
      <c r="X560" s="21" t="str">
        <f>MID(J556,5,1)</f>
        <v>0</v>
      </c>
      <c r="Y560" s="26" t="str">
        <f t="shared" si="509"/>
        <v>0</v>
      </c>
      <c r="Z560" s="7" t="s">
        <v>71</v>
      </c>
      <c r="AA560" s="8" t="s">
        <v>66</v>
      </c>
      <c r="AB560" s="21" t="str">
        <f>MID(K556,5,1)</f>
        <v>0</v>
      </c>
      <c r="AC560" s="26" t="str">
        <f t="shared" si="510"/>
        <v>0</v>
      </c>
      <c r="AD560" s="7" t="s">
        <v>71</v>
      </c>
      <c r="AE560" s="8" t="s">
        <v>66</v>
      </c>
      <c r="AF560" s="21" t="str">
        <f>MID(L556,5,1)</f>
        <v>0</v>
      </c>
      <c r="AG560" s="26" t="str">
        <f t="shared" si="511"/>
        <v>0</v>
      </c>
      <c r="AH560" s="7" t="s">
        <v>71</v>
      </c>
      <c r="AI560" s="8" t="s">
        <v>66</v>
      </c>
      <c r="AJ560" s="400"/>
      <c r="AK560" s="401"/>
      <c r="AL560" s="501"/>
    </row>
    <row r="561" spans="3:38" x14ac:dyDescent="0.3">
      <c r="C561" s="7" t="s">
        <v>64</v>
      </c>
      <c r="D561" s="99" t="str">
        <f>HEX2BIN(D560,8)</f>
        <v>00000000</v>
      </c>
      <c r="E561" s="99" t="str">
        <f t="shared" ref="E561:G561" si="513">HEX2BIN(E560,8)</f>
        <v>00000000</v>
      </c>
      <c r="F561" s="99" t="str">
        <f t="shared" si="513"/>
        <v>00000000</v>
      </c>
      <c r="G561" s="99" t="str">
        <f t="shared" si="513"/>
        <v>00000000</v>
      </c>
      <c r="H561" s="29"/>
      <c r="I561" s="99"/>
      <c r="J561" s="29" t="str">
        <f>Y556&amp;Y557&amp;Y558&amp;Y559&amp;Y560&amp;Y561&amp;Y562&amp;Y563</f>
        <v>00000000</v>
      </c>
      <c r="K561" s="29" t="str">
        <f>AC556&amp;AC557&amp;AC558&amp;AC559&amp;AC560&amp;AC561&amp;AC562&amp;AC563</f>
        <v>00000000</v>
      </c>
      <c r="L561" s="99" t="str">
        <f>AG556&amp;AG557&amp;AG558&amp;AG559&amp;AG560&amp;AG561&amp;AG562&amp;AG563</f>
        <v>00000000</v>
      </c>
      <c r="M561" s="99" t="str">
        <f>DEC2HEX(M562)</f>
        <v>0</v>
      </c>
      <c r="N561" s="8"/>
      <c r="P561" s="400"/>
      <c r="Q561" s="381"/>
      <c r="R561" s="381"/>
      <c r="S561" s="401"/>
      <c r="T561" s="400"/>
      <c r="U561" s="381"/>
      <c r="V561" s="381"/>
      <c r="W561" s="401"/>
      <c r="X561" s="21" t="str">
        <f>MID(J556,6,1)</f>
        <v>0</v>
      </c>
      <c r="Y561" s="26" t="str">
        <f t="shared" si="509"/>
        <v>0</v>
      </c>
      <c r="Z561" s="7" t="s">
        <v>72</v>
      </c>
      <c r="AA561" s="8" t="s">
        <v>66</v>
      </c>
      <c r="AB561" s="21" t="str">
        <f>MID(K556,6,1)</f>
        <v>0</v>
      </c>
      <c r="AC561" s="26" t="str">
        <f t="shared" si="510"/>
        <v>0</v>
      </c>
      <c r="AD561" s="7" t="s">
        <v>72</v>
      </c>
      <c r="AE561" s="8" t="s">
        <v>66</v>
      </c>
      <c r="AF561" s="21" t="str">
        <f>MID(L556,6,1)</f>
        <v>0</v>
      </c>
      <c r="AG561" s="26" t="str">
        <f t="shared" si="511"/>
        <v>0</v>
      </c>
      <c r="AH561" s="7" t="s">
        <v>72</v>
      </c>
      <c r="AI561" s="8" t="s">
        <v>66</v>
      </c>
      <c r="AJ561" s="400"/>
      <c r="AK561" s="401"/>
      <c r="AL561" s="501"/>
    </row>
    <row r="562" spans="3:38" x14ac:dyDescent="0.3">
      <c r="C562" s="7" t="s">
        <v>67</v>
      </c>
      <c r="D562" s="99">
        <f>HEX2DEC(D560)</f>
        <v>0</v>
      </c>
      <c r="E562" s="99">
        <f t="shared" ref="E562:L562" si="514">HEX2DEC(E560)</f>
        <v>0</v>
      </c>
      <c r="F562" s="99">
        <f t="shared" si="514"/>
        <v>0</v>
      </c>
      <c r="G562" s="99">
        <f t="shared" si="514"/>
        <v>0</v>
      </c>
      <c r="H562" s="99">
        <f t="shared" si="514"/>
        <v>0</v>
      </c>
      <c r="I562" s="99">
        <f t="shared" si="514"/>
        <v>0</v>
      </c>
      <c r="J562" s="99">
        <f t="shared" si="514"/>
        <v>0</v>
      </c>
      <c r="K562" s="99">
        <f t="shared" si="514"/>
        <v>0</v>
      </c>
      <c r="L562" s="99">
        <f t="shared" si="514"/>
        <v>0</v>
      </c>
      <c r="M562" s="99">
        <f>SUM(D562:L562)</f>
        <v>0</v>
      </c>
      <c r="N562" s="8"/>
      <c r="P562" s="400"/>
      <c r="Q562" s="381"/>
      <c r="R562" s="381"/>
      <c r="S562" s="401"/>
      <c r="T562" s="400"/>
      <c r="U562" s="381"/>
      <c r="V562" s="381"/>
      <c r="W562" s="401"/>
      <c r="X562" s="21" t="str">
        <f>MID(J556,7,1)</f>
        <v>0</v>
      </c>
      <c r="Y562" s="26" t="str">
        <f t="shared" si="509"/>
        <v>0</v>
      </c>
      <c r="Z562" s="7" t="s">
        <v>73</v>
      </c>
      <c r="AA562" s="8" t="s">
        <v>66</v>
      </c>
      <c r="AB562" s="21" t="str">
        <f>MID(K556,7,1)</f>
        <v>0</v>
      </c>
      <c r="AC562" s="26" t="str">
        <f t="shared" si="510"/>
        <v>0</v>
      </c>
      <c r="AD562" s="7" t="s">
        <v>73</v>
      </c>
      <c r="AE562" s="8" t="s">
        <v>66</v>
      </c>
      <c r="AF562" s="21" t="str">
        <f>MID(L556,7,1)</f>
        <v>0</v>
      </c>
      <c r="AG562" s="26" t="str">
        <f t="shared" si="511"/>
        <v>0</v>
      </c>
      <c r="AH562" s="7" t="s">
        <v>73</v>
      </c>
      <c r="AI562" s="8" t="s">
        <v>66</v>
      </c>
      <c r="AJ562" s="400"/>
      <c r="AK562" s="401"/>
      <c r="AL562" s="501"/>
    </row>
    <row r="563" spans="3:38" ht="15" thickBot="1" x14ac:dyDescent="0.35">
      <c r="C563" s="9" t="s">
        <v>1678</v>
      </c>
      <c r="D563" s="334" t="str">
        <f>D558</f>
        <v/>
      </c>
      <c r="E563" s="334" t="str">
        <f t="shared" ref="E563:G563" si="515">E558</f>
        <v/>
      </c>
      <c r="F563" s="334" t="str">
        <f t="shared" si="515"/>
        <v/>
      </c>
      <c r="G563" s="334" t="str">
        <f t="shared" si="515"/>
        <v/>
      </c>
      <c r="H563" s="10"/>
      <c r="I563" s="10"/>
      <c r="J563" s="10"/>
      <c r="K563" s="10"/>
      <c r="L563" s="10"/>
      <c r="M563" s="10"/>
      <c r="N563" s="11"/>
      <c r="P563" s="402"/>
      <c r="Q563" s="403"/>
      <c r="R563" s="403"/>
      <c r="S563" s="404"/>
      <c r="T563" s="402"/>
      <c r="U563" s="403"/>
      <c r="V563" s="403"/>
      <c r="W563" s="404"/>
      <c r="X563" s="22" t="str">
        <f>MID(J556,8,1)</f>
        <v>0</v>
      </c>
      <c r="Y563" s="55" t="str">
        <f t="shared" si="509"/>
        <v>0</v>
      </c>
      <c r="Z563" s="9" t="s">
        <v>74</v>
      </c>
      <c r="AA563" s="11" t="s">
        <v>66</v>
      </c>
      <c r="AB563" s="22" t="str">
        <f>MID(K556,8,1)</f>
        <v>0</v>
      </c>
      <c r="AC563" s="55" t="str">
        <f t="shared" si="510"/>
        <v>0</v>
      </c>
      <c r="AD563" s="9" t="s">
        <v>74</v>
      </c>
      <c r="AE563" s="11" t="s">
        <v>66</v>
      </c>
      <c r="AF563" s="22" t="str">
        <f>MID(L556,8,1)</f>
        <v>0</v>
      </c>
      <c r="AG563" s="55" t="str">
        <f t="shared" si="511"/>
        <v>0</v>
      </c>
      <c r="AH563" s="9" t="s">
        <v>74</v>
      </c>
      <c r="AI563" s="11" t="s">
        <v>66</v>
      </c>
      <c r="AJ563" s="402"/>
      <c r="AK563" s="404"/>
      <c r="AL563" s="501"/>
    </row>
    <row r="564" spans="3:38" ht="15" thickBot="1" x14ac:dyDescent="0.35">
      <c r="C564" s="4"/>
      <c r="D564" s="5"/>
      <c r="E564" s="5"/>
      <c r="F564" s="5"/>
      <c r="G564" s="5"/>
      <c r="H564" s="5"/>
      <c r="I564" s="5"/>
      <c r="J564" s="5"/>
      <c r="K564" s="5"/>
      <c r="L564" s="5"/>
      <c r="M564" s="5" t="s">
        <v>41</v>
      </c>
      <c r="N564" s="6"/>
      <c r="P564" s="530" t="s">
        <v>1822</v>
      </c>
      <c r="Q564" s="530"/>
      <c r="R564" s="530"/>
      <c r="S564" s="530"/>
      <c r="T564" s="530"/>
      <c r="U564" s="530"/>
      <c r="V564" s="530"/>
      <c r="W564" s="530"/>
      <c r="X564" s="530"/>
      <c r="Y564" s="530"/>
      <c r="Z564" s="530"/>
      <c r="AA564" s="530"/>
      <c r="AB564" s="530"/>
      <c r="AC564" s="530"/>
      <c r="AD564" s="530"/>
      <c r="AE564" s="530"/>
      <c r="AF564" s="530"/>
      <c r="AG564" s="530"/>
      <c r="AH564" s="530"/>
      <c r="AI564" s="530"/>
      <c r="AJ564" s="530"/>
      <c r="AK564" s="530"/>
      <c r="AL564" s="501"/>
    </row>
    <row r="565" spans="3:38" ht="15" thickBot="1" x14ac:dyDescent="0.35">
      <c r="C565" s="7"/>
      <c r="D565" s="393" t="s">
        <v>1541</v>
      </c>
      <c r="E565" s="393"/>
      <c r="F565" s="393"/>
      <c r="G565" s="393"/>
      <c r="H565" s="99" t="s">
        <v>44</v>
      </c>
      <c r="I565" s="99" t="s">
        <v>45</v>
      </c>
      <c r="J565" s="99" t="s">
        <v>46</v>
      </c>
      <c r="K565" s="99" t="s">
        <v>47</v>
      </c>
      <c r="L565" s="99" t="s">
        <v>48</v>
      </c>
      <c r="M565" s="99" t="s">
        <v>49</v>
      </c>
      <c r="N565" s="8"/>
      <c r="P565" s="394" t="s">
        <v>50</v>
      </c>
      <c r="Q565" s="395"/>
      <c r="R565" s="395"/>
      <c r="S565" s="396"/>
      <c r="T565" s="394" t="s">
        <v>51</v>
      </c>
      <c r="U565" s="395"/>
      <c r="V565" s="395"/>
      <c r="W565" s="396"/>
      <c r="X565" s="394" t="s">
        <v>52</v>
      </c>
      <c r="Y565" s="395"/>
      <c r="Z565" s="395"/>
      <c r="AA565" s="396"/>
      <c r="AB565" s="394" t="s">
        <v>239</v>
      </c>
      <c r="AC565" s="395"/>
      <c r="AD565" s="395"/>
      <c r="AE565" s="396"/>
      <c r="AF565" s="394" t="s">
        <v>305</v>
      </c>
      <c r="AG565" s="395"/>
      <c r="AH565" s="395"/>
      <c r="AI565" s="396"/>
      <c r="AJ565" s="394" t="s">
        <v>55</v>
      </c>
      <c r="AK565" s="396"/>
      <c r="AL565" s="501"/>
    </row>
    <row r="566" spans="3:38" ht="15" thickBot="1" x14ac:dyDescent="0.35">
      <c r="C566" s="7" t="s">
        <v>56</v>
      </c>
      <c r="D566" s="12" t="str">
        <f>IF(J412="","",7)</f>
        <v/>
      </c>
      <c r="E566" s="13" t="str">
        <f>IF(J412="","",20)</f>
        <v/>
      </c>
      <c r="F566" s="13" t="str">
        <f>IF(J412="","",4)</f>
        <v/>
      </c>
      <c r="G566" s="14" t="str">
        <f>IF(J412="","",42)</f>
        <v/>
      </c>
      <c r="H566" s="41" t="str" cm="1">
        <f t="array" ref="H566">_xlfn.IFNA(MID(INDEX($A$3:$A$70,IF(ISNA(MATCH("720G4IA*",$A$3:$A$70,0))=TRUE,MATCH("7200442*",$A$3:$A$70,0),MATCH("720G4IA*",$A$3:$A$70,0))),$AU$8,2),"")</f>
        <v/>
      </c>
      <c r="I566" s="42" t="str" cm="1">
        <f t="array" ref="I566">_xlfn.IFNA(MID(INDEX($A$3:$A$70,IF(ISNA(MATCH("720G4IA*",$A$3:$A$70,0))=TRUE,MATCH("7200442*",$A$3:$A$70,0),MATCH("720G4IA*",$A$3:$A$70,0))),$AV$8,2),"")</f>
        <v/>
      </c>
      <c r="J566" s="24" t="str" cm="1">
        <f t="array" ref="J566">_xlfn.IFNA(MID(INDEX($A$3:$A$70,IF(ISNA(MATCH("720G4IA*",$A$3:$A$70,0))=TRUE,MATCH("7200442*",$A$3:$A$70,0),MATCH("720G4IA*",$A$3:$A$70,0))),$AW$8,2),"")</f>
        <v/>
      </c>
      <c r="K566" s="42" t="str" cm="1">
        <f t="array" ref="K566">_xlfn.IFNA(MID(INDEX($A$3:$A$70,IF(ISNA(MATCH("720G4IA*",$A$3:$A$70,0))=TRUE,MATCH("7200442*",$A$3:$A$70,0),MATCH("720G4IA*",$A$3:$A$70,0))),$AX$8,2),"")</f>
        <v/>
      </c>
      <c r="L566" s="43" t="str" cm="1">
        <f t="array" ref="L566">_xlfn.IFNA(MID(INDEX($A$3:$A$70,IF(ISNA(MATCH("720G4IA*",$A$3:$A$70,0))=TRUE,MATCH("7200442*",$A$3:$A$70,0),MATCH("720G4IA*",$A$3:$A$70,0))),$AY$8,2),"")</f>
        <v/>
      </c>
      <c r="M566" s="44" t="str" cm="1">
        <f t="array" ref="M566">_xlfn.IFNA(MID(INDEX($A$3:$A$70,IF(ISNA(MATCH("720G4IA*",$A$3:$A$70,0))=TRUE,MATCH("7200442*",$A$3:$A$70,0),MATCH("720G4IA*",$A$3:$A$70,0))),$AZ$8,2),"")</f>
        <v/>
      </c>
      <c r="N566" s="8" t="s">
        <v>60</v>
      </c>
      <c r="P566" s="19" t="s">
        <v>60</v>
      </c>
      <c r="Q566" s="20" t="s">
        <v>61</v>
      </c>
      <c r="R566" t="s">
        <v>62</v>
      </c>
      <c r="S566" s="8"/>
      <c r="T566" s="19" t="s">
        <v>60</v>
      </c>
      <c r="U566" s="20" t="s">
        <v>61</v>
      </c>
      <c r="V566" t="s">
        <v>62</v>
      </c>
      <c r="W566" s="8"/>
      <c r="X566" s="19" t="s">
        <v>60</v>
      </c>
      <c r="Y566" s="20" t="s">
        <v>61</v>
      </c>
      <c r="Z566" t="s">
        <v>62</v>
      </c>
      <c r="AA566" s="8"/>
      <c r="AB566" s="394"/>
      <c r="AC566" s="395"/>
      <c r="AD566" s="395"/>
      <c r="AE566" s="396"/>
      <c r="AF566" s="394"/>
      <c r="AG566" s="395"/>
      <c r="AH566" s="395"/>
      <c r="AI566" s="396"/>
      <c r="AJ566" s="394" t="s">
        <v>63</v>
      </c>
      <c r="AK566" s="396"/>
      <c r="AL566" s="501"/>
    </row>
    <row r="567" spans="3:38" x14ac:dyDescent="0.3">
      <c r="C567" s="7" t="s">
        <v>64</v>
      </c>
      <c r="D567" s="99" t="str">
        <f>HEX2BIN(D566,8)</f>
        <v>00000000</v>
      </c>
      <c r="E567" s="99" t="str">
        <f t="shared" ref="E567:L567" si="516">HEX2BIN(E566,8)</f>
        <v>00000000</v>
      </c>
      <c r="F567" s="99" t="str">
        <f t="shared" si="516"/>
        <v>00000000</v>
      </c>
      <c r="G567" s="99" t="str">
        <f t="shared" si="516"/>
        <v>00000000</v>
      </c>
      <c r="H567" s="99" t="str">
        <f t="shared" si="516"/>
        <v>00000000</v>
      </c>
      <c r="I567" s="99" t="str">
        <f t="shared" si="516"/>
        <v>00000000</v>
      </c>
      <c r="J567" s="99" t="str">
        <f t="shared" si="516"/>
        <v>00000000</v>
      </c>
      <c r="K567" s="99" t="str">
        <f t="shared" si="516"/>
        <v>00000000</v>
      </c>
      <c r="L567" s="99" t="str">
        <f t="shared" si="516"/>
        <v>00000000</v>
      </c>
      <c r="N567" s="8"/>
      <c r="P567" s="21" t="str">
        <f>MID(H567,1,1)</f>
        <v>0</v>
      </c>
      <c r="Q567" s="26" t="str">
        <f>P567</f>
        <v>0</v>
      </c>
      <c r="R567" s="7" t="s">
        <v>65</v>
      </c>
      <c r="S567" s="8" t="s">
        <v>66</v>
      </c>
      <c r="T567" s="21" t="str">
        <f>MID(I567,1,1)</f>
        <v>0</v>
      </c>
      <c r="U567" s="26" t="str">
        <f>T567</f>
        <v>0</v>
      </c>
      <c r="V567" s="7" t="s">
        <v>65</v>
      </c>
      <c r="W567" s="8" t="s">
        <v>66</v>
      </c>
      <c r="X567" s="21" t="str">
        <f>MID(J567,1,1)</f>
        <v>0</v>
      </c>
      <c r="Y567" s="26" t="str">
        <f>X567</f>
        <v>0</v>
      </c>
      <c r="Z567" s="7" t="s">
        <v>65</v>
      </c>
      <c r="AA567" s="8" t="s">
        <v>66</v>
      </c>
      <c r="AB567" s="400"/>
      <c r="AC567" s="381"/>
      <c r="AD567" s="381"/>
      <c r="AE567" s="401"/>
      <c r="AF567" s="400"/>
      <c r="AG567" s="381"/>
      <c r="AH567" s="381"/>
      <c r="AI567" s="401"/>
      <c r="AJ567" s="400"/>
      <c r="AK567" s="401"/>
      <c r="AL567" s="501"/>
    </row>
    <row r="568" spans="3:38" x14ac:dyDescent="0.3">
      <c r="C568" s="7" t="s">
        <v>67</v>
      </c>
      <c r="D568" s="99">
        <f>HEX2DEC(D566)</f>
        <v>0</v>
      </c>
      <c r="E568" s="99">
        <f t="shared" ref="E568:L568" si="517">HEX2DEC(E566)</f>
        <v>0</v>
      </c>
      <c r="F568" s="99">
        <f t="shared" si="517"/>
        <v>0</v>
      </c>
      <c r="G568" s="99">
        <f t="shared" si="517"/>
        <v>0</v>
      </c>
      <c r="H568" s="99">
        <f t="shared" si="517"/>
        <v>0</v>
      </c>
      <c r="I568" s="99">
        <f t="shared" si="517"/>
        <v>0</v>
      </c>
      <c r="J568" s="99">
        <f t="shared" si="517"/>
        <v>0</v>
      </c>
      <c r="K568" s="99">
        <f t="shared" si="517"/>
        <v>0</v>
      </c>
      <c r="L568" s="99">
        <f t="shared" si="517"/>
        <v>0</v>
      </c>
      <c r="M568" s="99">
        <f>SUM(D568:L568)</f>
        <v>0</v>
      </c>
      <c r="N568" s="8"/>
      <c r="P568" s="21" t="str">
        <f>MID(H567,2,1)</f>
        <v>0</v>
      </c>
      <c r="Q568" s="26" t="str">
        <f t="shared" ref="Q568:Q574" si="518">P568</f>
        <v>0</v>
      </c>
      <c r="R568" s="7" t="s">
        <v>68</v>
      </c>
      <c r="S568" s="8" t="s">
        <v>66</v>
      </c>
      <c r="T568" s="21" t="str">
        <f>MID(I567,2,1)</f>
        <v>0</v>
      </c>
      <c r="U568" s="26" t="str">
        <f t="shared" ref="U568:U574" si="519">T568</f>
        <v>0</v>
      </c>
      <c r="V568" s="7" t="s">
        <v>68</v>
      </c>
      <c r="W568" s="8" t="s">
        <v>66</v>
      </c>
      <c r="X568" s="21" t="str">
        <f>MID(J567,2,1)</f>
        <v>0</v>
      </c>
      <c r="Y568" s="26" t="str">
        <f t="shared" ref="Y568:Y574" si="520">X568</f>
        <v>0</v>
      </c>
      <c r="Z568" s="7" t="s">
        <v>68</v>
      </c>
      <c r="AA568" s="8" t="s">
        <v>66</v>
      </c>
      <c r="AB568" s="400"/>
      <c r="AC568" s="381"/>
      <c r="AD568" s="381"/>
      <c r="AE568" s="401"/>
      <c r="AF568" s="400"/>
      <c r="AG568" s="381"/>
      <c r="AH568" s="381"/>
      <c r="AI568" s="401"/>
      <c r="AJ568" s="400"/>
      <c r="AK568" s="401"/>
      <c r="AL568" s="501"/>
    </row>
    <row r="569" spans="3:38" x14ac:dyDescent="0.3">
      <c r="C569" s="7" t="s">
        <v>1678</v>
      </c>
      <c r="D569" s="333" t="str">
        <f>D566</f>
        <v/>
      </c>
      <c r="E569" s="333" t="str">
        <f>E566</f>
        <v/>
      </c>
      <c r="F569" s="99" t="str">
        <f>_xlfn.IFNA(MID(INDEX($A$3:$A$70,IF(ISNA(MATCH("720G4IA*",$A$3:$A$70,0))=TRUE,MATCH("7200442*",$A$3:$A$70,0),MATCH("720G4IA*",$A$3:$A$70,0))),$AS$8,2),"")</f>
        <v/>
      </c>
      <c r="G569" s="99" t="str">
        <f>_xlfn.IFNA(MID(INDEX($A$3:$A$70,IF(ISNA(MATCH("720G4IA*",$A$3:$A$70,0))=TRUE,MATCH("7200442*",$A$3:$A$70,0),MATCH("720G4IA*",$A$3:$A$70,0))),$AT$8,2),"")</f>
        <v/>
      </c>
      <c r="N569" s="8"/>
      <c r="P569" s="21" t="str">
        <f>MID(H567,3,1)</f>
        <v>0</v>
      </c>
      <c r="Q569" s="26" t="str">
        <f t="shared" si="518"/>
        <v>0</v>
      </c>
      <c r="R569" s="7" t="s">
        <v>69</v>
      </c>
      <c r="S569" s="8" t="s">
        <v>66</v>
      </c>
      <c r="T569" s="21" t="str">
        <f>MID(I567,3,1)</f>
        <v>0</v>
      </c>
      <c r="U569" s="26" t="str">
        <f t="shared" si="519"/>
        <v>0</v>
      </c>
      <c r="V569" s="7" t="s">
        <v>69</v>
      </c>
      <c r="W569" s="8" t="s">
        <v>66</v>
      </c>
      <c r="X569" s="21" t="str">
        <f>MID(J567,3,1)</f>
        <v>0</v>
      </c>
      <c r="Y569" s="26" t="str">
        <f t="shared" si="520"/>
        <v>0</v>
      </c>
      <c r="Z569" s="7" t="s">
        <v>69</v>
      </c>
      <c r="AA569" s="8" t="s">
        <v>66</v>
      </c>
      <c r="AB569" s="400"/>
      <c r="AC569" s="381"/>
      <c r="AD569" s="381"/>
      <c r="AE569" s="401"/>
      <c r="AF569" s="400"/>
      <c r="AG569" s="381"/>
      <c r="AH569" s="381"/>
      <c r="AI569" s="401"/>
      <c r="AJ569" s="400"/>
      <c r="AK569" s="401"/>
      <c r="AL569" s="501"/>
    </row>
    <row r="570" spans="3:38" ht="15" thickBot="1" x14ac:dyDescent="0.35">
      <c r="C570" s="7"/>
      <c r="N570" s="8"/>
      <c r="P570" s="21" t="str">
        <f>MID(H567,4,1)</f>
        <v>0</v>
      </c>
      <c r="Q570" s="26" t="str">
        <f t="shared" si="518"/>
        <v>0</v>
      </c>
      <c r="R570" s="7" t="s">
        <v>70</v>
      </c>
      <c r="S570" s="8" t="s">
        <v>66</v>
      </c>
      <c r="T570" s="21" t="str">
        <f>MID(I567,4,1)</f>
        <v>0</v>
      </c>
      <c r="U570" s="26" t="str">
        <f t="shared" si="519"/>
        <v>0</v>
      </c>
      <c r="V570" s="7" t="s">
        <v>70</v>
      </c>
      <c r="W570" s="8" t="s">
        <v>66</v>
      </c>
      <c r="X570" s="21" t="str">
        <f>MID(J567,4,1)</f>
        <v>0</v>
      </c>
      <c r="Y570" s="26" t="str">
        <f t="shared" si="520"/>
        <v>0</v>
      </c>
      <c r="Z570" s="7" t="s">
        <v>70</v>
      </c>
      <c r="AA570" s="8" t="s">
        <v>66</v>
      </c>
      <c r="AB570" s="400"/>
      <c r="AC570" s="381"/>
      <c r="AD570" s="381"/>
      <c r="AE570" s="401"/>
      <c r="AF570" s="400"/>
      <c r="AG570" s="381"/>
      <c r="AH570" s="381"/>
      <c r="AI570" s="401"/>
      <c r="AJ570" s="400"/>
      <c r="AK570" s="401"/>
      <c r="AL570" s="501"/>
    </row>
    <row r="571" spans="3:38" ht="15" thickBot="1" x14ac:dyDescent="0.35">
      <c r="C571" s="7" t="s">
        <v>56</v>
      </c>
      <c r="D571" s="15" t="str">
        <f>D566</f>
        <v/>
      </c>
      <c r="E571" s="16" t="str">
        <f>E566</f>
        <v/>
      </c>
      <c r="F571" s="16" t="str">
        <f>F566</f>
        <v/>
      </c>
      <c r="G571" s="17" t="str">
        <f>G566</f>
        <v/>
      </c>
      <c r="H571" s="23" t="str">
        <f>IF(J412="","",BIN2HEX(H572,2))</f>
        <v/>
      </c>
      <c r="I571" s="25" t="str">
        <f>IF(J412="","",BIN2HEX(I572,2))</f>
        <v/>
      </c>
      <c r="J571" s="24" t="str">
        <f>IF(J412="","",BIN2HEX(J572,2))</f>
        <v/>
      </c>
      <c r="K571" s="47" t="str">
        <f>K566</f>
        <v/>
      </c>
      <c r="L571" s="49" t="str">
        <f>L566</f>
        <v/>
      </c>
      <c r="M571" s="3" t="str">
        <f>IF(J412="","",IF(LEN(M572)&gt;2,MID(M572,2,2),M572))</f>
        <v/>
      </c>
      <c r="N571" s="8" t="s">
        <v>61</v>
      </c>
      <c r="P571" s="21" t="str">
        <f>MID(H567,5,1)</f>
        <v>0</v>
      </c>
      <c r="Q571" s="26" t="str">
        <f t="shared" si="518"/>
        <v>0</v>
      </c>
      <c r="R571" s="7" t="s">
        <v>71</v>
      </c>
      <c r="S571" s="8" t="s">
        <v>66</v>
      </c>
      <c r="T571" s="21" t="str">
        <f>MID(I567,5,1)</f>
        <v>0</v>
      </c>
      <c r="U571" s="26" t="str">
        <f t="shared" si="519"/>
        <v>0</v>
      </c>
      <c r="V571" s="7" t="s">
        <v>71</v>
      </c>
      <c r="W571" s="8" t="s">
        <v>66</v>
      </c>
      <c r="X571" s="21" t="str">
        <f>MID(J567,5,1)</f>
        <v>0</v>
      </c>
      <c r="Y571" s="26" t="str">
        <f t="shared" si="520"/>
        <v>0</v>
      </c>
      <c r="Z571" s="7" t="s">
        <v>71</v>
      </c>
      <c r="AA571" s="8" t="s">
        <v>66</v>
      </c>
      <c r="AB571" s="400"/>
      <c r="AC571" s="381"/>
      <c r="AD571" s="381"/>
      <c r="AE571" s="401"/>
      <c r="AF571" s="400"/>
      <c r="AG571" s="381"/>
      <c r="AH571" s="381"/>
      <c r="AI571" s="401"/>
      <c r="AJ571" s="400"/>
      <c r="AK571" s="401"/>
      <c r="AL571" s="501"/>
    </row>
    <row r="572" spans="3:38" x14ac:dyDescent="0.3">
      <c r="C572" s="7" t="s">
        <v>64</v>
      </c>
      <c r="D572" s="99" t="str">
        <f>HEX2BIN(D571,8)</f>
        <v>00000000</v>
      </c>
      <c r="E572" s="99" t="str">
        <f t="shared" ref="E572:G572" si="521">HEX2BIN(E571,8)</f>
        <v>00000000</v>
      </c>
      <c r="F572" s="99" t="str">
        <f t="shared" si="521"/>
        <v>00000000</v>
      </c>
      <c r="G572" s="99" t="str">
        <f t="shared" si="521"/>
        <v>00000000</v>
      </c>
      <c r="H572" s="29" t="str">
        <f>Q567&amp;Q568&amp;Q569&amp;Q570&amp;Q571&amp;Q572&amp;Q573&amp;Q574</f>
        <v>00000000</v>
      </c>
      <c r="I572" s="99" t="str">
        <f>U567&amp;U568&amp;U569&amp;U570&amp;U571&amp;U572&amp;U573&amp;U574</f>
        <v>00000000</v>
      </c>
      <c r="J572" s="29" t="str">
        <f>Y567&amp;Y568&amp;Y569&amp;Y570&amp;Y571&amp;Y572&amp;Y573&amp;Y574</f>
        <v>00000000</v>
      </c>
      <c r="K572" s="29"/>
      <c r="L572" s="99"/>
      <c r="M572" s="99" t="str">
        <f>DEC2HEX(M573)</f>
        <v>0</v>
      </c>
      <c r="N572" s="8"/>
      <c r="P572" s="21" t="str">
        <f>MID(H567,6,1)</f>
        <v>0</v>
      </c>
      <c r="Q572" s="26" t="str">
        <f t="shared" si="518"/>
        <v>0</v>
      </c>
      <c r="R572" s="7" t="s">
        <v>72</v>
      </c>
      <c r="S572" s="8" t="s">
        <v>66</v>
      </c>
      <c r="T572" s="21" t="str">
        <f>MID(I567,6,1)</f>
        <v>0</v>
      </c>
      <c r="U572" s="26" t="str">
        <f t="shared" si="519"/>
        <v>0</v>
      </c>
      <c r="V572" s="7" t="s">
        <v>72</v>
      </c>
      <c r="W572" s="8" t="s">
        <v>66</v>
      </c>
      <c r="X572" s="21" t="str">
        <f>MID(J567,6,1)</f>
        <v>0</v>
      </c>
      <c r="Y572" s="26" t="str">
        <f t="shared" si="520"/>
        <v>0</v>
      </c>
      <c r="Z572" s="7" t="s">
        <v>72</v>
      </c>
      <c r="AA572" s="8" t="s">
        <v>66</v>
      </c>
      <c r="AB572" s="400"/>
      <c r="AC572" s="381"/>
      <c r="AD572" s="381"/>
      <c r="AE572" s="401"/>
      <c r="AF572" s="400"/>
      <c r="AG572" s="381"/>
      <c r="AH572" s="381"/>
      <c r="AI572" s="401"/>
      <c r="AJ572" s="400"/>
      <c r="AK572" s="401"/>
      <c r="AL572" s="501"/>
    </row>
    <row r="573" spans="3:38" x14ac:dyDescent="0.3">
      <c r="C573" s="7" t="s">
        <v>67</v>
      </c>
      <c r="D573" s="99">
        <f>HEX2DEC(D571)</f>
        <v>0</v>
      </c>
      <c r="E573" s="99">
        <f t="shared" ref="E573:L573" si="522">HEX2DEC(E571)</f>
        <v>0</v>
      </c>
      <c r="F573" s="99">
        <f t="shared" si="522"/>
        <v>0</v>
      </c>
      <c r="G573" s="99">
        <f t="shared" si="522"/>
        <v>0</v>
      </c>
      <c r="H573" s="99">
        <f t="shared" si="522"/>
        <v>0</v>
      </c>
      <c r="I573" s="99">
        <f t="shared" si="522"/>
        <v>0</v>
      </c>
      <c r="J573" s="99">
        <f t="shared" si="522"/>
        <v>0</v>
      </c>
      <c r="K573" s="99">
        <f t="shared" si="522"/>
        <v>0</v>
      </c>
      <c r="L573" s="99">
        <f t="shared" si="522"/>
        <v>0</v>
      </c>
      <c r="M573" s="99">
        <f>SUM(D573:L573)</f>
        <v>0</v>
      </c>
      <c r="N573" s="8"/>
      <c r="P573" s="21" t="str">
        <f>MID(H567,7,1)</f>
        <v>0</v>
      </c>
      <c r="Q573" s="26" t="str">
        <f t="shared" si="518"/>
        <v>0</v>
      </c>
      <c r="R573" s="7" t="s">
        <v>73</v>
      </c>
      <c r="S573" s="8" t="s">
        <v>66</v>
      </c>
      <c r="T573" s="21" t="str">
        <f>MID(I567,7,1)</f>
        <v>0</v>
      </c>
      <c r="U573" s="26" t="str">
        <f t="shared" si="519"/>
        <v>0</v>
      </c>
      <c r="V573" s="7" t="s">
        <v>73</v>
      </c>
      <c r="W573" s="8" t="s">
        <v>66</v>
      </c>
      <c r="X573" s="21" t="str">
        <f>MID(J567,7,1)</f>
        <v>0</v>
      </c>
      <c r="Y573" s="26" t="str">
        <f t="shared" si="520"/>
        <v>0</v>
      </c>
      <c r="Z573" s="7" t="s">
        <v>73</v>
      </c>
      <c r="AA573" s="8" t="s">
        <v>66</v>
      </c>
      <c r="AB573" s="400"/>
      <c r="AC573" s="381"/>
      <c r="AD573" s="381"/>
      <c r="AE573" s="401"/>
      <c r="AF573" s="400"/>
      <c r="AG573" s="381"/>
      <c r="AH573" s="381"/>
      <c r="AI573" s="401"/>
      <c r="AJ573" s="400"/>
      <c r="AK573" s="401"/>
      <c r="AL573" s="501"/>
    </row>
    <row r="574" spans="3:38" ht="15" thickBot="1" x14ac:dyDescent="0.35">
      <c r="C574" s="9" t="s">
        <v>1678</v>
      </c>
      <c r="D574" s="334" t="str">
        <f>D569</f>
        <v/>
      </c>
      <c r="E574" s="334" t="str">
        <f t="shared" ref="E574:G574" si="523">E569</f>
        <v/>
      </c>
      <c r="F574" s="334" t="str">
        <f t="shared" si="523"/>
        <v/>
      </c>
      <c r="G574" s="334" t="str">
        <f t="shared" si="523"/>
        <v/>
      </c>
      <c r="H574" s="10"/>
      <c r="I574" s="10"/>
      <c r="J574" s="10"/>
      <c r="K574" s="10"/>
      <c r="L574" s="10"/>
      <c r="M574" s="10"/>
      <c r="N574" s="11"/>
      <c r="P574" s="22" t="str">
        <f>MID(H567,8,1)</f>
        <v>0</v>
      </c>
      <c r="Q574" s="55" t="str">
        <f t="shared" si="518"/>
        <v>0</v>
      </c>
      <c r="R574" s="9" t="s">
        <v>74</v>
      </c>
      <c r="S574" s="11" t="s">
        <v>66</v>
      </c>
      <c r="T574" s="22" t="str">
        <f>MID(I567,8,1)</f>
        <v>0</v>
      </c>
      <c r="U574" s="55" t="str">
        <f t="shared" si="519"/>
        <v>0</v>
      </c>
      <c r="V574" s="9" t="s">
        <v>74</v>
      </c>
      <c r="W574" s="11" t="s">
        <v>66</v>
      </c>
      <c r="X574" s="22" t="str">
        <f>MID(J567,8,1)</f>
        <v>0</v>
      </c>
      <c r="Y574" s="55" t="str">
        <f t="shared" si="520"/>
        <v>0</v>
      </c>
      <c r="Z574" s="9" t="s">
        <v>74</v>
      </c>
      <c r="AA574" s="11" t="s">
        <v>66</v>
      </c>
      <c r="AB574" s="402"/>
      <c r="AC574" s="403"/>
      <c r="AD574" s="403"/>
      <c r="AE574" s="404"/>
      <c r="AF574" s="402"/>
      <c r="AG574" s="403"/>
      <c r="AH574" s="403"/>
      <c r="AI574" s="404"/>
      <c r="AJ574" s="402"/>
      <c r="AK574" s="404"/>
      <c r="AL574" s="501"/>
    </row>
    <row r="575" spans="3:38" ht="15" thickBot="1" x14ac:dyDescent="0.35">
      <c r="C575" s="4"/>
      <c r="D575" s="5"/>
      <c r="E575" s="5"/>
      <c r="F575" s="5"/>
      <c r="G575" s="5"/>
      <c r="H575" s="5"/>
      <c r="I575" s="5"/>
      <c r="J575" s="5"/>
      <c r="K575" s="5"/>
      <c r="L575" s="5"/>
      <c r="M575" s="5" t="s">
        <v>41</v>
      </c>
      <c r="N575" s="6"/>
      <c r="P575" s="530" t="s">
        <v>1823</v>
      </c>
      <c r="Q575" s="530"/>
      <c r="R575" s="530"/>
      <c r="S575" s="530"/>
      <c r="T575" s="530"/>
      <c r="U575" s="530"/>
      <c r="V575" s="530"/>
      <c r="W575" s="530"/>
      <c r="X575" s="530"/>
      <c r="Y575" s="530"/>
      <c r="Z575" s="530"/>
      <c r="AA575" s="530"/>
      <c r="AB575" s="530"/>
      <c r="AC575" s="530"/>
      <c r="AD575" s="530"/>
      <c r="AE575" s="530"/>
      <c r="AF575" s="530"/>
      <c r="AG575" s="530"/>
      <c r="AH575" s="530"/>
      <c r="AI575" s="530"/>
      <c r="AJ575" s="530"/>
      <c r="AK575" s="530"/>
      <c r="AL575" s="501"/>
    </row>
    <row r="576" spans="3:38" ht="15" thickBot="1" x14ac:dyDescent="0.35">
      <c r="C576" s="7"/>
      <c r="D576" s="393" t="s">
        <v>1540</v>
      </c>
      <c r="E576" s="393"/>
      <c r="F576" s="393"/>
      <c r="G576" s="393"/>
      <c r="H576" s="99" t="s">
        <v>44</v>
      </c>
      <c r="I576" s="99" t="s">
        <v>45</v>
      </c>
      <c r="J576" s="99" t="s">
        <v>46</v>
      </c>
      <c r="K576" s="99" t="s">
        <v>47</v>
      </c>
      <c r="L576" s="99" t="s">
        <v>48</v>
      </c>
      <c r="M576" s="99" t="s">
        <v>49</v>
      </c>
      <c r="N576" s="8"/>
      <c r="P576" s="394" t="s">
        <v>50</v>
      </c>
      <c r="Q576" s="395"/>
      <c r="R576" s="395"/>
      <c r="S576" s="396"/>
      <c r="T576" s="394" t="s">
        <v>51</v>
      </c>
      <c r="U576" s="395"/>
      <c r="V576" s="395"/>
      <c r="W576" s="396"/>
      <c r="X576" s="394" t="s">
        <v>52</v>
      </c>
      <c r="Y576" s="395"/>
      <c r="Z576" s="395"/>
      <c r="AA576" s="396"/>
      <c r="AB576" s="394" t="s">
        <v>53</v>
      </c>
      <c r="AC576" s="395"/>
      <c r="AD576" s="395"/>
      <c r="AE576" s="396"/>
      <c r="AF576" s="394" t="s">
        <v>97</v>
      </c>
      <c r="AG576" s="395"/>
      <c r="AH576" s="395"/>
      <c r="AI576" s="396"/>
      <c r="AJ576" s="394" t="s">
        <v>55</v>
      </c>
      <c r="AK576" s="396"/>
      <c r="AL576" s="501"/>
    </row>
    <row r="577" spans="3:38" ht="15" thickBot="1" x14ac:dyDescent="0.35">
      <c r="C577" s="7" t="s">
        <v>56</v>
      </c>
      <c r="D577" s="12" t="str">
        <f>IF(J412="","",7)</f>
        <v/>
      </c>
      <c r="E577" s="13" t="str">
        <f>IF(J412="","",20)</f>
        <v/>
      </c>
      <c r="F577" s="13" t="str">
        <f>IF(J412="","",4)</f>
        <v/>
      </c>
      <c r="G577" s="14" t="str">
        <f>IF(J412="","",43)</f>
        <v/>
      </c>
      <c r="H577" s="41" t="str" cm="1">
        <f t="array" ref="H577">_xlfn.IFNA(MID(INDEX($A$3:$A$70,IF(ISNA(MATCH("720G4IB*",$A$3:$A$70,0))=TRUE,MATCH("7200443*",$A$3:$A$70,0),MATCH("720G4IB*",$A$3:$A$70,0))),$AU$8,2),"")</f>
        <v/>
      </c>
      <c r="I577" s="42" t="str" cm="1">
        <f t="array" ref="I577">_xlfn.IFNA(MID(INDEX($A$3:$A$70,IF(ISNA(MATCH("720G4IB*",$A$3:$A$70,0))=TRUE,MATCH("7200443*",$A$3:$A$70,0),MATCH("720G4IB*",$A$3:$A$70,0))),$AV$8,2),"")</f>
        <v/>
      </c>
      <c r="J577" s="24" t="str" cm="1">
        <f t="array" ref="J577">_xlfn.IFNA(MID(INDEX($A$3:$A$70,IF(ISNA(MATCH("720G4IB*",$A$3:$A$70,0))=TRUE,MATCH("7200443*",$A$3:$A$70,0),MATCH("720G4IB*",$A$3:$A$70,0))),$AW$8,2),"")</f>
        <v/>
      </c>
      <c r="K577" s="42" t="str" cm="1">
        <f t="array" ref="K577">_xlfn.IFNA(MID(INDEX($A$3:$A$70,IF(ISNA(MATCH("720G4IB*",$A$3:$A$70,0))=TRUE,MATCH("7200443*",$A$3:$A$70,0),MATCH("720G4IB*",$A$3:$A$70,0))),$AX$8,2),"")</f>
        <v/>
      </c>
      <c r="L577" s="43" t="str" cm="1">
        <f t="array" ref="L577">_xlfn.IFNA(MID(INDEX($A$3:$A$70,IF(ISNA(MATCH("720G4IB*",$A$3:$A$70,0))=TRUE,MATCH("7200443*",$A$3:$A$70,0),MATCH("720G4IB*",$A$3:$A$70,0))),$AY$8,2),"")</f>
        <v/>
      </c>
      <c r="M577" s="44" t="str" cm="1">
        <f t="array" ref="M577">_xlfn.IFNA(MID(INDEX($A$3:$A$70,IF(ISNA(MATCH("720G4IB*",$A$3:$A$70,0))=TRUE,MATCH("7200443*",$A$3:$A$70,0),MATCH("720G4IB*",$A$3:$A$70,0))),$AZ$8,2),"")</f>
        <v/>
      </c>
      <c r="N577" s="8" t="s">
        <v>60</v>
      </c>
      <c r="P577" s="19" t="s">
        <v>60</v>
      </c>
      <c r="Q577" s="20" t="s">
        <v>61</v>
      </c>
      <c r="R577" t="s">
        <v>62</v>
      </c>
      <c r="S577" s="8"/>
      <c r="T577" s="19" t="s">
        <v>60</v>
      </c>
      <c r="U577" s="20" t="s">
        <v>61</v>
      </c>
      <c r="V577" t="s">
        <v>62</v>
      </c>
      <c r="W577" s="8"/>
      <c r="X577" s="19" t="s">
        <v>60</v>
      </c>
      <c r="Y577" s="20" t="s">
        <v>61</v>
      </c>
      <c r="Z577" t="s">
        <v>62</v>
      </c>
      <c r="AA577" s="8"/>
      <c r="AB577" s="19" t="s">
        <v>60</v>
      </c>
      <c r="AC577" s="20" t="s">
        <v>61</v>
      </c>
      <c r="AD577" t="s">
        <v>62</v>
      </c>
      <c r="AE577" s="8"/>
      <c r="AF577" s="19" t="s">
        <v>60</v>
      </c>
      <c r="AG577" s="20" t="s">
        <v>61</v>
      </c>
      <c r="AH577" t="s">
        <v>62</v>
      </c>
      <c r="AJ577" s="394" t="s">
        <v>63</v>
      </c>
      <c r="AK577" s="396"/>
      <c r="AL577" s="501"/>
    </row>
    <row r="578" spans="3:38" x14ac:dyDescent="0.3">
      <c r="C578" s="7" t="s">
        <v>64</v>
      </c>
      <c r="D578" s="99" t="str">
        <f>HEX2BIN(D577,8)</f>
        <v>00000000</v>
      </c>
      <c r="E578" s="99" t="str">
        <f t="shared" ref="E578:L578" si="524">HEX2BIN(E577,8)</f>
        <v>00000000</v>
      </c>
      <c r="F578" s="99" t="str">
        <f t="shared" si="524"/>
        <v>00000000</v>
      </c>
      <c r="G578" s="99" t="str">
        <f t="shared" si="524"/>
        <v>00000000</v>
      </c>
      <c r="H578" s="99" t="str">
        <f t="shared" si="524"/>
        <v>00000000</v>
      </c>
      <c r="I578" s="99" t="str">
        <f t="shared" si="524"/>
        <v>00000000</v>
      </c>
      <c r="J578" s="99" t="str">
        <f t="shared" si="524"/>
        <v>00000000</v>
      </c>
      <c r="K578" s="99" t="str">
        <f t="shared" si="524"/>
        <v>00000000</v>
      </c>
      <c r="L578" s="99" t="str">
        <f t="shared" si="524"/>
        <v>00000000</v>
      </c>
      <c r="N578" s="8"/>
      <c r="P578" s="21" t="str">
        <f>MID(H578,1,1)</f>
        <v>0</v>
      </c>
      <c r="Q578" s="26" t="str">
        <f>P578</f>
        <v>0</v>
      </c>
      <c r="R578" s="7" t="s">
        <v>65</v>
      </c>
      <c r="S578" s="8" t="s">
        <v>66</v>
      </c>
      <c r="T578" s="21" t="str">
        <f>MID(I578,1,1)</f>
        <v>0</v>
      </c>
      <c r="U578" s="26" t="str">
        <f>T578</f>
        <v>0</v>
      </c>
      <c r="V578" s="7" t="s">
        <v>65</v>
      </c>
      <c r="W578" s="8" t="s">
        <v>66</v>
      </c>
      <c r="X578" s="21" t="str">
        <f>MID(J578,1,1)</f>
        <v>0</v>
      </c>
      <c r="Y578" s="26" t="str">
        <f>X578</f>
        <v>0</v>
      </c>
      <c r="Z578" s="7" t="s">
        <v>65</v>
      </c>
      <c r="AA578" s="8" t="s">
        <v>66</v>
      </c>
      <c r="AB578" s="21" t="str">
        <f>MID(K578,1,1)</f>
        <v>0</v>
      </c>
      <c r="AC578" s="26" t="str">
        <f>AB578</f>
        <v>0</v>
      </c>
      <c r="AD578" s="7" t="s">
        <v>65</v>
      </c>
      <c r="AE578" s="8" t="s">
        <v>66</v>
      </c>
      <c r="AF578" s="21" t="str">
        <f>MID(L578,1,1)</f>
        <v>0</v>
      </c>
      <c r="AG578" s="26" t="str">
        <f>AF578</f>
        <v>0</v>
      </c>
      <c r="AH578" s="7" t="s">
        <v>65</v>
      </c>
      <c r="AI578" s="8" t="s">
        <v>66</v>
      </c>
      <c r="AJ578" s="400"/>
      <c r="AK578" s="401"/>
      <c r="AL578" s="501"/>
    </row>
    <row r="579" spans="3:38" x14ac:dyDescent="0.3">
      <c r="C579" s="7" t="s">
        <v>67</v>
      </c>
      <c r="D579" s="99">
        <f>HEX2DEC(D577)</f>
        <v>0</v>
      </c>
      <c r="E579" s="99">
        <f t="shared" ref="E579:L579" si="525">HEX2DEC(E577)</f>
        <v>0</v>
      </c>
      <c r="F579" s="99">
        <f t="shared" si="525"/>
        <v>0</v>
      </c>
      <c r="G579" s="99">
        <f t="shared" si="525"/>
        <v>0</v>
      </c>
      <c r="H579" s="99">
        <f t="shared" si="525"/>
        <v>0</v>
      </c>
      <c r="I579" s="99">
        <f t="shared" si="525"/>
        <v>0</v>
      </c>
      <c r="J579" s="99">
        <f t="shared" si="525"/>
        <v>0</v>
      </c>
      <c r="K579" s="99">
        <f t="shared" si="525"/>
        <v>0</v>
      </c>
      <c r="L579" s="99">
        <f t="shared" si="525"/>
        <v>0</v>
      </c>
      <c r="M579" s="99">
        <f>SUM(D579:L579)</f>
        <v>0</v>
      </c>
      <c r="N579" s="8"/>
      <c r="P579" s="21" t="str">
        <f>MID(H578,2,1)</f>
        <v>0</v>
      </c>
      <c r="Q579" s="26" t="str">
        <f t="shared" ref="Q579:Q585" si="526">P579</f>
        <v>0</v>
      </c>
      <c r="R579" s="7" t="s">
        <v>68</v>
      </c>
      <c r="S579" s="8" t="s">
        <v>66</v>
      </c>
      <c r="T579" s="21" t="str">
        <f>MID(I578,2,1)</f>
        <v>0</v>
      </c>
      <c r="U579" s="26" t="str">
        <f t="shared" ref="U579:U585" si="527">T579</f>
        <v>0</v>
      </c>
      <c r="V579" s="7" t="s">
        <v>68</v>
      </c>
      <c r="W579" s="8" t="s">
        <v>66</v>
      </c>
      <c r="X579" s="21" t="str">
        <f>MID(J578,2,1)</f>
        <v>0</v>
      </c>
      <c r="Y579" s="26" t="str">
        <f t="shared" ref="Y579:Y585" si="528">X579</f>
        <v>0</v>
      </c>
      <c r="Z579" s="7" t="s">
        <v>68</v>
      </c>
      <c r="AA579" s="8" t="s">
        <v>66</v>
      </c>
      <c r="AB579" s="21" t="str">
        <f>MID(K578,2,1)</f>
        <v>0</v>
      </c>
      <c r="AC579" s="26" t="str">
        <f t="shared" ref="AC579:AC585" si="529">AB579</f>
        <v>0</v>
      </c>
      <c r="AD579" s="7" t="s">
        <v>68</v>
      </c>
      <c r="AE579" s="8" t="s">
        <v>66</v>
      </c>
      <c r="AF579" s="21" t="str">
        <f>MID(L578,2,1)</f>
        <v>0</v>
      </c>
      <c r="AG579" s="26" t="str">
        <f t="shared" ref="AG579:AG585" si="530">AF579</f>
        <v>0</v>
      </c>
      <c r="AH579" s="7" t="s">
        <v>68</v>
      </c>
      <c r="AI579" s="8" t="s">
        <v>66</v>
      </c>
      <c r="AJ579" s="400"/>
      <c r="AK579" s="401"/>
      <c r="AL579" s="501"/>
    </row>
    <row r="580" spans="3:38" x14ac:dyDescent="0.3">
      <c r="C580" s="7" t="s">
        <v>1678</v>
      </c>
      <c r="D580" s="333" t="str">
        <f>D577</f>
        <v/>
      </c>
      <c r="E580" s="333" t="str">
        <f>E577</f>
        <v/>
      </c>
      <c r="F580" s="99" t="str">
        <f>_xlfn.IFNA(MID(INDEX($A$3:$A$70,IF(ISNA(MATCH("720G4IB*",$A$3:$A$70,0))=TRUE,MATCH("7200443*",$A$3:$A$70,0),MATCH("720G4IB*",$A$3:$A$70,0))),$AS$8,2),"")</f>
        <v/>
      </c>
      <c r="G580" s="99" t="str">
        <f>_xlfn.IFNA(MID(INDEX($A$3:$A$70,IF(ISNA(MATCH("720G4IB*",$A$3:$A$70,0))=TRUE,MATCH("7200443*",$A$3:$A$70,0),MATCH("720G4IB*",$A$3:$A$70,0))),$AT$8,2),"")</f>
        <v/>
      </c>
      <c r="N580" s="8"/>
      <c r="P580" s="21" t="str">
        <f>MID(H578,3,1)</f>
        <v>0</v>
      </c>
      <c r="Q580" s="26" t="str">
        <f t="shared" si="526"/>
        <v>0</v>
      </c>
      <c r="R580" s="7" t="s">
        <v>69</v>
      </c>
      <c r="S580" s="8" t="s">
        <v>66</v>
      </c>
      <c r="T580" s="21" t="str">
        <f>MID(I578,3,1)</f>
        <v>0</v>
      </c>
      <c r="U580" s="26" t="str">
        <f t="shared" si="527"/>
        <v>0</v>
      </c>
      <c r="V580" s="7" t="s">
        <v>69</v>
      </c>
      <c r="W580" s="8" t="s">
        <v>66</v>
      </c>
      <c r="X580" s="21" t="str">
        <f>MID(J578,3,1)</f>
        <v>0</v>
      </c>
      <c r="Y580" s="26" t="str">
        <f t="shared" si="528"/>
        <v>0</v>
      </c>
      <c r="Z580" s="7" t="s">
        <v>69</v>
      </c>
      <c r="AA580" s="8" t="s">
        <v>66</v>
      </c>
      <c r="AB580" s="21" t="str">
        <f>MID(K578,3,1)</f>
        <v>0</v>
      </c>
      <c r="AC580" s="26" t="str">
        <f t="shared" si="529"/>
        <v>0</v>
      </c>
      <c r="AD580" s="7" t="s">
        <v>69</v>
      </c>
      <c r="AE580" s="8" t="s">
        <v>66</v>
      </c>
      <c r="AF580" s="21" t="str">
        <f>MID(L578,3,1)</f>
        <v>0</v>
      </c>
      <c r="AG580" s="26" t="str">
        <f t="shared" si="530"/>
        <v>0</v>
      </c>
      <c r="AH580" s="7" t="s">
        <v>69</v>
      </c>
      <c r="AI580" s="8" t="s">
        <v>66</v>
      </c>
      <c r="AJ580" s="400"/>
      <c r="AK580" s="401"/>
      <c r="AL580" s="501"/>
    </row>
    <row r="581" spans="3:38" ht="15" thickBot="1" x14ac:dyDescent="0.35">
      <c r="C581" s="7"/>
      <c r="N581" s="8"/>
      <c r="P581" s="21" t="str">
        <f>MID(H578,4,1)</f>
        <v>0</v>
      </c>
      <c r="Q581" s="26" t="str">
        <f t="shared" si="526"/>
        <v>0</v>
      </c>
      <c r="R581" s="7" t="s">
        <v>70</v>
      </c>
      <c r="S581" s="8" t="s">
        <v>66</v>
      </c>
      <c r="T581" s="21" t="str">
        <f>MID(I578,4,1)</f>
        <v>0</v>
      </c>
      <c r="U581" s="26" t="str">
        <f t="shared" si="527"/>
        <v>0</v>
      </c>
      <c r="V581" s="7" t="s">
        <v>70</v>
      </c>
      <c r="W581" s="8" t="s">
        <v>66</v>
      </c>
      <c r="X581" s="21" t="str">
        <f>MID(J578,4,1)</f>
        <v>0</v>
      </c>
      <c r="Y581" s="26" t="str">
        <f t="shared" si="528"/>
        <v>0</v>
      </c>
      <c r="Z581" s="7" t="s">
        <v>70</v>
      </c>
      <c r="AA581" s="8" t="s">
        <v>66</v>
      </c>
      <c r="AB581" s="21" t="str">
        <f>MID(K578,4,1)</f>
        <v>0</v>
      </c>
      <c r="AC581" s="26" t="str">
        <f t="shared" si="529"/>
        <v>0</v>
      </c>
      <c r="AD581" s="7" t="s">
        <v>70</v>
      </c>
      <c r="AE581" s="8" t="s">
        <v>66</v>
      </c>
      <c r="AF581" s="21" t="str">
        <f>MID(L578,4,1)</f>
        <v>0</v>
      </c>
      <c r="AG581" s="26" t="str">
        <f t="shared" si="530"/>
        <v>0</v>
      </c>
      <c r="AH581" s="7" t="s">
        <v>70</v>
      </c>
      <c r="AI581" s="8" t="s">
        <v>66</v>
      </c>
      <c r="AJ581" s="400"/>
      <c r="AK581" s="401"/>
      <c r="AL581" s="501"/>
    </row>
    <row r="582" spans="3:38" ht="15" thickBot="1" x14ac:dyDescent="0.35">
      <c r="C582" s="7" t="s">
        <v>56</v>
      </c>
      <c r="D582" s="15" t="str">
        <f>D577</f>
        <v/>
      </c>
      <c r="E582" s="16" t="str">
        <f>E577</f>
        <v/>
      </c>
      <c r="F582" s="16" t="str">
        <f>F577</f>
        <v/>
      </c>
      <c r="G582" s="17" t="str">
        <f>G577</f>
        <v/>
      </c>
      <c r="H582" s="23" t="str">
        <f>IF(J412="","",BIN2HEX(H583,2))</f>
        <v/>
      </c>
      <c r="I582" s="25" t="str">
        <f>IF(J412="","",BIN2HEX(I583,2))</f>
        <v/>
      </c>
      <c r="J582" s="24" t="str">
        <f>IF(J412="","",BIN2HEX(J583,2))</f>
        <v/>
      </c>
      <c r="K582" s="2" t="str">
        <f>IF(J412="","",BIN2HEX(K583,2))</f>
        <v/>
      </c>
      <c r="L582" s="18" t="str">
        <f>IF(J412="","",BIN2HEX(L583,2))</f>
        <v/>
      </c>
      <c r="M582" s="3" t="str">
        <f>IF(J412="","",IF(LEN(M583)&gt;2,MID(M583,2,2),M583))</f>
        <v/>
      </c>
      <c r="N582" s="8" t="s">
        <v>61</v>
      </c>
      <c r="P582" s="21" t="str">
        <f>MID(H578,5,1)</f>
        <v>0</v>
      </c>
      <c r="Q582" s="26" t="str">
        <f t="shared" si="526"/>
        <v>0</v>
      </c>
      <c r="R582" s="7" t="s">
        <v>71</v>
      </c>
      <c r="S582" s="8" t="s">
        <v>66</v>
      </c>
      <c r="T582" s="21" t="str">
        <f>MID(I578,5,1)</f>
        <v>0</v>
      </c>
      <c r="U582" s="26" t="str">
        <f t="shared" si="527"/>
        <v>0</v>
      </c>
      <c r="V582" s="7" t="s">
        <v>71</v>
      </c>
      <c r="W582" s="8" t="s">
        <v>66</v>
      </c>
      <c r="X582" s="21" t="str">
        <f>MID(J578,5,1)</f>
        <v>0</v>
      </c>
      <c r="Y582" s="26" t="str">
        <f t="shared" si="528"/>
        <v>0</v>
      </c>
      <c r="Z582" s="7" t="s">
        <v>71</v>
      </c>
      <c r="AA582" s="8" t="s">
        <v>66</v>
      </c>
      <c r="AB582" s="21" t="str">
        <f>MID(K578,5,1)</f>
        <v>0</v>
      </c>
      <c r="AC582" s="26" t="str">
        <f t="shared" si="529"/>
        <v>0</v>
      </c>
      <c r="AD582" s="7" t="s">
        <v>71</v>
      </c>
      <c r="AE582" s="8" t="s">
        <v>66</v>
      </c>
      <c r="AF582" s="21" t="str">
        <f>MID(L578,5,1)</f>
        <v>0</v>
      </c>
      <c r="AG582" s="26" t="str">
        <f t="shared" si="530"/>
        <v>0</v>
      </c>
      <c r="AH582" s="7" t="s">
        <v>71</v>
      </c>
      <c r="AI582" s="8" t="s">
        <v>66</v>
      </c>
      <c r="AJ582" s="400"/>
      <c r="AK582" s="401"/>
      <c r="AL582" s="501"/>
    </row>
    <row r="583" spans="3:38" x14ac:dyDescent="0.3">
      <c r="C583" s="7" t="s">
        <v>64</v>
      </c>
      <c r="D583" s="99" t="str">
        <f>HEX2BIN(D582,8)</f>
        <v>00000000</v>
      </c>
      <c r="E583" s="99" t="str">
        <f t="shared" ref="E583:G583" si="531">HEX2BIN(E582,8)</f>
        <v>00000000</v>
      </c>
      <c r="F583" s="99" t="str">
        <f t="shared" si="531"/>
        <v>00000000</v>
      </c>
      <c r="G583" s="99" t="str">
        <f t="shared" si="531"/>
        <v>00000000</v>
      </c>
      <c r="H583" s="29" t="str">
        <f>Q578&amp;Q579&amp;Q580&amp;Q581&amp;Q582&amp;Q583&amp;Q584&amp;Q585</f>
        <v>00000000</v>
      </c>
      <c r="I583" s="99" t="str">
        <f>U578&amp;U579&amp;U580&amp;U581&amp;U582&amp;U583&amp;U584&amp;U585</f>
        <v>00000000</v>
      </c>
      <c r="J583" s="29" t="str">
        <f>Y578&amp;Y579&amp;Y580&amp;Y581&amp;Y582&amp;Y583&amp;Y584&amp;Y585</f>
        <v>00000000</v>
      </c>
      <c r="K583" s="29" t="str">
        <f>AC578&amp;AC579&amp;AC580&amp;AC581&amp;AC582&amp;AC583&amp;AC584&amp;AC585</f>
        <v>00000000</v>
      </c>
      <c r="L583" s="99" t="str">
        <f>AG578&amp;AG579&amp;AG580&amp;AG581&amp;AG582&amp;AG583&amp;AG584&amp;AG585</f>
        <v>00000000</v>
      </c>
      <c r="M583" s="99" t="str">
        <f>DEC2HEX(M584)</f>
        <v>0</v>
      </c>
      <c r="N583" s="8"/>
      <c r="P583" s="21" t="str">
        <f>MID(H578,6,1)</f>
        <v>0</v>
      </c>
      <c r="Q583" s="26" t="str">
        <f t="shared" si="526"/>
        <v>0</v>
      </c>
      <c r="R583" s="7" t="s">
        <v>72</v>
      </c>
      <c r="S583" s="8" t="s">
        <v>66</v>
      </c>
      <c r="T583" s="21" t="str">
        <f>MID(I578,6,1)</f>
        <v>0</v>
      </c>
      <c r="U583" s="26" t="str">
        <f t="shared" si="527"/>
        <v>0</v>
      </c>
      <c r="V583" s="7" t="s">
        <v>72</v>
      </c>
      <c r="W583" s="8" t="s">
        <v>66</v>
      </c>
      <c r="X583" s="21" t="str">
        <f>MID(J578,6,1)</f>
        <v>0</v>
      </c>
      <c r="Y583" s="26" t="str">
        <f t="shared" si="528"/>
        <v>0</v>
      </c>
      <c r="Z583" s="7" t="s">
        <v>72</v>
      </c>
      <c r="AA583" s="8" t="s">
        <v>66</v>
      </c>
      <c r="AB583" s="21" t="str">
        <f>MID(K578,6,1)</f>
        <v>0</v>
      </c>
      <c r="AC583" s="26" t="str">
        <f t="shared" si="529"/>
        <v>0</v>
      </c>
      <c r="AD583" s="7" t="s">
        <v>72</v>
      </c>
      <c r="AE583" s="8" t="s">
        <v>66</v>
      </c>
      <c r="AF583" s="21" t="str">
        <f>MID(L578,6,1)</f>
        <v>0</v>
      </c>
      <c r="AG583" s="26" t="str">
        <f t="shared" si="530"/>
        <v>0</v>
      </c>
      <c r="AH583" s="7" t="s">
        <v>72</v>
      </c>
      <c r="AI583" s="8" t="s">
        <v>66</v>
      </c>
      <c r="AJ583" s="400"/>
      <c r="AK583" s="401"/>
      <c r="AL583" s="501"/>
    </row>
    <row r="584" spans="3:38" x14ac:dyDescent="0.3">
      <c r="C584" s="7" t="s">
        <v>67</v>
      </c>
      <c r="D584" s="99">
        <f>HEX2DEC(D582)</f>
        <v>0</v>
      </c>
      <c r="E584" s="99">
        <f t="shared" ref="E584:L584" si="532">HEX2DEC(E582)</f>
        <v>0</v>
      </c>
      <c r="F584" s="99">
        <f t="shared" si="532"/>
        <v>0</v>
      </c>
      <c r="G584" s="99">
        <f t="shared" si="532"/>
        <v>0</v>
      </c>
      <c r="H584" s="99">
        <f t="shared" si="532"/>
        <v>0</v>
      </c>
      <c r="I584" s="99">
        <f t="shared" si="532"/>
        <v>0</v>
      </c>
      <c r="J584" s="99">
        <f t="shared" si="532"/>
        <v>0</v>
      </c>
      <c r="K584" s="99">
        <f t="shared" si="532"/>
        <v>0</v>
      </c>
      <c r="L584" s="99">
        <f t="shared" si="532"/>
        <v>0</v>
      </c>
      <c r="M584" s="99">
        <f>SUM(D584:L584)</f>
        <v>0</v>
      </c>
      <c r="N584" s="8"/>
      <c r="P584" s="21" t="str">
        <f>MID(H578,7,1)</f>
        <v>0</v>
      </c>
      <c r="Q584" s="26" t="str">
        <f t="shared" si="526"/>
        <v>0</v>
      </c>
      <c r="R584" s="7" t="s">
        <v>73</v>
      </c>
      <c r="S584" s="8" t="s">
        <v>66</v>
      </c>
      <c r="T584" s="21" t="str">
        <f>MID(I578,7,1)</f>
        <v>0</v>
      </c>
      <c r="U584" s="26" t="str">
        <f t="shared" si="527"/>
        <v>0</v>
      </c>
      <c r="V584" s="7" t="s">
        <v>73</v>
      </c>
      <c r="W584" s="8" t="s">
        <v>66</v>
      </c>
      <c r="X584" s="21" t="str">
        <f>MID(J578,7,1)</f>
        <v>0</v>
      </c>
      <c r="Y584" s="26" t="str">
        <f t="shared" si="528"/>
        <v>0</v>
      </c>
      <c r="Z584" s="7" t="s">
        <v>73</v>
      </c>
      <c r="AA584" s="8" t="s">
        <v>66</v>
      </c>
      <c r="AB584" s="21" t="str">
        <f>MID(K578,7,1)</f>
        <v>0</v>
      </c>
      <c r="AC584" s="26" t="str">
        <f t="shared" si="529"/>
        <v>0</v>
      </c>
      <c r="AD584" s="7" t="s">
        <v>73</v>
      </c>
      <c r="AE584" s="8" t="s">
        <v>66</v>
      </c>
      <c r="AF584" s="21" t="str">
        <f>MID(L578,7,1)</f>
        <v>0</v>
      </c>
      <c r="AG584" s="26" t="str">
        <f t="shared" si="530"/>
        <v>0</v>
      </c>
      <c r="AH584" s="7" t="s">
        <v>73</v>
      </c>
      <c r="AI584" s="8" t="s">
        <v>66</v>
      </c>
      <c r="AJ584" s="400"/>
      <c r="AK584" s="401"/>
      <c r="AL584" s="501"/>
    </row>
    <row r="585" spans="3:38" ht="15" thickBot="1" x14ac:dyDescent="0.35">
      <c r="C585" s="9" t="s">
        <v>1678</v>
      </c>
      <c r="D585" s="334" t="str">
        <f>D580</f>
        <v/>
      </c>
      <c r="E585" s="334" t="str">
        <f t="shared" ref="E585:G585" si="533">E580</f>
        <v/>
      </c>
      <c r="F585" s="334" t="str">
        <f t="shared" si="533"/>
        <v/>
      </c>
      <c r="G585" s="334" t="str">
        <f t="shared" si="533"/>
        <v/>
      </c>
      <c r="H585" s="10"/>
      <c r="I585" s="10"/>
      <c r="J585" s="10"/>
      <c r="K585" s="10"/>
      <c r="L585" s="10"/>
      <c r="M585" s="10"/>
      <c r="N585" s="11"/>
      <c r="P585" s="22" t="str">
        <f>MID(H578,8,1)</f>
        <v>0</v>
      </c>
      <c r="Q585" s="55" t="str">
        <f t="shared" si="526"/>
        <v>0</v>
      </c>
      <c r="R585" s="9" t="s">
        <v>74</v>
      </c>
      <c r="S585" s="11" t="s">
        <v>66</v>
      </c>
      <c r="T585" s="22" t="str">
        <f>MID(I578,8,1)</f>
        <v>0</v>
      </c>
      <c r="U585" s="55" t="str">
        <f t="shared" si="527"/>
        <v>0</v>
      </c>
      <c r="V585" s="9" t="s">
        <v>74</v>
      </c>
      <c r="W585" s="11" t="s">
        <v>66</v>
      </c>
      <c r="X585" s="22" t="str">
        <f>MID(J578,8,1)</f>
        <v>0</v>
      </c>
      <c r="Y585" s="55" t="str">
        <f t="shared" si="528"/>
        <v>0</v>
      </c>
      <c r="Z585" s="9" t="s">
        <v>74</v>
      </c>
      <c r="AA585" s="11" t="s">
        <v>66</v>
      </c>
      <c r="AB585" s="22" t="str">
        <f>MID(K578,8,1)</f>
        <v>0</v>
      </c>
      <c r="AC585" s="55" t="str">
        <f t="shared" si="529"/>
        <v>0</v>
      </c>
      <c r="AD585" s="9" t="s">
        <v>74</v>
      </c>
      <c r="AE585" s="11" t="s">
        <v>66</v>
      </c>
      <c r="AF585" s="22" t="str">
        <f>MID(L578,8,1)</f>
        <v>0</v>
      </c>
      <c r="AG585" s="55" t="str">
        <f t="shared" si="530"/>
        <v>0</v>
      </c>
      <c r="AH585" s="9" t="s">
        <v>74</v>
      </c>
      <c r="AI585" s="11" t="s">
        <v>66</v>
      </c>
      <c r="AJ585" s="402"/>
      <c r="AK585" s="404"/>
      <c r="AL585" s="501"/>
    </row>
    <row r="586" spans="3:38" ht="15" thickBot="1" x14ac:dyDescent="0.35">
      <c r="C586" s="4"/>
      <c r="D586" s="5"/>
      <c r="E586" s="5"/>
      <c r="F586" s="5"/>
      <c r="G586" s="5"/>
      <c r="H586" s="5"/>
      <c r="I586" s="5"/>
      <c r="J586" s="5"/>
      <c r="K586" s="5"/>
      <c r="L586" s="5"/>
      <c r="M586" s="5" t="s">
        <v>41</v>
      </c>
      <c r="N586" s="6"/>
      <c r="P586" s="530" t="s">
        <v>1824</v>
      </c>
      <c r="Q586" s="530"/>
      <c r="R586" s="530"/>
      <c r="S586" s="530"/>
      <c r="T586" s="530"/>
      <c r="U586" s="530"/>
      <c r="V586" s="530"/>
      <c r="W586" s="530"/>
      <c r="X586" s="530"/>
      <c r="Y586" s="530"/>
      <c r="Z586" s="530"/>
      <c r="AA586" s="530"/>
      <c r="AB586" s="530"/>
      <c r="AC586" s="530"/>
      <c r="AD586" s="530"/>
      <c r="AE586" s="530"/>
      <c r="AF586" s="530"/>
      <c r="AG586" s="530"/>
      <c r="AH586" s="530"/>
      <c r="AI586" s="530"/>
      <c r="AJ586" s="530"/>
      <c r="AK586" s="530"/>
      <c r="AL586" s="501"/>
    </row>
    <row r="587" spans="3:38" ht="15" thickBot="1" x14ac:dyDescent="0.35">
      <c r="C587" s="7"/>
      <c r="D587" s="393" t="s">
        <v>1539</v>
      </c>
      <c r="E587" s="393"/>
      <c r="F587" s="393"/>
      <c r="G587" s="393"/>
      <c r="H587" s="99" t="s">
        <v>44</v>
      </c>
      <c r="I587" s="99" t="s">
        <v>45</v>
      </c>
      <c r="J587" s="99" t="s">
        <v>46</v>
      </c>
      <c r="K587" s="99" t="s">
        <v>47</v>
      </c>
      <c r="L587" s="99" t="s">
        <v>48</v>
      </c>
      <c r="M587" s="99" t="s">
        <v>49</v>
      </c>
      <c r="N587" s="8"/>
      <c r="P587" s="394" t="s">
        <v>50</v>
      </c>
      <c r="Q587" s="395"/>
      <c r="R587" s="395"/>
      <c r="S587" s="396"/>
      <c r="T587" s="394" t="s">
        <v>247</v>
      </c>
      <c r="U587" s="395"/>
      <c r="V587" s="395"/>
      <c r="W587" s="396"/>
      <c r="X587" s="394" t="s">
        <v>306</v>
      </c>
      <c r="Y587" s="395"/>
      <c r="Z587" s="395"/>
      <c r="AA587" s="396"/>
      <c r="AB587" s="394" t="s">
        <v>53</v>
      </c>
      <c r="AC587" s="395"/>
      <c r="AD587" s="395"/>
      <c r="AE587" s="396"/>
      <c r="AF587" s="394" t="s">
        <v>97</v>
      </c>
      <c r="AG587" s="395"/>
      <c r="AH587" s="395"/>
      <c r="AI587" s="396"/>
      <c r="AJ587" s="394" t="s">
        <v>55</v>
      </c>
      <c r="AK587" s="396"/>
      <c r="AL587" s="501"/>
    </row>
    <row r="588" spans="3:38" ht="15" thickBot="1" x14ac:dyDescent="0.35">
      <c r="C588" s="7" t="s">
        <v>56</v>
      </c>
      <c r="D588" s="12" t="str">
        <f>IF(J412="","",7)</f>
        <v/>
      </c>
      <c r="E588" s="13" t="str">
        <f>IF(J412="","",20)</f>
        <v/>
      </c>
      <c r="F588" s="13" t="str">
        <f>IF(J412="","",4)</f>
        <v/>
      </c>
      <c r="G588" s="14" t="str">
        <f>IF(J412="","",44)</f>
        <v/>
      </c>
      <c r="H588" s="41" t="str" cm="1">
        <f t="array" ref="H588">_xlfn.IFNA(MID(INDEX($A$3:$A$70,IF(ISNA(MATCH("720G4IC*",$A$3:$A$70,0))=TRUE,MATCH("7200444*",$A$3:$A$70,0),MATCH("720G4IC*",$A$3:$A$70,0))),$AU$8,2),"")</f>
        <v/>
      </c>
      <c r="I588" s="42" t="str" cm="1">
        <f t="array" ref="I588">_xlfn.IFNA(MID(INDEX($A$3:$A$70,IF(ISNA(MATCH("720G4IC*",$A$3:$A$70,0))=TRUE,MATCH("7200444*",$A$3:$A$70,0),MATCH("720G4IC*",$A$3:$A$70,0))),$AV$8,2),"")</f>
        <v/>
      </c>
      <c r="J588" s="24" t="str" cm="1">
        <f t="array" ref="J588">_xlfn.IFNA(MID(INDEX($A$3:$A$70,IF(ISNA(MATCH("720G4IC*",$A$3:$A$70,0))=TRUE,MATCH("7200444*",$A$3:$A$70,0),MATCH("720G4IC*",$A$3:$A$70,0))),$AW$8,2),"")</f>
        <v/>
      </c>
      <c r="K588" s="42" t="str" cm="1">
        <f t="array" ref="K588">_xlfn.IFNA(MID(INDEX($A$3:$A$70,IF(ISNA(MATCH("720G4IC*",$A$3:$A$70,0))=TRUE,MATCH("7200444*",$A$3:$A$70,0),MATCH("720G4IC*",$A$3:$A$70,0))),$AX$8,2),"")</f>
        <v/>
      </c>
      <c r="L588" s="43" t="str" cm="1">
        <f t="array" ref="L588">_xlfn.IFNA(MID(INDEX($A$3:$A$70,IF(ISNA(MATCH("720G4IC*",$A$3:$A$70,0))=TRUE,MATCH("7200444*",$A$3:$A$70,0),MATCH("720G4IC*",$A$3:$A$70,0))),$AY$8,2),"")</f>
        <v/>
      </c>
      <c r="M588" s="44" t="str" cm="1">
        <f t="array" ref="M588">_xlfn.IFNA(MID(INDEX($A$3:$A$70,IF(ISNA(MATCH("720G4IC*",$A$3:$A$70,0))=TRUE,MATCH("7200444*",$A$3:$A$70,0),MATCH("720G4IC*",$A$3:$A$70,0))),$AZ$8,2),"")</f>
        <v/>
      </c>
      <c r="N588" s="8" t="s">
        <v>60</v>
      </c>
      <c r="P588" s="19" t="s">
        <v>60</v>
      </c>
      <c r="Q588" s="20" t="s">
        <v>61</v>
      </c>
      <c r="R588" t="s">
        <v>62</v>
      </c>
      <c r="S588" s="8"/>
      <c r="T588" s="394"/>
      <c r="U588" s="395"/>
      <c r="V588" s="395"/>
      <c r="W588" s="396"/>
      <c r="X588" s="394"/>
      <c r="Y588" s="395"/>
      <c r="Z588" s="395"/>
      <c r="AA588" s="396"/>
      <c r="AB588" s="19" t="s">
        <v>60</v>
      </c>
      <c r="AC588" s="20" t="s">
        <v>61</v>
      </c>
      <c r="AD588" t="s">
        <v>62</v>
      </c>
      <c r="AE588" s="8"/>
      <c r="AF588" s="19" t="s">
        <v>60</v>
      </c>
      <c r="AG588" s="20" t="s">
        <v>61</v>
      </c>
      <c r="AH588" t="s">
        <v>62</v>
      </c>
      <c r="AJ588" s="394" t="s">
        <v>63</v>
      </c>
      <c r="AK588" s="396"/>
      <c r="AL588" s="501"/>
    </row>
    <row r="589" spans="3:38" x14ac:dyDescent="0.3">
      <c r="C589" s="7" t="s">
        <v>64</v>
      </c>
      <c r="D589" s="99" t="str">
        <f>HEX2BIN(D588,8)</f>
        <v>00000000</v>
      </c>
      <c r="E589" s="99" t="str">
        <f t="shared" ref="E589:L589" si="534">HEX2BIN(E588,8)</f>
        <v>00000000</v>
      </c>
      <c r="F589" s="99" t="str">
        <f t="shared" si="534"/>
        <v>00000000</v>
      </c>
      <c r="G589" s="99" t="str">
        <f t="shared" si="534"/>
        <v>00000000</v>
      </c>
      <c r="H589" s="99" t="str">
        <f t="shared" si="534"/>
        <v>00000000</v>
      </c>
      <c r="I589" s="99" t="str">
        <f t="shared" si="534"/>
        <v>00000000</v>
      </c>
      <c r="J589" s="99" t="str">
        <f t="shared" si="534"/>
        <v>00000000</v>
      </c>
      <c r="K589" s="99" t="str">
        <f t="shared" si="534"/>
        <v>00000000</v>
      </c>
      <c r="L589" s="99" t="str">
        <f t="shared" si="534"/>
        <v>00000000</v>
      </c>
      <c r="N589" s="8"/>
      <c r="P589" s="21" t="str">
        <f>MID(H589,1,1)</f>
        <v>0</v>
      </c>
      <c r="Q589" s="26" t="str">
        <f>P589</f>
        <v>0</v>
      </c>
      <c r="R589" s="7" t="s">
        <v>65</v>
      </c>
      <c r="S589" s="8" t="s">
        <v>66</v>
      </c>
      <c r="T589" s="400"/>
      <c r="U589" s="381"/>
      <c r="V589" s="381"/>
      <c r="W589" s="401"/>
      <c r="X589" s="400"/>
      <c r="Y589" s="381"/>
      <c r="Z589" s="381"/>
      <c r="AA589" s="401"/>
      <c r="AB589" s="21" t="str">
        <f>MID(K589,1,1)</f>
        <v>0</v>
      </c>
      <c r="AC589" s="26" t="str">
        <f>AB589</f>
        <v>0</v>
      </c>
      <c r="AD589" s="7" t="s">
        <v>65</v>
      </c>
      <c r="AE589" s="8" t="s">
        <v>66</v>
      </c>
      <c r="AF589" s="21" t="str">
        <f>MID(L589,1,1)</f>
        <v>0</v>
      </c>
      <c r="AG589" s="26" t="str">
        <f>AF589</f>
        <v>0</v>
      </c>
      <c r="AH589" s="7" t="s">
        <v>65</v>
      </c>
      <c r="AI589" s="8" t="s">
        <v>66</v>
      </c>
      <c r="AJ589" s="400"/>
      <c r="AK589" s="401"/>
      <c r="AL589" s="501"/>
    </row>
    <row r="590" spans="3:38" x14ac:dyDescent="0.3">
      <c r="C590" s="7" t="s">
        <v>67</v>
      </c>
      <c r="D590" s="99">
        <f>HEX2DEC(D588)</f>
        <v>0</v>
      </c>
      <c r="E590" s="99">
        <f t="shared" ref="E590:L590" si="535">HEX2DEC(E588)</f>
        <v>0</v>
      </c>
      <c r="F590" s="99">
        <f t="shared" si="535"/>
        <v>0</v>
      </c>
      <c r="G590" s="99">
        <f t="shared" si="535"/>
        <v>0</v>
      </c>
      <c r="H590" s="99">
        <f t="shared" si="535"/>
        <v>0</v>
      </c>
      <c r="I590" s="99">
        <f t="shared" si="535"/>
        <v>0</v>
      </c>
      <c r="J590" s="99">
        <f t="shared" si="535"/>
        <v>0</v>
      </c>
      <c r="K590" s="99">
        <f t="shared" si="535"/>
        <v>0</v>
      </c>
      <c r="L590" s="99">
        <f t="shared" si="535"/>
        <v>0</v>
      </c>
      <c r="M590" s="99">
        <f>SUM(D590:L590)</f>
        <v>0</v>
      </c>
      <c r="N590" s="8"/>
      <c r="P590" s="21" t="str">
        <f>MID(H589,2,1)</f>
        <v>0</v>
      </c>
      <c r="Q590" s="26" t="str">
        <f t="shared" ref="Q590:Q596" si="536">P590</f>
        <v>0</v>
      </c>
      <c r="R590" s="7" t="s">
        <v>68</v>
      </c>
      <c r="S590" s="8" t="s">
        <v>66</v>
      </c>
      <c r="T590" s="400"/>
      <c r="U590" s="381"/>
      <c r="V590" s="381"/>
      <c r="W590" s="401"/>
      <c r="X590" s="400"/>
      <c r="Y590" s="381"/>
      <c r="Z590" s="381"/>
      <c r="AA590" s="401"/>
      <c r="AB590" s="21" t="str">
        <f>MID(K589,2,1)</f>
        <v>0</v>
      </c>
      <c r="AC590" s="26" t="str">
        <f t="shared" ref="AC590:AC596" si="537">AB590</f>
        <v>0</v>
      </c>
      <c r="AD590" s="7" t="s">
        <v>68</v>
      </c>
      <c r="AE590" s="8" t="s">
        <v>66</v>
      </c>
      <c r="AF590" s="21" t="str">
        <f>MID(L589,2,1)</f>
        <v>0</v>
      </c>
      <c r="AG590" s="26" t="str">
        <f t="shared" ref="AG590:AG596" si="538">AF590</f>
        <v>0</v>
      </c>
      <c r="AH590" s="7" t="s">
        <v>68</v>
      </c>
      <c r="AI590" s="8" t="s">
        <v>66</v>
      </c>
      <c r="AJ590" s="400"/>
      <c r="AK590" s="401"/>
      <c r="AL590" s="501"/>
    </row>
    <row r="591" spans="3:38" x14ac:dyDescent="0.3">
      <c r="C591" s="7" t="s">
        <v>1678</v>
      </c>
      <c r="D591" s="333" t="str">
        <f>D588</f>
        <v/>
      </c>
      <c r="E591" s="333" t="str">
        <f>E588</f>
        <v/>
      </c>
      <c r="F591" s="99" t="str">
        <f>_xlfn.IFNA(MID(INDEX($A$3:$A$70,IF(ISNA(MATCH("720G4IC*",$A$3:$A$70,0))=TRUE,MATCH("7200444*",$A$3:$A$70,0),MATCH("720G4IC*",$A$3:$A$70,0))),$AS$8,2),"")</f>
        <v/>
      </c>
      <c r="G591" s="99" t="str">
        <f>_xlfn.IFNA(MID(INDEX($A$3:$A$70,IF(ISNA(MATCH("720G4IC*",$A$3:$A$70,0))=TRUE,MATCH("7200444*",$A$3:$A$70,0),MATCH("720G4IC*",$A$3:$A$70,0))),$AT$8,2),"")</f>
        <v/>
      </c>
      <c r="N591" s="8"/>
      <c r="P591" s="21" t="str">
        <f>MID(H589,3,1)</f>
        <v>0</v>
      </c>
      <c r="Q591" s="26" t="str">
        <f t="shared" si="536"/>
        <v>0</v>
      </c>
      <c r="R591" s="7" t="s">
        <v>69</v>
      </c>
      <c r="S591" s="8" t="s">
        <v>66</v>
      </c>
      <c r="T591" s="400"/>
      <c r="U591" s="381"/>
      <c r="V591" s="381"/>
      <c r="W591" s="401"/>
      <c r="X591" s="400"/>
      <c r="Y591" s="381"/>
      <c r="Z591" s="381"/>
      <c r="AA591" s="401"/>
      <c r="AB591" s="21" t="str">
        <f>MID(K589,3,1)</f>
        <v>0</v>
      </c>
      <c r="AC591" s="26" t="str">
        <f t="shared" si="537"/>
        <v>0</v>
      </c>
      <c r="AD591" s="7" t="s">
        <v>69</v>
      </c>
      <c r="AE591" s="8" t="s">
        <v>66</v>
      </c>
      <c r="AF591" s="21" t="str">
        <f>MID(L589,3,1)</f>
        <v>0</v>
      </c>
      <c r="AG591" s="26" t="str">
        <f t="shared" si="538"/>
        <v>0</v>
      </c>
      <c r="AH591" s="7" t="s">
        <v>69</v>
      </c>
      <c r="AI591" s="8" t="s">
        <v>66</v>
      </c>
      <c r="AJ591" s="400"/>
      <c r="AK591" s="401"/>
      <c r="AL591" s="501"/>
    </row>
    <row r="592" spans="3:38" ht="15" thickBot="1" x14ac:dyDescent="0.35">
      <c r="C592" s="7"/>
      <c r="N592" s="8"/>
      <c r="P592" s="21" t="str">
        <f>MID(H589,4,1)</f>
        <v>0</v>
      </c>
      <c r="Q592" s="26" t="str">
        <f t="shared" si="536"/>
        <v>0</v>
      </c>
      <c r="R592" s="7" t="s">
        <v>70</v>
      </c>
      <c r="S592" s="8" t="s">
        <v>66</v>
      </c>
      <c r="T592" s="400"/>
      <c r="U592" s="381"/>
      <c r="V592" s="381"/>
      <c r="W592" s="401"/>
      <c r="X592" s="400"/>
      <c r="Y592" s="381"/>
      <c r="Z592" s="381"/>
      <c r="AA592" s="401"/>
      <c r="AB592" s="21" t="str">
        <f>MID(K589,4,1)</f>
        <v>0</v>
      </c>
      <c r="AC592" s="26" t="str">
        <f t="shared" si="537"/>
        <v>0</v>
      </c>
      <c r="AD592" s="7" t="s">
        <v>70</v>
      </c>
      <c r="AE592" s="8" t="s">
        <v>66</v>
      </c>
      <c r="AF592" s="21" t="str">
        <f>MID(L589,4,1)</f>
        <v>0</v>
      </c>
      <c r="AG592" s="26" t="str">
        <f t="shared" si="538"/>
        <v>0</v>
      </c>
      <c r="AH592" s="7" t="s">
        <v>70</v>
      </c>
      <c r="AI592" s="8" t="s">
        <v>66</v>
      </c>
      <c r="AJ592" s="400"/>
      <c r="AK592" s="401"/>
      <c r="AL592" s="501"/>
    </row>
    <row r="593" spans="3:38" ht="15" thickBot="1" x14ac:dyDescent="0.35">
      <c r="C593" s="7" t="s">
        <v>56</v>
      </c>
      <c r="D593" s="15" t="str">
        <f>D588</f>
        <v/>
      </c>
      <c r="E593" s="16" t="str">
        <f>E588</f>
        <v/>
      </c>
      <c r="F593" s="16" t="str">
        <f>F588</f>
        <v/>
      </c>
      <c r="G593" s="17" t="str">
        <f>G588</f>
        <v/>
      </c>
      <c r="H593" s="23" t="str">
        <f>IF(J412="","",BIN2HEX(H594,2))</f>
        <v/>
      </c>
      <c r="I593" s="47" t="str">
        <f>I588</f>
        <v/>
      </c>
      <c r="J593" s="48" t="str">
        <f>J588</f>
        <v/>
      </c>
      <c r="K593" s="2" t="str">
        <f>IF(J412="","",BIN2HEX(K594,2))</f>
        <v/>
      </c>
      <c r="L593" s="18" t="str">
        <f>IF(J412="","",BIN2HEX(L594,2))</f>
        <v/>
      </c>
      <c r="M593" s="3" t="str">
        <f>IF(J412="","",IF(LEN(M594)&gt;2,MID(M594,2,2),M594))</f>
        <v/>
      </c>
      <c r="N593" s="8" t="s">
        <v>61</v>
      </c>
      <c r="P593" s="21" t="str">
        <f>MID(H589,5,1)</f>
        <v>0</v>
      </c>
      <c r="Q593" s="26" t="str">
        <f t="shared" si="536"/>
        <v>0</v>
      </c>
      <c r="R593" s="7" t="s">
        <v>71</v>
      </c>
      <c r="S593" s="8" t="s">
        <v>66</v>
      </c>
      <c r="T593" s="400"/>
      <c r="U593" s="381"/>
      <c r="V593" s="381"/>
      <c r="W593" s="401"/>
      <c r="X593" s="400"/>
      <c r="Y593" s="381"/>
      <c r="Z593" s="381"/>
      <c r="AA593" s="401"/>
      <c r="AB593" s="21" t="str">
        <f>MID(K589,5,1)</f>
        <v>0</v>
      </c>
      <c r="AC593" s="26" t="str">
        <f t="shared" si="537"/>
        <v>0</v>
      </c>
      <c r="AD593" s="7" t="s">
        <v>71</v>
      </c>
      <c r="AE593" s="8" t="s">
        <v>66</v>
      </c>
      <c r="AF593" s="21" t="str">
        <f>MID(L589,5,1)</f>
        <v>0</v>
      </c>
      <c r="AG593" s="26" t="str">
        <f t="shared" si="538"/>
        <v>0</v>
      </c>
      <c r="AH593" s="7" t="s">
        <v>71</v>
      </c>
      <c r="AI593" s="8" t="s">
        <v>66</v>
      </c>
      <c r="AJ593" s="400"/>
      <c r="AK593" s="401"/>
      <c r="AL593" s="501"/>
    </row>
    <row r="594" spans="3:38" x14ac:dyDescent="0.3">
      <c r="C594" s="7" t="s">
        <v>64</v>
      </c>
      <c r="D594" s="99" t="str">
        <f>HEX2BIN(D593,8)</f>
        <v>00000000</v>
      </c>
      <c r="E594" s="99" t="str">
        <f t="shared" ref="E594:G594" si="539">HEX2BIN(E593,8)</f>
        <v>00000000</v>
      </c>
      <c r="F594" s="99" t="str">
        <f t="shared" si="539"/>
        <v>00000000</v>
      </c>
      <c r="G594" s="99" t="str">
        <f t="shared" si="539"/>
        <v>00000000</v>
      </c>
      <c r="H594" s="29" t="str">
        <f>Q589&amp;Q590&amp;Q591&amp;Q592&amp;Q593&amp;Q594&amp;Q595&amp;Q596</f>
        <v>00000000</v>
      </c>
      <c r="I594" s="99"/>
      <c r="J594" s="29"/>
      <c r="K594" s="29" t="str">
        <f>AC589&amp;AC590&amp;AC591&amp;AC592&amp;AC593&amp;AC594&amp;AC595&amp;AC596</f>
        <v>00000000</v>
      </c>
      <c r="L594" s="99" t="str">
        <f>AG589&amp;AG590&amp;AG591&amp;AG592&amp;AG593&amp;AG594&amp;AG595&amp;AG596</f>
        <v>00000000</v>
      </c>
      <c r="M594" s="99" t="str">
        <f>DEC2HEX(M595)</f>
        <v>0</v>
      </c>
      <c r="N594" s="8"/>
      <c r="P594" s="21" t="str">
        <f>MID(H589,6,1)</f>
        <v>0</v>
      </c>
      <c r="Q594" s="26" t="str">
        <f t="shared" si="536"/>
        <v>0</v>
      </c>
      <c r="R594" s="7" t="s">
        <v>72</v>
      </c>
      <c r="S594" s="8" t="s">
        <v>66</v>
      </c>
      <c r="T594" s="400"/>
      <c r="U594" s="381"/>
      <c r="V594" s="381"/>
      <c r="W594" s="401"/>
      <c r="X594" s="400"/>
      <c r="Y594" s="381"/>
      <c r="Z594" s="381"/>
      <c r="AA594" s="401"/>
      <c r="AB594" s="21" t="str">
        <f>MID(K589,6,1)</f>
        <v>0</v>
      </c>
      <c r="AC594" s="26" t="str">
        <f t="shared" si="537"/>
        <v>0</v>
      </c>
      <c r="AD594" s="7" t="s">
        <v>72</v>
      </c>
      <c r="AE594" s="8" t="s">
        <v>66</v>
      </c>
      <c r="AF594" s="21" t="str">
        <f>MID(L589,6,1)</f>
        <v>0</v>
      </c>
      <c r="AG594" s="26" t="str">
        <f t="shared" si="538"/>
        <v>0</v>
      </c>
      <c r="AH594" s="7" t="s">
        <v>72</v>
      </c>
      <c r="AI594" s="8" t="s">
        <v>66</v>
      </c>
      <c r="AJ594" s="400"/>
      <c r="AK594" s="401"/>
      <c r="AL594" s="501"/>
    </row>
    <row r="595" spans="3:38" x14ac:dyDescent="0.3">
      <c r="C595" s="7" t="s">
        <v>67</v>
      </c>
      <c r="D595" s="99">
        <f>HEX2DEC(D593)</f>
        <v>0</v>
      </c>
      <c r="E595" s="99">
        <f t="shared" ref="E595:L595" si="540">HEX2DEC(E593)</f>
        <v>0</v>
      </c>
      <c r="F595" s="99">
        <f t="shared" si="540"/>
        <v>0</v>
      </c>
      <c r="G595" s="99">
        <f t="shared" si="540"/>
        <v>0</v>
      </c>
      <c r="H595" s="99">
        <f t="shared" si="540"/>
        <v>0</v>
      </c>
      <c r="I595" s="99">
        <f t="shared" si="540"/>
        <v>0</v>
      </c>
      <c r="J595" s="99">
        <f t="shared" si="540"/>
        <v>0</v>
      </c>
      <c r="K595" s="99">
        <f t="shared" si="540"/>
        <v>0</v>
      </c>
      <c r="L595" s="99">
        <f t="shared" si="540"/>
        <v>0</v>
      </c>
      <c r="M595" s="99">
        <f>SUM(D595:L595)</f>
        <v>0</v>
      </c>
      <c r="N595" s="8"/>
      <c r="P595" s="21" t="str">
        <f>MID(H589,7,1)</f>
        <v>0</v>
      </c>
      <c r="Q595" s="26" t="str">
        <f t="shared" si="536"/>
        <v>0</v>
      </c>
      <c r="R595" s="7" t="s">
        <v>73</v>
      </c>
      <c r="S595" s="8" t="s">
        <v>66</v>
      </c>
      <c r="T595" s="400"/>
      <c r="U595" s="381"/>
      <c r="V595" s="381"/>
      <c r="W595" s="401"/>
      <c r="X595" s="400"/>
      <c r="Y595" s="381"/>
      <c r="Z595" s="381"/>
      <c r="AA595" s="401"/>
      <c r="AB595" s="21" t="str">
        <f>MID(K589,7,1)</f>
        <v>0</v>
      </c>
      <c r="AC595" s="26" t="str">
        <f t="shared" si="537"/>
        <v>0</v>
      </c>
      <c r="AD595" s="7" t="s">
        <v>73</v>
      </c>
      <c r="AE595" s="8" t="s">
        <v>66</v>
      </c>
      <c r="AF595" s="21" t="str">
        <f>MID(L589,7,1)</f>
        <v>0</v>
      </c>
      <c r="AG595" s="26" t="str">
        <f t="shared" si="538"/>
        <v>0</v>
      </c>
      <c r="AH595" s="7" t="s">
        <v>73</v>
      </c>
      <c r="AI595" s="8" t="s">
        <v>66</v>
      </c>
      <c r="AJ595" s="400"/>
      <c r="AK595" s="401"/>
      <c r="AL595" s="501"/>
    </row>
    <row r="596" spans="3:38" ht="15" thickBot="1" x14ac:dyDescent="0.35">
      <c r="C596" s="9" t="s">
        <v>1678</v>
      </c>
      <c r="D596" s="334" t="str">
        <f>D591</f>
        <v/>
      </c>
      <c r="E596" s="334" t="str">
        <f t="shared" ref="E596:G596" si="541">E591</f>
        <v/>
      </c>
      <c r="F596" s="334" t="str">
        <f t="shared" si="541"/>
        <v/>
      </c>
      <c r="G596" s="334" t="str">
        <f t="shared" si="541"/>
        <v/>
      </c>
      <c r="H596" s="10"/>
      <c r="I596" s="10"/>
      <c r="J596" s="10"/>
      <c r="K596" s="10"/>
      <c r="L596" s="10"/>
      <c r="M596" s="10"/>
      <c r="N596" s="11"/>
      <c r="P596" s="22" t="str">
        <f>MID(H589,8,1)</f>
        <v>0</v>
      </c>
      <c r="Q596" s="55" t="str">
        <f t="shared" si="536"/>
        <v>0</v>
      </c>
      <c r="R596" s="9" t="s">
        <v>74</v>
      </c>
      <c r="S596" s="11" t="s">
        <v>66</v>
      </c>
      <c r="T596" s="402"/>
      <c r="U596" s="403"/>
      <c r="V596" s="403"/>
      <c r="W596" s="404"/>
      <c r="X596" s="402"/>
      <c r="Y596" s="403"/>
      <c r="Z596" s="403"/>
      <c r="AA596" s="404"/>
      <c r="AB596" s="22" t="str">
        <f>MID(K589,8,1)</f>
        <v>0</v>
      </c>
      <c r="AC596" s="55" t="str">
        <f t="shared" si="537"/>
        <v>0</v>
      </c>
      <c r="AD596" s="9" t="s">
        <v>74</v>
      </c>
      <c r="AE596" s="11" t="s">
        <v>66</v>
      </c>
      <c r="AF596" s="22" t="str">
        <f>MID(L589,8,1)</f>
        <v>0</v>
      </c>
      <c r="AG596" s="55" t="str">
        <f t="shared" si="538"/>
        <v>0</v>
      </c>
      <c r="AH596" s="9" t="s">
        <v>74</v>
      </c>
      <c r="AI596" s="11" t="s">
        <v>66</v>
      </c>
      <c r="AJ596" s="402"/>
      <c r="AK596" s="404"/>
      <c r="AL596" s="501"/>
    </row>
    <row r="597" spans="3:38" ht="15" thickBot="1" x14ac:dyDescent="0.35">
      <c r="C597" s="4"/>
      <c r="D597" s="5"/>
      <c r="E597" s="5"/>
      <c r="F597" s="5"/>
      <c r="G597" s="5"/>
      <c r="H597" s="5"/>
      <c r="I597" s="5"/>
      <c r="J597" s="5"/>
      <c r="K597" s="5"/>
      <c r="L597" s="5"/>
      <c r="M597" s="5" t="s">
        <v>41</v>
      </c>
      <c r="N597" s="6"/>
      <c r="P597" s="530" t="s">
        <v>1825</v>
      </c>
      <c r="Q597" s="530"/>
      <c r="R597" s="530"/>
      <c r="S597" s="530"/>
      <c r="T597" s="530"/>
      <c r="U597" s="530"/>
      <c r="V597" s="530"/>
      <c r="W597" s="530"/>
      <c r="X597" s="530"/>
      <c r="Y597" s="530"/>
      <c r="Z597" s="530"/>
      <c r="AA597" s="530"/>
      <c r="AB597" s="530"/>
      <c r="AC597" s="530"/>
      <c r="AD597" s="530"/>
      <c r="AE597" s="530"/>
      <c r="AF597" s="530"/>
      <c r="AG597" s="530"/>
      <c r="AH597" s="530"/>
      <c r="AI597" s="530"/>
      <c r="AJ597" s="530"/>
      <c r="AK597" s="530"/>
      <c r="AL597" s="501"/>
    </row>
    <row r="598" spans="3:38" ht="15" thickBot="1" x14ac:dyDescent="0.35">
      <c r="C598" s="7"/>
      <c r="D598" s="393" t="s">
        <v>1538</v>
      </c>
      <c r="E598" s="393"/>
      <c r="F598" s="393"/>
      <c r="G598" s="393"/>
      <c r="H598" s="99" t="s">
        <v>44</v>
      </c>
      <c r="I598" s="99" t="s">
        <v>45</v>
      </c>
      <c r="J598" s="99" t="s">
        <v>46</v>
      </c>
      <c r="K598" s="99" t="s">
        <v>47</v>
      </c>
      <c r="L598" s="99" t="s">
        <v>48</v>
      </c>
      <c r="M598" s="99" t="s">
        <v>49</v>
      </c>
      <c r="N598" s="8"/>
      <c r="P598" s="394" t="s">
        <v>50</v>
      </c>
      <c r="Q598" s="395"/>
      <c r="R598" s="395"/>
      <c r="S598" s="396"/>
      <c r="T598" s="394" t="s">
        <v>51</v>
      </c>
      <c r="U598" s="395"/>
      <c r="V598" s="395"/>
      <c r="W598" s="396"/>
      <c r="X598" s="394" t="s">
        <v>52</v>
      </c>
      <c r="Y598" s="395"/>
      <c r="Z598" s="395"/>
      <c r="AA598" s="396"/>
      <c r="AB598" s="394" t="s">
        <v>53</v>
      </c>
      <c r="AC598" s="395"/>
      <c r="AD598" s="395"/>
      <c r="AE598" s="396"/>
      <c r="AF598" s="394" t="s">
        <v>250</v>
      </c>
      <c r="AG598" s="395"/>
      <c r="AH598" s="395"/>
      <c r="AI598" s="396"/>
      <c r="AJ598" s="394" t="s">
        <v>55</v>
      </c>
      <c r="AK598" s="396"/>
      <c r="AL598" s="501"/>
    </row>
    <row r="599" spans="3:38" ht="15" thickBot="1" x14ac:dyDescent="0.35">
      <c r="C599" s="7" t="s">
        <v>56</v>
      </c>
      <c r="D599" s="12" t="str">
        <f>IF(J412="","",7)</f>
        <v/>
      </c>
      <c r="E599" s="13" t="str">
        <f>IF(J412="","",20)</f>
        <v/>
      </c>
      <c r="F599" s="13" t="str">
        <f>IF(J412="","",4)</f>
        <v/>
      </c>
      <c r="G599" s="14" t="str">
        <f>IF(J412="","",45)</f>
        <v/>
      </c>
      <c r="H599" s="41" t="str" cm="1">
        <f t="array" ref="H599">_xlfn.IFNA(MID(INDEX($A$3:$A$70,IF(ISNA(MATCH("720G4ID*",$A$3:$A$70,0))=TRUE,MATCH("7200445*",$A$3:$A$70,0),MATCH("720G4ID*",$A$3:$A$70,0))),$AU$8,2),"")</f>
        <v/>
      </c>
      <c r="I599" s="42" t="str" cm="1">
        <f t="array" ref="I599">_xlfn.IFNA(MID(INDEX($A$3:$A$70,IF(ISNA(MATCH("720G4ID*",$A$3:$A$70,0))=TRUE,MATCH("7200445*",$A$3:$A$70,0),MATCH("720G4ID*",$A$3:$A$70,0))),$AV$8,2),"")</f>
        <v/>
      </c>
      <c r="J599" s="24" t="str" cm="1">
        <f t="array" ref="J599">_xlfn.IFNA(MID(INDEX($A$3:$A$70,IF(ISNA(MATCH("720G4ID*",$A$3:$A$70,0))=TRUE,MATCH("7200445*",$A$3:$A$70,0),MATCH("720G4ID*",$A$3:$A$70,0))),$AW$8,2),"")</f>
        <v/>
      </c>
      <c r="K599" s="42" t="str" cm="1">
        <f t="array" ref="K599">_xlfn.IFNA(MID(INDEX($A$3:$A$70,IF(ISNA(MATCH("720G4ID*",$A$3:$A$70,0))=TRUE,MATCH("7200445*",$A$3:$A$70,0),MATCH("720G4ID*",$A$3:$A$70,0))),$AX$8,2),"")</f>
        <v/>
      </c>
      <c r="L599" s="43" t="str" cm="1">
        <f t="array" ref="L599">_xlfn.IFNA(MID(INDEX($A$3:$A$70,IF(ISNA(MATCH("720G4ID*",$A$3:$A$70,0))=TRUE,MATCH("7200445*",$A$3:$A$70,0),MATCH("720G4ID*",$A$3:$A$70,0))),$AY$8,2),"")</f>
        <v/>
      </c>
      <c r="M599" s="44" t="str" cm="1">
        <f t="array" ref="M599">_xlfn.IFNA(MID(INDEX($A$3:$A$70,IF(ISNA(MATCH("720G4ID*",$A$3:$A$70,0))=TRUE,MATCH("7200445*",$A$3:$A$70,0),MATCH("720G4ID*",$A$3:$A$70,0))),$AZ$8,2),"")</f>
        <v/>
      </c>
      <c r="N599" s="8" t="s">
        <v>60</v>
      </c>
      <c r="P599" s="19" t="s">
        <v>60</v>
      </c>
      <c r="Q599" s="20" t="s">
        <v>61</v>
      </c>
      <c r="R599" t="s">
        <v>62</v>
      </c>
      <c r="S599" s="8"/>
      <c r="T599" s="19" t="s">
        <v>60</v>
      </c>
      <c r="U599" s="20" t="s">
        <v>61</v>
      </c>
      <c r="V599" t="s">
        <v>62</v>
      </c>
      <c r="W599" s="8"/>
      <c r="X599" s="19" t="s">
        <v>60</v>
      </c>
      <c r="Y599" s="20" t="s">
        <v>61</v>
      </c>
      <c r="Z599" t="s">
        <v>62</v>
      </c>
      <c r="AA599" s="8"/>
      <c r="AB599" s="19" t="s">
        <v>60</v>
      </c>
      <c r="AC599" s="20" t="s">
        <v>61</v>
      </c>
      <c r="AD599" t="s">
        <v>62</v>
      </c>
      <c r="AE599" s="8"/>
      <c r="AF599" s="394"/>
      <c r="AG599" s="395"/>
      <c r="AH599" s="395"/>
      <c r="AI599" s="396"/>
      <c r="AJ599" s="394" t="s">
        <v>63</v>
      </c>
      <c r="AK599" s="396"/>
      <c r="AL599" s="501"/>
    </row>
    <row r="600" spans="3:38" x14ac:dyDescent="0.3">
      <c r="C600" s="7" t="s">
        <v>64</v>
      </c>
      <c r="D600" s="99" t="str">
        <f>HEX2BIN(D599,8)</f>
        <v>00000000</v>
      </c>
      <c r="E600" s="99" t="str">
        <f t="shared" ref="E600:L600" si="542">HEX2BIN(E599,8)</f>
        <v>00000000</v>
      </c>
      <c r="F600" s="99" t="str">
        <f t="shared" si="542"/>
        <v>00000000</v>
      </c>
      <c r="G600" s="99" t="str">
        <f t="shared" si="542"/>
        <v>00000000</v>
      </c>
      <c r="H600" s="99" t="str">
        <f t="shared" si="542"/>
        <v>00000000</v>
      </c>
      <c r="I600" s="99" t="str">
        <f t="shared" si="542"/>
        <v>00000000</v>
      </c>
      <c r="J600" s="99" t="str">
        <f t="shared" si="542"/>
        <v>00000000</v>
      </c>
      <c r="K600" s="99" t="str">
        <f t="shared" si="542"/>
        <v>00000000</v>
      </c>
      <c r="L600" s="99" t="str">
        <f t="shared" si="542"/>
        <v>00000000</v>
      </c>
      <c r="N600" s="8"/>
      <c r="P600" s="21" t="str">
        <f>MID(H600,1,1)</f>
        <v>0</v>
      </c>
      <c r="Q600" s="26" t="str">
        <f>P600</f>
        <v>0</v>
      </c>
      <c r="R600" s="7" t="s">
        <v>65</v>
      </c>
      <c r="S600" s="8" t="s">
        <v>66</v>
      </c>
      <c r="T600" s="21" t="str">
        <f>MID(I600,1,1)</f>
        <v>0</v>
      </c>
      <c r="U600" s="26" t="str">
        <f>T600</f>
        <v>0</v>
      </c>
      <c r="V600" s="7" t="s">
        <v>65</v>
      </c>
      <c r="W600" s="8" t="s">
        <v>66</v>
      </c>
      <c r="X600" s="21" t="str">
        <f>MID(J600,1,1)</f>
        <v>0</v>
      </c>
      <c r="Y600" s="26" t="str">
        <f>X600</f>
        <v>0</v>
      </c>
      <c r="Z600" s="7" t="s">
        <v>65</v>
      </c>
      <c r="AA600" s="8" t="s">
        <v>66</v>
      </c>
      <c r="AB600" s="21" t="str">
        <f>MID(K600,1,1)</f>
        <v>0</v>
      </c>
      <c r="AC600" s="26" t="str">
        <f>AB600</f>
        <v>0</v>
      </c>
      <c r="AD600" s="7" t="s">
        <v>65</v>
      </c>
      <c r="AE600" s="8" t="s">
        <v>66</v>
      </c>
      <c r="AF600" s="400"/>
      <c r="AG600" s="381"/>
      <c r="AH600" s="381"/>
      <c r="AI600" s="401"/>
      <c r="AJ600" s="400"/>
      <c r="AK600" s="401"/>
      <c r="AL600" s="501"/>
    </row>
    <row r="601" spans="3:38" x14ac:dyDescent="0.3">
      <c r="C601" s="7" t="s">
        <v>67</v>
      </c>
      <c r="D601" s="99">
        <f>HEX2DEC(D599)</f>
        <v>0</v>
      </c>
      <c r="E601" s="99">
        <f t="shared" ref="E601:L601" si="543">HEX2DEC(E599)</f>
        <v>0</v>
      </c>
      <c r="F601" s="99">
        <f t="shared" si="543"/>
        <v>0</v>
      </c>
      <c r="G601" s="99">
        <f t="shared" si="543"/>
        <v>0</v>
      </c>
      <c r="H601" s="99">
        <f t="shared" si="543"/>
        <v>0</v>
      </c>
      <c r="I601" s="99">
        <f t="shared" si="543"/>
        <v>0</v>
      </c>
      <c r="J601" s="99">
        <f t="shared" si="543"/>
        <v>0</v>
      </c>
      <c r="K601" s="99">
        <f t="shared" si="543"/>
        <v>0</v>
      </c>
      <c r="L601" s="99">
        <f t="shared" si="543"/>
        <v>0</v>
      </c>
      <c r="M601" s="99">
        <f>SUM(D601:L601)</f>
        <v>0</v>
      </c>
      <c r="N601" s="8"/>
      <c r="P601" s="21" t="str">
        <f>MID(H600,2,1)</f>
        <v>0</v>
      </c>
      <c r="Q601" s="26" t="str">
        <f t="shared" ref="Q601:Q607" si="544">P601</f>
        <v>0</v>
      </c>
      <c r="R601" s="7" t="s">
        <v>68</v>
      </c>
      <c r="S601" s="8" t="s">
        <v>66</v>
      </c>
      <c r="T601" s="21" t="str">
        <f>MID(I600,2,1)</f>
        <v>0</v>
      </c>
      <c r="U601" s="26" t="str">
        <f t="shared" ref="U601:U607" si="545">T601</f>
        <v>0</v>
      </c>
      <c r="V601" s="7" t="s">
        <v>68</v>
      </c>
      <c r="W601" s="8" t="s">
        <v>66</v>
      </c>
      <c r="X601" s="21" t="str">
        <f>MID(J600,2,1)</f>
        <v>0</v>
      </c>
      <c r="Y601" s="26" t="str">
        <f t="shared" ref="Y601:Y607" si="546">X601</f>
        <v>0</v>
      </c>
      <c r="Z601" s="7" t="s">
        <v>68</v>
      </c>
      <c r="AA601" s="8" t="s">
        <v>66</v>
      </c>
      <c r="AB601" s="21" t="str">
        <f>MID(K600,2,1)</f>
        <v>0</v>
      </c>
      <c r="AC601" s="26" t="str">
        <f t="shared" ref="AC601:AC607" si="547">AB601</f>
        <v>0</v>
      </c>
      <c r="AD601" s="7" t="s">
        <v>68</v>
      </c>
      <c r="AE601" s="8" t="s">
        <v>66</v>
      </c>
      <c r="AF601" s="400"/>
      <c r="AG601" s="381"/>
      <c r="AH601" s="381"/>
      <c r="AI601" s="401"/>
      <c r="AJ601" s="400"/>
      <c r="AK601" s="401"/>
      <c r="AL601" s="501"/>
    </row>
    <row r="602" spans="3:38" x14ac:dyDescent="0.3">
      <c r="C602" s="7" t="s">
        <v>1678</v>
      </c>
      <c r="D602" s="333" t="str">
        <f>D599</f>
        <v/>
      </c>
      <c r="E602" s="333" t="str">
        <f>E599</f>
        <v/>
      </c>
      <c r="F602" s="99" t="str">
        <f>_xlfn.IFNA(MID(INDEX($A$3:$A$70,IF(ISNA(MATCH("720G4ID*",$A$3:$A$70,0))=TRUE,MATCH("7200445*",$A$3:$A$70,0),MATCH("720G4ID*",$A$3:$A$70,0))),$AS$8,2),"")</f>
        <v/>
      </c>
      <c r="G602" s="99" t="str">
        <f>_xlfn.IFNA(MID(INDEX($A$3:$A$70,IF(ISNA(MATCH("720G4ID*",$A$3:$A$70,0))=TRUE,MATCH("7200445*",$A$3:$A$70,0),MATCH("720G4ID*",$A$3:$A$70,0))),$AT$8,2),"")</f>
        <v/>
      </c>
      <c r="N602" s="8"/>
      <c r="P602" s="21" t="str">
        <f>MID(H600,3,1)</f>
        <v>0</v>
      </c>
      <c r="Q602" s="26" t="str">
        <f t="shared" si="544"/>
        <v>0</v>
      </c>
      <c r="R602" s="7" t="s">
        <v>69</v>
      </c>
      <c r="S602" s="8" t="s">
        <v>66</v>
      </c>
      <c r="T602" s="21" t="str">
        <f>MID(I600,3,1)</f>
        <v>0</v>
      </c>
      <c r="U602" s="26" t="str">
        <f t="shared" si="545"/>
        <v>0</v>
      </c>
      <c r="V602" s="7" t="s">
        <v>69</v>
      </c>
      <c r="W602" s="8" t="s">
        <v>66</v>
      </c>
      <c r="X602" s="21" t="str">
        <f>MID(J600,3,1)</f>
        <v>0</v>
      </c>
      <c r="Y602" s="26" t="str">
        <f t="shared" si="546"/>
        <v>0</v>
      </c>
      <c r="Z602" s="7" t="s">
        <v>69</v>
      </c>
      <c r="AA602" s="8" t="s">
        <v>66</v>
      </c>
      <c r="AB602" s="21" t="str">
        <f>MID(K600,3,1)</f>
        <v>0</v>
      </c>
      <c r="AC602" s="26" t="str">
        <f t="shared" si="547"/>
        <v>0</v>
      </c>
      <c r="AD602" s="7" t="s">
        <v>69</v>
      </c>
      <c r="AE602" s="8" t="s">
        <v>66</v>
      </c>
      <c r="AF602" s="400"/>
      <c r="AG602" s="381"/>
      <c r="AH602" s="381"/>
      <c r="AI602" s="401"/>
      <c r="AJ602" s="400"/>
      <c r="AK602" s="401"/>
      <c r="AL602" s="501"/>
    </row>
    <row r="603" spans="3:38" ht="15" thickBot="1" x14ac:dyDescent="0.35">
      <c r="C603" s="7"/>
      <c r="N603" s="8"/>
      <c r="P603" s="21" t="str">
        <f>MID(H600,4,1)</f>
        <v>0</v>
      </c>
      <c r="Q603" s="26" t="str">
        <f t="shared" si="544"/>
        <v>0</v>
      </c>
      <c r="R603" s="7" t="s">
        <v>70</v>
      </c>
      <c r="S603" s="8" t="s">
        <v>66</v>
      </c>
      <c r="T603" s="21" t="str">
        <f>MID(I600,4,1)</f>
        <v>0</v>
      </c>
      <c r="U603" s="26" t="str">
        <f t="shared" si="545"/>
        <v>0</v>
      </c>
      <c r="V603" s="7" t="s">
        <v>70</v>
      </c>
      <c r="W603" s="8" t="s">
        <v>66</v>
      </c>
      <c r="X603" s="21" t="str">
        <f>MID(J600,4,1)</f>
        <v>0</v>
      </c>
      <c r="Y603" s="26" t="str">
        <f t="shared" si="546"/>
        <v>0</v>
      </c>
      <c r="Z603" s="7" t="s">
        <v>70</v>
      </c>
      <c r="AA603" s="8" t="s">
        <v>66</v>
      </c>
      <c r="AB603" s="21" t="str">
        <f>MID(K600,4,1)</f>
        <v>0</v>
      </c>
      <c r="AC603" s="26" t="str">
        <f t="shared" si="547"/>
        <v>0</v>
      </c>
      <c r="AD603" s="7" t="s">
        <v>70</v>
      </c>
      <c r="AE603" s="8" t="s">
        <v>66</v>
      </c>
      <c r="AF603" s="400"/>
      <c r="AG603" s="381"/>
      <c r="AH603" s="381"/>
      <c r="AI603" s="401"/>
      <c r="AJ603" s="400"/>
      <c r="AK603" s="401"/>
      <c r="AL603" s="501"/>
    </row>
    <row r="604" spans="3:38" ht="15" thickBot="1" x14ac:dyDescent="0.35">
      <c r="C604" s="7" t="s">
        <v>56</v>
      </c>
      <c r="D604" s="15" t="str">
        <f>D599</f>
        <v/>
      </c>
      <c r="E604" s="16" t="str">
        <f>E599</f>
        <v/>
      </c>
      <c r="F604" s="16" t="str">
        <f>F599</f>
        <v/>
      </c>
      <c r="G604" s="17" t="str">
        <f>G599</f>
        <v/>
      </c>
      <c r="H604" s="23" t="str">
        <f>IF(J412="","",BIN2HEX(H605,2))</f>
        <v/>
      </c>
      <c r="I604" s="25" t="str">
        <f>IF(J412="","",BIN2HEX(I605,2))</f>
        <v/>
      </c>
      <c r="J604" s="24" t="str">
        <f>IF(J412="","",BIN2HEX(J605,2))</f>
        <v/>
      </c>
      <c r="K604" s="2" t="str">
        <f>IF(J412="","",BIN2HEX(K605,2))</f>
        <v/>
      </c>
      <c r="L604" s="49" t="str">
        <f>L599</f>
        <v/>
      </c>
      <c r="M604" s="3" t="str">
        <f>IF(J412="","",IF(LEN(M605)&gt;2,MID(M605,2,2),M605))</f>
        <v/>
      </c>
      <c r="N604" s="8" t="s">
        <v>61</v>
      </c>
      <c r="P604" s="21" t="str">
        <f>MID(H600,5,1)</f>
        <v>0</v>
      </c>
      <c r="Q604" s="26" t="str">
        <f t="shared" si="544"/>
        <v>0</v>
      </c>
      <c r="R604" s="7" t="s">
        <v>71</v>
      </c>
      <c r="S604" s="8" t="s">
        <v>66</v>
      </c>
      <c r="T604" s="21" t="str">
        <f>MID(I600,5,1)</f>
        <v>0</v>
      </c>
      <c r="U604" s="26" t="str">
        <f t="shared" si="545"/>
        <v>0</v>
      </c>
      <c r="V604" s="7" t="s">
        <v>71</v>
      </c>
      <c r="W604" s="8" t="s">
        <v>66</v>
      </c>
      <c r="X604" s="21" t="str">
        <f>MID(J600,5,1)</f>
        <v>0</v>
      </c>
      <c r="Y604" s="26" t="str">
        <f t="shared" si="546"/>
        <v>0</v>
      </c>
      <c r="Z604" s="7" t="s">
        <v>71</v>
      </c>
      <c r="AA604" s="8" t="s">
        <v>66</v>
      </c>
      <c r="AB604" s="21" t="str">
        <f>MID(K600,5,1)</f>
        <v>0</v>
      </c>
      <c r="AC604" s="26" t="str">
        <f t="shared" si="547"/>
        <v>0</v>
      </c>
      <c r="AD604" s="7" t="s">
        <v>71</v>
      </c>
      <c r="AE604" s="8" t="s">
        <v>66</v>
      </c>
      <c r="AF604" s="400"/>
      <c r="AG604" s="381"/>
      <c r="AH604" s="381"/>
      <c r="AI604" s="401"/>
      <c r="AJ604" s="400"/>
      <c r="AK604" s="401"/>
      <c r="AL604" s="501"/>
    </row>
    <row r="605" spans="3:38" x14ac:dyDescent="0.3">
      <c r="C605" s="7" t="s">
        <v>64</v>
      </c>
      <c r="D605" s="99" t="str">
        <f>HEX2BIN(D604,8)</f>
        <v>00000000</v>
      </c>
      <c r="E605" s="99" t="str">
        <f t="shared" ref="E605:G605" si="548">HEX2BIN(E604,8)</f>
        <v>00000000</v>
      </c>
      <c r="F605" s="99" t="str">
        <f t="shared" si="548"/>
        <v>00000000</v>
      </c>
      <c r="G605" s="99" t="str">
        <f t="shared" si="548"/>
        <v>00000000</v>
      </c>
      <c r="H605" s="29" t="str">
        <f>Q600&amp;Q601&amp;Q602&amp;Q603&amp;Q604&amp;Q605&amp;Q606&amp;Q607</f>
        <v>00000000</v>
      </c>
      <c r="I605" s="99" t="str">
        <f>U600&amp;U601&amp;U602&amp;U603&amp;U604&amp;U605&amp;U606&amp;U607</f>
        <v>00000000</v>
      </c>
      <c r="J605" s="29" t="str">
        <f>Y600&amp;Y601&amp;Y602&amp;Y603&amp;Y604&amp;Y605&amp;Y606&amp;Y607</f>
        <v>00000000</v>
      </c>
      <c r="K605" s="29" t="str">
        <f>AC600&amp;AC601&amp;AC602&amp;AC603&amp;AC604&amp;AC605&amp;AC606&amp;AC607</f>
        <v>00000000</v>
      </c>
      <c r="L605" s="99"/>
      <c r="M605" s="99" t="str">
        <f>DEC2HEX(M606)</f>
        <v>0</v>
      </c>
      <c r="N605" s="8"/>
      <c r="P605" s="21" t="str">
        <f>MID(H600,6,1)</f>
        <v>0</v>
      </c>
      <c r="Q605" s="26" t="str">
        <f t="shared" si="544"/>
        <v>0</v>
      </c>
      <c r="R605" s="7" t="s">
        <v>72</v>
      </c>
      <c r="S605" s="8" t="s">
        <v>66</v>
      </c>
      <c r="T605" s="21" t="str">
        <f>MID(I600,6,1)</f>
        <v>0</v>
      </c>
      <c r="U605" s="26" t="str">
        <f t="shared" si="545"/>
        <v>0</v>
      </c>
      <c r="V605" s="7" t="s">
        <v>72</v>
      </c>
      <c r="W605" s="8" t="s">
        <v>66</v>
      </c>
      <c r="X605" s="21" t="str">
        <f>MID(J600,6,1)</f>
        <v>0</v>
      </c>
      <c r="Y605" s="26" t="str">
        <f t="shared" si="546"/>
        <v>0</v>
      </c>
      <c r="Z605" s="7" t="s">
        <v>72</v>
      </c>
      <c r="AA605" s="8" t="s">
        <v>66</v>
      </c>
      <c r="AB605" s="21" t="str">
        <f>MID(K600,6,1)</f>
        <v>0</v>
      </c>
      <c r="AC605" s="26" t="str">
        <f t="shared" si="547"/>
        <v>0</v>
      </c>
      <c r="AD605" s="7" t="s">
        <v>72</v>
      </c>
      <c r="AE605" s="8" t="s">
        <v>66</v>
      </c>
      <c r="AF605" s="400"/>
      <c r="AG605" s="381"/>
      <c r="AH605" s="381"/>
      <c r="AI605" s="401"/>
      <c r="AJ605" s="400"/>
      <c r="AK605" s="401"/>
      <c r="AL605" s="501"/>
    </row>
    <row r="606" spans="3:38" x14ac:dyDescent="0.3">
      <c r="C606" s="7" t="s">
        <v>67</v>
      </c>
      <c r="D606" s="99">
        <f>HEX2DEC(D604)</f>
        <v>0</v>
      </c>
      <c r="E606" s="99">
        <f t="shared" ref="E606:L606" si="549">HEX2DEC(E604)</f>
        <v>0</v>
      </c>
      <c r="F606" s="99">
        <f t="shared" si="549"/>
        <v>0</v>
      </c>
      <c r="G606" s="99">
        <f t="shared" si="549"/>
        <v>0</v>
      </c>
      <c r="H606" s="99">
        <f t="shared" si="549"/>
        <v>0</v>
      </c>
      <c r="I606" s="99">
        <f t="shared" si="549"/>
        <v>0</v>
      </c>
      <c r="J606" s="99">
        <f t="shared" si="549"/>
        <v>0</v>
      </c>
      <c r="K606" s="99">
        <f t="shared" si="549"/>
        <v>0</v>
      </c>
      <c r="L606" s="99">
        <f t="shared" si="549"/>
        <v>0</v>
      </c>
      <c r="M606" s="99">
        <f>SUM(D606:L606)</f>
        <v>0</v>
      </c>
      <c r="N606" s="8"/>
      <c r="P606" s="21" t="str">
        <f>MID(H600,7,1)</f>
        <v>0</v>
      </c>
      <c r="Q606" s="26" t="str">
        <f t="shared" si="544"/>
        <v>0</v>
      </c>
      <c r="R606" s="7" t="s">
        <v>73</v>
      </c>
      <c r="S606" s="8" t="s">
        <v>66</v>
      </c>
      <c r="T606" s="21" t="str">
        <f>MID(I600,7,1)</f>
        <v>0</v>
      </c>
      <c r="U606" s="26" t="str">
        <f t="shared" si="545"/>
        <v>0</v>
      </c>
      <c r="V606" s="7" t="s">
        <v>73</v>
      </c>
      <c r="W606" s="8" t="s">
        <v>66</v>
      </c>
      <c r="X606" s="21" t="str">
        <f>MID(J600,7,1)</f>
        <v>0</v>
      </c>
      <c r="Y606" s="26" t="str">
        <f t="shared" si="546"/>
        <v>0</v>
      </c>
      <c r="Z606" s="7" t="s">
        <v>73</v>
      </c>
      <c r="AA606" s="8" t="s">
        <v>66</v>
      </c>
      <c r="AB606" s="21" t="str">
        <f>MID(K600,7,1)</f>
        <v>0</v>
      </c>
      <c r="AC606" s="26" t="str">
        <f t="shared" si="547"/>
        <v>0</v>
      </c>
      <c r="AD606" s="7" t="s">
        <v>73</v>
      </c>
      <c r="AE606" s="8" t="s">
        <v>66</v>
      </c>
      <c r="AF606" s="400"/>
      <c r="AG606" s="381"/>
      <c r="AH606" s="381"/>
      <c r="AI606" s="401"/>
      <c r="AJ606" s="400"/>
      <c r="AK606" s="401"/>
      <c r="AL606" s="501"/>
    </row>
    <row r="607" spans="3:38" ht="15" thickBot="1" x14ac:dyDescent="0.35">
      <c r="C607" s="9" t="s">
        <v>1678</v>
      </c>
      <c r="D607" s="334" t="str">
        <f>D602</f>
        <v/>
      </c>
      <c r="E607" s="334" t="str">
        <f t="shared" ref="E607:G607" si="550">E602</f>
        <v/>
      </c>
      <c r="F607" s="334" t="str">
        <f t="shared" si="550"/>
        <v/>
      </c>
      <c r="G607" s="334" t="str">
        <f t="shared" si="550"/>
        <v/>
      </c>
      <c r="H607" s="10"/>
      <c r="I607" s="10"/>
      <c r="J607" s="10"/>
      <c r="K607" s="10"/>
      <c r="L607" s="10"/>
      <c r="M607" s="10"/>
      <c r="N607" s="11"/>
      <c r="P607" s="22" t="str">
        <f>MID(H600,8,1)</f>
        <v>0</v>
      </c>
      <c r="Q607" s="55" t="str">
        <f t="shared" si="544"/>
        <v>0</v>
      </c>
      <c r="R607" s="9" t="s">
        <v>74</v>
      </c>
      <c r="S607" s="11" t="s">
        <v>66</v>
      </c>
      <c r="T607" s="22" t="str">
        <f>MID(I600,8,1)</f>
        <v>0</v>
      </c>
      <c r="U607" s="55" t="str">
        <f t="shared" si="545"/>
        <v>0</v>
      </c>
      <c r="V607" s="9" t="s">
        <v>74</v>
      </c>
      <c r="W607" s="11" t="s">
        <v>66</v>
      </c>
      <c r="X607" s="22" t="str">
        <f>MID(J600,8,1)</f>
        <v>0</v>
      </c>
      <c r="Y607" s="55" t="str">
        <f t="shared" si="546"/>
        <v>0</v>
      </c>
      <c r="Z607" s="9" t="s">
        <v>74</v>
      </c>
      <c r="AA607" s="11" t="s">
        <v>66</v>
      </c>
      <c r="AB607" s="22" t="str">
        <f>MID(K600,8,1)</f>
        <v>0</v>
      </c>
      <c r="AC607" s="55" t="str">
        <f t="shared" si="547"/>
        <v>0</v>
      </c>
      <c r="AD607" s="9" t="s">
        <v>74</v>
      </c>
      <c r="AE607" s="11" t="s">
        <v>66</v>
      </c>
      <c r="AF607" s="402"/>
      <c r="AG607" s="403"/>
      <c r="AH607" s="403"/>
      <c r="AI607" s="404"/>
      <c r="AJ607" s="402"/>
      <c r="AK607" s="404"/>
      <c r="AL607" s="501"/>
    </row>
    <row r="608" spans="3:38" ht="15" thickBot="1" x14ac:dyDescent="0.35">
      <c r="C608" s="4"/>
      <c r="D608" s="5"/>
      <c r="E608" s="5"/>
      <c r="F608" s="5"/>
      <c r="G608" s="5"/>
      <c r="H608" s="5"/>
      <c r="I608" s="5"/>
      <c r="J608" s="5"/>
      <c r="K608" s="5"/>
      <c r="L608" s="5"/>
      <c r="M608" s="5" t="s">
        <v>41</v>
      </c>
      <c r="N608" s="6"/>
      <c r="P608" s="530" t="s">
        <v>1826</v>
      </c>
      <c r="Q608" s="530"/>
      <c r="R608" s="530"/>
      <c r="S608" s="530"/>
      <c r="T608" s="530"/>
      <c r="U608" s="530"/>
      <c r="V608" s="530"/>
      <c r="W608" s="530"/>
      <c r="X608" s="530"/>
      <c r="Y608" s="530"/>
      <c r="Z608" s="530"/>
      <c r="AA608" s="530"/>
      <c r="AB608" s="530"/>
      <c r="AC608" s="530"/>
      <c r="AD608" s="530"/>
      <c r="AE608" s="530"/>
      <c r="AF608" s="530"/>
      <c r="AG608" s="530"/>
      <c r="AH608" s="530"/>
      <c r="AI608" s="530"/>
      <c r="AJ608" s="530"/>
      <c r="AK608" s="530"/>
      <c r="AL608" s="501"/>
    </row>
    <row r="609" spans="3:38" ht="15" thickBot="1" x14ac:dyDescent="0.35">
      <c r="C609" s="7"/>
      <c r="D609" s="393" t="s">
        <v>1537</v>
      </c>
      <c r="E609" s="393"/>
      <c r="F609" s="393"/>
      <c r="G609" s="393"/>
      <c r="H609" s="99" t="s">
        <v>44</v>
      </c>
      <c r="I609" s="99" t="s">
        <v>45</v>
      </c>
      <c r="J609" s="99" t="s">
        <v>46</v>
      </c>
      <c r="K609" s="99" t="s">
        <v>47</v>
      </c>
      <c r="L609" s="99" t="s">
        <v>48</v>
      </c>
      <c r="M609" s="99" t="s">
        <v>49</v>
      </c>
      <c r="N609" s="8"/>
      <c r="P609" s="394" t="s">
        <v>307</v>
      </c>
      <c r="Q609" s="395"/>
      <c r="R609" s="395"/>
      <c r="S609" s="396"/>
      <c r="T609" s="394" t="s">
        <v>51</v>
      </c>
      <c r="U609" s="395"/>
      <c r="V609" s="395"/>
      <c r="W609" s="396"/>
      <c r="X609" s="394" t="s">
        <v>52</v>
      </c>
      <c r="Y609" s="395"/>
      <c r="Z609" s="395"/>
      <c r="AA609" s="396"/>
      <c r="AB609" s="394" t="s">
        <v>53</v>
      </c>
      <c r="AC609" s="395"/>
      <c r="AD609" s="395"/>
      <c r="AE609" s="396"/>
      <c r="AF609" s="394" t="s">
        <v>97</v>
      </c>
      <c r="AG609" s="395"/>
      <c r="AH609" s="395"/>
      <c r="AI609" s="396"/>
      <c r="AJ609" s="394" t="s">
        <v>55</v>
      </c>
      <c r="AK609" s="396"/>
      <c r="AL609" s="501"/>
    </row>
    <row r="610" spans="3:38" ht="15" thickBot="1" x14ac:dyDescent="0.35">
      <c r="C610" s="7" t="s">
        <v>56</v>
      </c>
      <c r="D610" s="12" t="str">
        <f>IF(J412="","",7)</f>
        <v/>
      </c>
      <c r="E610" s="13" t="str">
        <f>IF(J412="","",20)</f>
        <v/>
      </c>
      <c r="F610" s="13" t="str">
        <f>IF(J412="","",4)</f>
        <v/>
      </c>
      <c r="G610" s="14" t="str">
        <f>IF(J412="","",46)</f>
        <v/>
      </c>
      <c r="H610" s="41" t="str" cm="1">
        <f t="array" ref="H610">_xlfn.IFNA(MID(INDEX($A$3:$A$70,IF(ISNA(MATCH("720G4IE*",$A$3:$A$70,0))=TRUE,MATCH("7200446*",$A$3:$A$70,0),MATCH("720G4IE*",$A$3:$A$70,0))),$AU$8,2),"")</f>
        <v/>
      </c>
      <c r="I610" s="42" t="str" cm="1">
        <f t="array" ref="I610">_xlfn.IFNA(MID(INDEX($A$3:$A$70,IF(ISNA(MATCH("720G4IE*",$A$3:$A$70,0))=TRUE,MATCH("7200446*",$A$3:$A$70,0),MATCH("720G4IE*",$A$3:$A$70,0))),$AV$8,2),"")</f>
        <v/>
      </c>
      <c r="J610" s="24" t="str" cm="1">
        <f t="array" ref="J610">_xlfn.IFNA(MID(INDEX($A$3:$A$70,IF(ISNA(MATCH("720G4IE*",$A$3:$A$70,0))=TRUE,MATCH("7200446*",$A$3:$A$70,0),MATCH("720G4IE*",$A$3:$A$70,0))),$AW$8,2),"")</f>
        <v/>
      </c>
      <c r="K610" s="42" t="str" cm="1">
        <f t="array" ref="K610">_xlfn.IFNA(MID(INDEX($A$3:$A$70,IF(ISNA(MATCH("720G4IE*",$A$3:$A$70,0))=TRUE,MATCH("7200446*",$A$3:$A$70,0),MATCH("720G4IE*",$A$3:$A$70,0))),$AX$8,2),"")</f>
        <v/>
      </c>
      <c r="L610" s="43" t="str" cm="1">
        <f t="array" ref="L610">_xlfn.IFNA(MID(INDEX($A$3:$A$70,IF(ISNA(MATCH("720G4IE*",$A$3:$A$70,0))=TRUE,MATCH("7200446*",$A$3:$A$70,0),MATCH("720G4IE*",$A$3:$A$70,0))),$AY$8,2),"")</f>
        <v/>
      </c>
      <c r="M610" s="44" t="str" cm="1">
        <f t="array" ref="M610">_xlfn.IFNA(MID(INDEX($A$3:$A$70,IF(ISNA(MATCH("720G4IE*",$A$3:$A$70,0))=TRUE,MATCH("7200446*",$A$3:$A$70,0),MATCH("720G4IE*",$A$3:$A$70,0))),$AZ$8,2),"")</f>
        <v/>
      </c>
      <c r="N610" s="8" t="s">
        <v>60</v>
      </c>
      <c r="P610" s="394"/>
      <c r="Q610" s="395"/>
      <c r="R610" s="395"/>
      <c r="S610" s="396"/>
      <c r="T610" s="19" t="s">
        <v>60</v>
      </c>
      <c r="U610" s="20" t="s">
        <v>61</v>
      </c>
      <c r="V610" t="s">
        <v>62</v>
      </c>
      <c r="W610" s="8"/>
      <c r="X610" s="19" t="s">
        <v>60</v>
      </c>
      <c r="Y610" s="20" t="s">
        <v>61</v>
      </c>
      <c r="Z610" t="s">
        <v>62</v>
      </c>
      <c r="AA610" s="8"/>
      <c r="AB610" s="19" t="s">
        <v>60</v>
      </c>
      <c r="AC610" s="20" t="s">
        <v>61</v>
      </c>
      <c r="AD610" t="s">
        <v>62</v>
      </c>
      <c r="AE610" s="8"/>
      <c r="AF610" s="19" t="s">
        <v>60</v>
      </c>
      <c r="AG610" s="20" t="s">
        <v>61</v>
      </c>
      <c r="AH610" t="s">
        <v>62</v>
      </c>
      <c r="AJ610" s="394" t="s">
        <v>63</v>
      </c>
      <c r="AK610" s="396"/>
      <c r="AL610" s="501"/>
    </row>
    <row r="611" spans="3:38" x14ac:dyDescent="0.3">
      <c r="C611" s="7" t="s">
        <v>64</v>
      </c>
      <c r="D611" s="99" t="str">
        <f>HEX2BIN(D610,8)</f>
        <v>00000000</v>
      </c>
      <c r="E611" s="99" t="str">
        <f t="shared" ref="E611:L611" si="551">HEX2BIN(E610,8)</f>
        <v>00000000</v>
      </c>
      <c r="F611" s="99" t="str">
        <f t="shared" si="551"/>
        <v>00000000</v>
      </c>
      <c r="G611" s="99" t="str">
        <f t="shared" si="551"/>
        <v>00000000</v>
      </c>
      <c r="H611" s="99" t="str">
        <f t="shared" si="551"/>
        <v>00000000</v>
      </c>
      <c r="I611" s="99" t="str">
        <f t="shared" si="551"/>
        <v>00000000</v>
      </c>
      <c r="J611" s="99" t="str">
        <f t="shared" si="551"/>
        <v>00000000</v>
      </c>
      <c r="K611" s="99" t="str">
        <f t="shared" si="551"/>
        <v>00000000</v>
      </c>
      <c r="L611" s="99" t="str">
        <f t="shared" si="551"/>
        <v>00000000</v>
      </c>
      <c r="N611" s="8"/>
      <c r="P611" s="400"/>
      <c r="Q611" s="381"/>
      <c r="R611" s="381"/>
      <c r="S611" s="401"/>
      <c r="T611" s="21" t="str">
        <f>MID(I611,1,1)</f>
        <v>0</v>
      </c>
      <c r="U611" s="26" t="str">
        <f>T611</f>
        <v>0</v>
      </c>
      <c r="V611" s="7" t="s">
        <v>65</v>
      </c>
      <c r="W611" s="8" t="s">
        <v>66</v>
      </c>
      <c r="X611" s="21" t="str">
        <f>MID(J611,1,1)</f>
        <v>0</v>
      </c>
      <c r="Y611" s="26" t="str">
        <f>X611</f>
        <v>0</v>
      </c>
      <c r="Z611" s="7" t="s">
        <v>65</v>
      </c>
      <c r="AA611" s="8" t="s">
        <v>66</v>
      </c>
      <c r="AB611" s="21" t="str">
        <f>MID(K611,1,1)</f>
        <v>0</v>
      </c>
      <c r="AC611" s="26" t="str">
        <f>AB611</f>
        <v>0</v>
      </c>
      <c r="AD611" s="7" t="s">
        <v>65</v>
      </c>
      <c r="AE611" s="8" t="s">
        <v>66</v>
      </c>
      <c r="AF611" s="21" t="str">
        <f>MID(L611,1,1)</f>
        <v>0</v>
      </c>
      <c r="AG611" s="26" t="str">
        <f>AF611</f>
        <v>0</v>
      </c>
      <c r="AH611" s="7" t="s">
        <v>65</v>
      </c>
      <c r="AI611" s="8" t="s">
        <v>66</v>
      </c>
      <c r="AJ611" s="400"/>
      <c r="AK611" s="401"/>
      <c r="AL611" s="501"/>
    </row>
    <row r="612" spans="3:38" x14ac:dyDescent="0.3">
      <c r="C612" s="7" t="s">
        <v>67</v>
      </c>
      <c r="D612" s="99">
        <f>HEX2DEC(D610)</f>
        <v>0</v>
      </c>
      <c r="E612" s="99">
        <f t="shared" ref="E612:L612" si="552">HEX2DEC(E610)</f>
        <v>0</v>
      </c>
      <c r="F612" s="99">
        <f t="shared" si="552"/>
        <v>0</v>
      </c>
      <c r="G612" s="99">
        <f t="shared" si="552"/>
        <v>0</v>
      </c>
      <c r="H612" s="99">
        <f t="shared" si="552"/>
        <v>0</v>
      </c>
      <c r="I612" s="99">
        <f t="shared" si="552"/>
        <v>0</v>
      </c>
      <c r="J612" s="99">
        <f t="shared" si="552"/>
        <v>0</v>
      </c>
      <c r="K612" s="99">
        <f t="shared" si="552"/>
        <v>0</v>
      </c>
      <c r="L612" s="99">
        <f t="shared" si="552"/>
        <v>0</v>
      </c>
      <c r="M612" s="99">
        <f>SUM(D612:L612)</f>
        <v>0</v>
      </c>
      <c r="N612" s="8"/>
      <c r="P612" s="400"/>
      <c r="Q612" s="381"/>
      <c r="R612" s="381"/>
      <c r="S612" s="401"/>
      <c r="T612" s="21" t="str">
        <f>MID(I611,2,1)</f>
        <v>0</v>
      </c>
      <c r="U612" s="26" t="str">
        <f t="shared" ref="U612:U618" si="553">T612</f>
        <v>0</v>
      </c>
      <c r="V612" s="7" t="s">
        <v>68</v>
      </c>
      <c r="W612" s="8" t="s">
        <v>66</v>
      </c>
      <c r="X612" s="21" t="str">
        <f>MID(J611,2,1)</f>
        <v>0</v>
      </c>
      <c r="Y612" s="26" t="str">
        <f t="shared" ref="Y612:Y618" si="554">X612</f>
        <v>0</v>
      </c>
      <c r="Z612" s="7" t="s">
        <v>68</v>
      </c>
      <c r="AA612" s="8" t="s">
        <v>66</v>
      </c>
      <c r="AB612" s="21" t="str">
        <f>MID(K611,2,1)</f>
        <v>0</v>
      </c>
      <c r="AC612" s="26" t="str">
        <f t="shared" ref="AC612:AC618" si="555">AB612</f>
        <v>0</v>
      </c>
      <c r="AD612" s="7" t="s">
        <v>68</v>
      </c>
      <c r="AE612" s="8" t="s">
        <v>66</v>
      </c>
      <c r="AF612" s="21" t="str">
        <f>MID(L611,2,1)</f>
        <v>0</v>
      </c>
      <c r="AG612" s="26" t="str">
        <f t="shared" ref="AG612:AG618" si="556">AF612</f>
        <v>0</v>
      </c>
      <c r="AH612" s="7" t="s">
        <v>68</v>
      </c>
      <c r="AI612" s="8" t="s">
        <v>66</v>
      </c>
      <c r="AJ612" s="400"/>
      <c r="AK612" s="401"/>
      <c r="AL612" s="501"/>
    </row>
    <row r="613" spans="3:38" x14ac:dyDescent="0.3">
      <c r="C613" s="7" t="s">
        <v>1678</v>
      </c>
      <c r="D613" s="333" t="str">
        <f>D610</f>
        <v/>
      </c>
      <c r="E613" s="333" t="str">
        <f>E610</f>
        <v/>
      </c>
      <c r="F613" s="99" t="str">
        <f>_xlfn.IFNA(MID(INDEX($A$3:$A$70,IF(ISNA(MATCH("720G4IE*",$A$3:$A$70,0))=TRUE,MATCH("7200446*",$A$3:$A$70,0),MATCH("720G4IE*",$A$3:$A$70,0))),$AS$8,2),"")</f>
        <v/>
      </c>
      <c r="G613" s="99" t="str">
        <f>_xlfn.IFNA(MID(INDEX($A$3:$A$70,IF(ISNA(MATCH("720G4IE*",$A$3:$A$70,0))=TRUE,MATCH("7200446*",$A$3:$A$70,0),MATCH("720G4IE*",$A$3:$A$70,0))),$AT$8,2),"")</f>
        <v/>
      </c>
      <c r="N613" s="8"/>
      <c r="P613" s="400"/>
      <c r="Q613" s="381"/>
      <c r="R613" s="381"/>
      <c r="S613" s="401"/>
      <c r="T613" s="21" t="str">
        <f>MID(I611,3,1)</f>
        <v>0</v>
      </c>
      <c r="U613" s="26" t="str">
        <f t="shared" si="553"/>
        <v>0</v>
      </c>
      <c r="V613" s="7" t="s">
        <v>69</v>
      </c>
      <c r="W613" s="8" t="s">
        <v>66</v>
      </c>
      <c r="X613" s="21" t="str">
        <f>MID(J611,3,1)</f>
        <v>0</v>
      </c>
      <c r="Y613" s="26" t="str">
        <f t="shared" si="554"/>
        <v>0</v>
      </c>
      <c r="Z613" s="7" t="s">
        <v>69</v>
      </c>
      <c r="AA613" s="8" t="s">
        <v>66</v>
      </c>
      <c r="AB613" s="21" t="str">
        <f>MID(K611,3,1)</f>
        <v>0</v>
      </c>
      <c r="AC613" s="26" t="str">
        <f t="shared" si="555"/>
        <v>0</v>
      </c>
      <c r="AD613" s="7" t="s">
        <v>69</v>
      </c>
      <c r="AE613" s="8" t="s">
        <v>66</v>
      </c>
      <c r="AF613" s="21" t="str">
        <f>MID(L611,3,1)</f>
        <v>0</v>
      </c>
      <c r="AG613" s="26" t="str">
        <f t="shared" si="556"/>
        <v>0</v>
      </c>
      <c r="AH613" s="7" t="s">
        <v>69</v>
      </c>
      <c r="AI613" s="8" t="s">
        <v>66</v>
      </c>
      <c r="AJ613" s="400"/>
      <c r="AK613" s="401"/>
      <c r="AL613" s="501"/>
    </row>
    <row r="614" spans="3:38" ht="15" thickBot="1" x14ac:dyDescent="0.35">
      <c r="C614" s="7"/>
      <c r="N614" s="8"/>
      <c r="P614" s="400"/>
      <c r="Q614" s="381"/>
      <c r="R614" s="381"/>
      <c r="S614" s="401"/>
      <c r="T614" s="21" t="str">
        <f>MID(I611,4,1)</f>
        <v>0</v>
      </c>
      <c r="U614" s="26" t="str">
        <f t="shared" si="553"/>
        <v>0</v>
      </c>
      <c r="V614" s="7" t="s">
        <v>70</v>
      </c>
      <c r="W614" s="8" t="s">
        <v>66</v>
      </c>
      <c r="X614" s="21" t="str">
        <f>MID(J611,4,1)</f>
        <v>0</v>
      </c>
      <c r="Y614" s="26" t="str">
        <f t="shared" si="554"/>
        <v>0</v>
      </c>
      <c r="Z614" s="7" t="s">
        <v>70</v>
      </c>
      <c r="AA614" s="8" t="s">
        <v>66</v>
      </c>
      <c r="AB614" s="21" t="str">
        <f>MID(K611,4,1)</f>
        <v>0</v>
      </c>
      <c r="AC614" s="26" t="str">
        <f t="shared" si="555"/>
        <v>0</v>
      </c>
      <c r="AD614" s="7" t="s">
        <v>70</v>
      </c>
      <c r="AE614" s="8" t="s">
        <v>66</v>
      </c>
      <c r="AF614" s="21" t="str">
        <f>MID(L611,4,1)</f>
        <v>0</v>
      </c>
      <c r="AG614" s="26" t="str">
        <f t="shared" si="556"/>
        <v>0</v>
      </c>
      <c r="AH614" s="7" t="s">
        <v>70</v>
      </c>
      <c r="AI614" s="8" t="s">
        <v>66</v>
      </c>
      <c r="AJ614" s="400"/>
      <c r="AK614" s="401"/>
      <c r="AL614" s="501"/>
    </row>
    <row r="615" spans="3:38" ht="15" thickBot="1" x14ac:dyDescent="0.35">
      <c r="C615" s="7" t="s">
        <v>56</v>
      </c>
      <c r="D615" s="15" t="str">
        <f>D610</f>
        <v/>
      </c>
      <c r="E615" s="16" t="str">
        <f>E610</f>
        <v/>
      </c>
      <c r="F615" s="16" t="str">
        <f>F610</f>
        <v/>
      </c>
      <c r="G615" s="17" t="str">
        <f>G610</f>
        <v/>
      </c>
      <c r="H615" s="50" t="str">
        <f>H610</f>
        <v/>
      </c>
      <c r="I615" s="25" t="str">
        <f>IF(J412="","",BIN2HEX(I616,2))</f>
        <v/>
      </c>
      <c r="J615" s="24" t="str">
        <f>IF(J412="","",BIN2HEX(J616,2))</f>
        <v/>
      </c>
      <c r="K615" s="2" t="str">
        <f>IF(J412="","",BIN2HEX(K616,2))</f>
        <v/>
      </c>
      <c r="L615" s="18" t="str">
        <f>IF(J412="","",BIN2HEX(L616,2))</f>
        <v/>
      </c>
      <c r="M615" s="3" t="str">
        <f>IF(J412="","",IF(LEN(M616)&gt;2,MID(M616,2,2),M616))</f>
        <v/>
      </c>
      <c r="N615" s="8" t="s">
        <v>61</v>
      </c>
      <c r="P615" s="400"/>
      <c r="Q615" s="381"/>
      <c r="R615" s="381"/>
      <c r="S615" s="401"/>
      <c r="T615" s="21" t="str">
        <f>MID(I611,5,1)</f>
        <v>0</v>
      </c>
      <c r="U615" s="26" t="str">
        <f t="shared" si="553"/>
        <v>0</v>
      </c>
      <c r="V615" s="7" t="s">
        <v>71</v>
      </c>
      <c r="W615" s="8" t="s">
        <v>66</v>
      </c>
      <c r="X615" s="21" t="str">
        <f>MID(J611,5,1)</f>
        <v>0</v>
      </c>
      <c r="Y615" s="26" t="str">
        <f t="shared" si="554"/>
        <v>0</v>
      </c>
      <c r="Z615" s="7" t="s">
        <v>71</v>
      </c>
      <c r="AA615" s="8" t="s">
        <v>66</v>
      </c>
      <c r="AB615" s="21" t="str">
        <f>MID(K611,5,1)</f>
        <v>0</v>
      </c>
      <c r="AC615" s="26" t="str">
        <f t="shared" si="555"/>
        <v>0</v>
      </c>
      <c r="AD615" s="7" t="s">
        <v>71</v>
      </c>
      <c r="AE615" s="8" t="s">
        <v>66</v>
      </c>
      <c r="AF615" s="21" t="str">
        <f>MID(L611,5,1)</f>
        <v>0</v>
      </c>
      <c r="AG615" s="26" t="str">
        <f t="shared" si="556"/>
        <v>0</v>
      </c>
      <c r="AH615" s="7" t="s">
        <v>71</v>
      </c>
      <c r="AI615" s="8" t="s">
        <v>66</v>
      </c>
      <c r="AJ615" s="400"/>
      <c r="AK615" s="401"/>
      <c r="AL615" s="501"/>
    </row>
    <row r="616" spans="3:38" x14ac:dyDescent="0.3">
      <c r="C616" s="7" t="s">
        <v>64</v>
      </c>
      <c r="D616" s="99" t="str">
        <f>HEX2BIN(D615,8)</f>
        <v>00000000</v>
      </c>
      <c r="E616" s="99" t="str">
        <f t="shared" ref="E616:G616" si="557">HEX2BIN(E615,8)</f>
        <v>00000000</v>
      </c>
      <c r="F616" s="99" t="str">
        <f t="shared" si="557"/>
        <v>00000000</v>
      </c>
      <c r="G616" s="99" t="str">
        <f t="shared" si="557"/>
        <v>00000000</v>
      </c>
      <c r="H616" s="29"/>
      <c r="I616" s="99" t="str">
        <f>U611&amp;U612&amp;U613&amp;U614&amp;U615&amp;U616&amp;U617&amp;U618</f>
        <v>00000000</v>
      </c>
      <c r="J616" s="29" t="str">
        <f>Y611&amp;Y612&amp;Y613&amp;Y614&amp;Y615&amp;Y616&amp;Y617&amp;Y618</f>
        <v>00000000</v>
      </c>
      <c r="K616" s="29" t="str">
        <f>AC611&amp;AC612&amp;AC613&amp;AC614&amp;AC615&amp;AC616&amp;AC617&amp;AC618</f>
        <v>00000000</v>
      </c>
      <c r="L616" s="99" t="str">
        <f>AG611&amp;AG612&amp;AG613&amp;AG614&amp;AG615&amp;AG616&amp;AG617&amp;AG618</f>
        <v>00000000</v>
      </c>
      <c r="M616" s="99" t="str">
        <f>DEC2HEX(M617)</f>
        <v>0</v>
      </c>
      <c r="N616" s="8"/>
      <c r="P616" s="400"/>
      <c r="Q616" s="381"/>
      <c r="R616" s="381"/>
      <c r="S616" s="401"/>
      <c r="T616" s="21" t="str">
        <f>MID(I611,6,1)</f>
        <v>0</v>
      </c>
      <c r="U616" s="26" t="str">
        <f t="shared" si="553"/>
        <v>0</v>
      </c>
      <c r="V616" s="7" t="s">
        <v>72</v>
      </c>
      <c r="W616" s="8" t="s">
        <v>66</v>
      </c>
      <c r="X616" s="21" t="str">
        <f>MID(J611,6,1)</f>
        <v>0</v>
      </c>
      <c r="Y616" s="26" t="str">
        <f t="shared" si="554"/>
        <v>0</v>
      </c>
      <c r="Z616" s="7" t="s">
        <v>72</v>
      </c>
      <c r="AA616" s="8" t="s">
        <v>66</v>
      </c>
      <c r="AB616" s="21" t="str">
        <f>MID(K611,6,1)</f>
        <v>0</v>
      </c>
      <c r="AC616" s="26" t="str">
        <f t="shared" si="555"/>
        <v>0</v>
      </c>
      <c r="AD616" s="7" t="s">
        <v>72</v>
      </c>
      <c r="AE616" s="8" t="s">
        <v>66</v>
      </c>
      <c r="AF616" s="21" t="str">
        <f>MID(L611,6,1)</f>
        <v>0</v>
      </c>
      <c r="AG616" s="26" t="str">
        <f t="shared" si="556"/>
        <v>0</v>
      </c>
      <c r="AH616" s="7" t="s">
        <v>72</v>
      </c>
      <c r="AI616" s="8" t="s">
        <v>66</v>
      </c>
      <c r="AJ616" s="400"/>
      <c r="AK616" s="401"/>
      <c r="AL616" s="501"/>
    </row>
    <row r="617" spans="3:38" x14ac:dyDescent="0.3">
      <c r="C617" s="7" t="s">
        <v>67</v>
      </c>
      <c r="D617" s="99">
        <f>HEX2DEC(D615)</f>
        <v>0</v>
      </c>
      <c r="E617" s="99">
        <f t="shared" ref="E617:L617" si="558">HEX2DEC(E615)</f>
        <v>0</v>
      </c>
      <c r="F617" s="99">
        <f t="shared" si="558"/>
        <v>0</v>
      </c>
      <c r="G617" s="99">
        <f t="shared" si="558"/>
        <v>0</v>
      </c>
      <c r="H617" s="99">
        <f t="shared" si="558"/>
        <v>0</v>
      </c>
      <c r="I617" s="99">
        <f t="shared" si="558"/>
        <v>0</v>
      </c>
      <c r="J617" s="99">
        <f t="shared" si="558"/>
        <v>0</v>
      </c>
      <c r="K617" s="99">
        <f t="shared" si="558"/>
        <v>0</v>
      </c>
      <c r="L617" s="99">
        <f t="shared" si="558"/>
        <v>0</v>
      </c>
      <c r="M617" s="99">
        <f>SUM(D617:L617)</f>
        <v>0</v>
      </c>
      <c r="N617" s="8"/>
      <c r="P617" s="400"/>
      <c r="Q617" s="381"/>
      <c r="R617" s="381"/>
      <c r="S617" s="401"/>
      <c r="T617" s="21" t="str">
        <f>MID(I611,7,1)</f>
        <v>0</v>
      </c>
      <c r="U617" s="26" t="str">
        <f t="shared" si="553"/>
        <v>0</v>
      </c>
      <c r="V617" s="7" t="s">
        <v>73</v>
      </c>
      <c r="W617" s="8" t="s">
        <v>66</v>
      </c>
      <c r="X617" s="21" t="str">
        <f>MID(J611,7,1)</f>
        <v>0</v>
      </c>
      <c r="Y617" s="26" t="str">
        <f t="shared" si="554"/>
        <v>0</v>
      </c>
      <c r="Z617" s="7" t="s">
        <v>73</v>
      </c>
      <c r="AA617" s="8" t="s">
        <v>66</v>
      </c>
      <c r="AB617" s="21" t="str">
        <f>MID(K611,7,1)</f>
        <v>0</v>
      </c>
      <c r="AC617" s="26" t="str">
        <f t="shared" si="555"/>
        <v>0</v>
      </c>
      <c r="AD617" s="7" t="s">
        <v>73</v>
      </c>
      <c r="AE617" s="8" t="s">
        <v>66</v>
      </c>
      <c r="AF617" s="21" t="str">
        <f>MID(L611,7,1)</f>
        <v>0</v>
      </c>
      <c r="AG617" s="26" t="str">
        <f t="shared" si="556"/>
        <v>0</v>
      </c>
      <c r="AH617" s="7" t="s">
        <v>73</v>
      </c>
      <c r="AI617" s="8" t="s">
        <v>66</v>
      </c>
      <c r="AJ617" s="400"/>
      <c r="AK617" s="401"/>
      <c r="AL617" s="501"/>
    </row>
    <row r="618" spans="3:38" ht="15" thickBot="1" x14ac:dyDescent="0.35">
      <c r="C618" s="9" t="s">
        <v>1678</v>
      </c>
      <c r="D618" s="334" t="str">
        <f>D613</f>
        <v/>
      </c>
      <c r="E618" s="334" t="str">
        <f t="shared" ref="E618:G618" si="559">E613</f>
        <v/>
      </c>
      <c r="F618" s="334" t="str">
        <f t="shared" si="559"/>
        <v/>
      </c>
      <c r="G618" s="334" t="str">
        <f t="shared" si="559"/>
        <v/>
      </c>
      <c r="H618" s="10"/>
      <c r="I618" s="10"/>
      <c r="J618" s="10"/>
      <c r="K618" s="10"/>
      <c r="L618" s="10"/>
      <c r="M618" s="10"/>
      <c r="N618" s="11"/>
      <c r="P618" s="402"/>
      <c r="Q618" s="403"/>
      <c r="R618" s="403"/>
      <c r="S618" s="404"/>
      <c r="T618" s="22" t="str">
        <f>MID(I611,8,1)</f>
        <v>0</v>
      </c>
      <c r="U618" s="55" t="str">
        <f t="shared" si="553"/>
        <v>0</v>
      </c>
      <c r="V618" s="9" t="s">
        <v>74</v>
      </c>
      <c r="W618" s="11" t="s">
        <v>66</v>
      </c>
      <c r="X618" s="22" t="str">
        <f>MID(J611,8,1)</f>
        <v>0</v>
      </c>
      <c r="Y618" s="55" t="str">
        <f t="shared" si="554"/>
        <v>0</v>
      </c>
      <c r="Z618" s="9" t="s">
        <v>74</v>
      </c>
      <c r="AA618" s="11" t="s">
        <v>66</v>
      </c>
      <c r="AB618" s="22" t="str">
        <f>MID(K611,8,1)</f>
        <v>0</v>
      </c>
      <c r="AC618" s="55" t="str">
        <f t="shared" si="555"/>
        <v>0</v>
      </c>
      <c r="AD618" s="9" t="s">
        <v>74</v>
      </c>
      <c r="AE618" s="11" t="s">
        <v>66</v>
      </c>
      <c r="AF618" s="22" t="str">
        <f>MID(L611,8,1)</f>
        <v>0</v>
      </c>
      <c r="AG618" s="55" t="str">
        <f t="shared" si="556"/>
        <v>0</v>
      </c>
      <c r="AH618" s="9" t="s">
        <v>74</v>
      </c>
      <c r="AI618" s="11" t="s">
        <v>66</v>
      </c>
      <c r="AJ618" s="402"/>
      <c r="AK618" s="404"/>
      <c r="AL618" s="501"/>
    </row>
    <row r="619" spans="3:38" ht="15" thickBot="1" x14ac:dyDescent="0.35">
      <c r="C619" s="4"/>
      <c r="D619" s="5"/>
      <c r="E619" s="5"/>
      <c r="F619" s="5"/>
      <c r="G619" s="5"/>
      <c r="H619" s="5"/>
      <c r="I619" s="5"/>
      <c r="J619" s="5"/>
      <c r="K619" s="5"/>
      <c r="L619" s="5"/>
      <c r="M619" s="5" t="s">
        <v>41</v>
      </c>
      <c r="N619" s="6"/>
      <c r="P619" s="530" t="s">
        <v>1827</v>
      </c>
      <c r="Q619" s="530"/>
      <c r="R619" s="530"/>
      <c r="S619" s="530"/>
      <c r="T619" s="530"/>
      <c r="U619" s="530"/>
      <c r="V619" s="530"/>
      <c r="W619" s="530"/>
      <c r="X619" s="530"/>
      <c r="Y619" s="530"/>
      <c r="Z619" s="530"/>
      <c r="AA619" s="530"/>
      <c r="AB619" s="530"/>
      <c r="AC619" s="530"/>
      <c r="AD619" s="530"/>
      <c r="AE619" s="530"/>
      <c r="AF619" s="530"/>
      <c r="AG619" s="530"/>
      <c r="AH619" s="530"/>
      <c r="AI619" s="530"/>
      <c r="AJ619" s="530"/>
      <c r="AK619" s="530"/>
      <c r="AL619" s="501"/>
    </row>
    <row r="620" spans="3:38" ht="15" thickBot="1" x14ac:dyDescent="0.35">
      <c r="C620" s="7"/>
      <c r="D620" s="393" t="s">
        <v>1536</v>
      </c>
      <c r="E620" s="393"/>
      <c r="F620" s="393"/>
      <c r="G620" s="393"/>
      <c r="H620" s="99" t="s">
        <v>44</v>
      </c>
      <c r="I620" s="99" t="s">
        <v>45</v>
      </c>
      <c r="J620" s="99" t="s">
        <v>46</v>
      </c>
      <c r="K620" s="99" t="s">
        <v>47</v>
      </c>
      <c r="L620" s="99" t="s">
        <v>48</v>
      </c>
      <c r="M620" s="99" t="s">
        <v>49</v>
      </c>
      <c r="N620" s="8"/>
      <c r="P620" s="394" t="s">
        <v>50</v>
      </c>
      <c r="Q620" s="395"/>
      <c r="R620" s="395"/>
      <c r="S620" s="396"/>
      <c r="T620" s="394" t="s">
        <v>51</v>
      </c>
      <c r="U620" s="395"/>
      <c r="V620" s="395"/>
      <c r="W620" s="396"/>
      <c r="X620" s="394" t="s">
        <v>255</v>
      </c>
      <c r="Y620" s="395"/>
      <c r="Z620" s="395"/>
      <c r="AA620" s="396"/>
      <c r="AB620" s="394" t="s">
        <v>308</v>
      </c>
      <c r="AC620" s="395"/>
      <c r="AD620" s="395"/>
      <c r="AE620" s="396"/>
      <c r="AF620" s="394" t="s">
        <v>97</v>
      </c>
      <c r="AG620" s="395"/>
      <c r="AH620" s="395"/>
      <c r="AI620" s="396"/>
      <c r="AJ620" s="394" t="s">
        <v>55</v>
      </c>
      <c r="AK620" s="396"/>
      <c r="AL620" s="501"/>
    </row>
    <row r="621" spans="3:38" ht="15" thickBot="1" x14ac:dyDescent="0.35">
      <c r="C621" s="7" t="s">
        <v>56</v>
      </c>
      <c r="D621" s="12" t="str">
        <f>IF(J412="","",7)</f>
        <v/>
      </c>
      <c r="E621" s="13" t="str">
        <f>IF(J412="","",20)</f>
        <v/>
      </c>
      <c r="F621" s="13" t="str">
        <f>IF(J412="","",4)</f>
        <v/>
      </c>
      <c r="G621" s="14" t="str">
        <f>IF(J412="","",47)</f>
        <v/>
      </c>
      <c r="H621" s="41" t="str" cm="1">
        <f t="array" ref="H621">_xlfn.IFNA(MID(INDEX($A$3:$A$70,IF(ISNA(MATCH("720G4IF*",$A$3:$A$70,0))=TRUE,MATCH("7200447*",$A$3:$A$70,0),MATCH("720G4IF*",$A$3:$A$70,0))),$AU$8,2),"")</f>
        <v/>
      </c>
      <c r="I621" s="42" t="str" cm="1">
        <f t="array" ref="I621">_xlfn.IFNA(MID(INDEX($A$3:$A$70,IF(ISNA(MATCH("720G4IF*",$A$3:$A$70,0))=TRUE,MATCH("7200447*",$A$3:$A$70,0),MATCH("720G4IF*",$A$3:$A$70,0))),$AV$8,2),"")</f>
        <v/>
      </c>
      <c r="J621" s="24" t="str" cm="1">
        <f t="array" ref="J621">_xlfn.IFNA(MID(INDEX($A$3:$A$70,IF(ISNA(MATCH("720G4IF*",$A$3:$A$70,0))=TRUE,MATCH("7200447*",$A$3:$A$70,0),MATCH("720G4IF*",$A$3:$A$70,0))),$AW$8,2),"")</f>
        <v/>
      </c>
      <c r="K621" s="42" t="str" cm="1">
        <f t="array" ref="K621">_xlfn.IFNA(MID(INDEX($A$3:$A$70,IF(ISNA(MATCH("720G4IF*",$A$3:$A$70,0))=TRUE,MATCH("7200447*",$A$3:$A$70,0),MATCH("720G4IF*",$A$3:$A$70,0))),$AX$8,2),"")</f>
        <v/>
      </c>
      <c r="L621" s="43" t="str" cm="1">
        <f t="array" ref="L621">_xlfn.IFNA(MID(INDEX($A$3:$A$70,IF(ISNA(MATCH("720G4IF*",$A$3:$A$70,0))=TRUE,MATCH("7200447*",$A$3:$A$70,0),MATCH("720G4IF*",$A$3:$A$70,0))),$AY$8,2),"")</f>
        <v/>
      </c>
      <c r="M621" s="44" t="str" cm="1">
        <f t="array" ref="M621">_xlfn.IFNA(MID(INDEX($A$3:$A$70,IF(ISNA(MATCH("720G4IF*",$A$3:$A$70,0))=TRUE,MATCH("7200447*",$A$3:$A$70,0),MATCH("720G4IF*",$A$3:$A$70,0))),$AZ$8,2),"")</f>
        <v/>
      </c>
      <c r="N621" s="8" t="s">
        <v>60</v>
      </c>
      <c r="P621" s="19" t="s">
        <v>60</v>
      </c>
      <c r="Q621" s="20" t="s">
        <v>61</v>
      </c>
      <c r="R621" t="s">
        <v>62</v>
      </c>
      <c r="S621" s="8"/>
      <c r="T621" s="19" t="s">
        <v>60</v>
      </c>
      <c r="U621" s="20" t="s">
        <v>61</v>
      </c>
      <c r="V621" t="s">
        <v>62</v>
      </c>
      <c r="W621" s="8"/>
      <c r="X621" s="394"/>
      <c r="Y621" s="395"/>
      <c r="Z621" s="395"/>
      <c r="AA621" s="396"/>
      <c r="AB621" s="394"/>
      <c r="AC621" s="395"/>
      <c r="AD621" s="395"/>
      <c r="AE621" s="396"/>
      <c r="AF621" s="19" t="s">
        <v>60</v>
      </c>
      <c r="AG621" s="20" t="s">
        <v>61</v>
      </c>
      <c r="AH621" t="s">
        <v>62</v>
      </c>
      <c r="AJ621" s="394" t="s">
        <v>63</v>
      </c>
      <c r="AK621" s="396"/>
      <c r="AL621" s="501"/>
    </row>
    <row r="622" spans="3:38" x14ac:dyDescent="0.3">
      <c r="C622" s="7" t="s">
        <v>64</v>
      </c>
      <c r="D622" s="99" t="str">
        <f>HEX2BIN(D621,8)</f>
        <v>00000000</v>
      </c>
      <c r="E622" s="99" t="str">
        <f t="shared" ref="E622:L622" si="560">HEX2BIN(E621,8)</f>
        <v>00000000</v>
      </c>
      <c r="F622" s="99" t="str">
        <f t="shared" si="560"/>
        <v>00000000</v>
      </c>
      <c r="G622" s="99" t="str">
        <f t="shared" si="560"/>
        <v>00000000</v>
      </c>
      <c r="H622" s="99" t="str">
        <f t="shared" si="560"/>
        <v>00000000</v>
      </c>
      <c r="I622" s="99" t="str">
        <f t="shared" si="560"/>
        <v>00000000</v>
      </c>
      <c r="J622" s="99" t="str">
        <f t="shared" si="560"/>
        <v>00000000</v>
      </c>
      <c r="K622" s="99" t="str">
        <f t="shared" si="560"/>
        <v>00000000</v>
      </c>
      <c r="L622" s="99" t="str">
        <f t="shared" si="560"/>
        <v>00000000</v>
      </c>
      <c r="N622" s="8"/>
      <c r="P622" s="21" t="str">
        <f>MID(H622,1,1)</f>
        <v>0</v>
      </c>
      <c r="Q622" s="26" t="str">
        <f>P622</f>
        <v>0</v>
      </c>
      <c r="R622" s="7" t="s">
        <v>65</v>
      </c>
      <c r="S622" s="8" t="s">
        <v>66</v>
      </c>
      <c r="T622" s="21" t="str">
        <f>MID(I622,1,1)</f>
        <v>0</v>
      </c>
      <c r="U622" s="26" t="str">
        <f>T622</f>
        <v>0</v>
      </c>
      <c r="V622" s="7" t="s">
        <v>65</v>
      </c>
      <c r="W622" s="8" t="s">
        <v>66</v>
      </c>
      <c r="X622" s="400"/>
      <c r="Y622" s="381"/>
      <c r="Z622" s="381"/>
      <c r="AA622" s="401"/>
      <c r="AB622" s="400"/>
      <c r="AC622" s="381"/>
      <c r="AD622" s="381"/>
      <c r="AE622" s="401"/>
      <c r="AF622" s="21" t="str">
        <f>MID(L622,1,1)</f>
        <v>0</v>
      </c>
      <c r="AG622" s="26" t="str">
        <f>AF622</f>
        <v>0</v>
      </c>
      <c r="AH622" s="7" t="s">
        <v>65</v>
      </c>
      <c r="AI622" s="8" t="s">
        <v>66</v>
      </c>
      <c r="AJ622" s="400"/>
      <c r="AK622" s="401"/>
      <c r="AL622" s="501"/>
    </row>
    <row r="623" spans="3:38" x14ac:dyDescent="0.3">
      <c r="C623" s="7" t="s">
        <v>67</v>
      </c>
      <c r="D623" s="99">
        <f>HEX2DEC(D621)</f>
        <v>0</v>
      </c>
      <c r="E623" s="99">
        <f t="shared" ref="E623:L623" si="561">HEX2DEC(E621)</f>
        <v>0</v>
      </c>
      <c r="F623" s="99">
        <f t="shared" si="561"/>
        <v>0</v>
      </c>
      <c r="G623" s="99">
        <f t="shared" si="561"/>
        <v>0</v>
      </c>
      <c r="H623" s="99">
        <f t="shared" si="561"/>
        <v>0</v>
      </c>
      <c r="I623" s="99">
        <f t="shared" si="561"/>
        <v>0</v>
      </c>
      <c r="J623" s="99">
        <f t="shared" si="561"/>
        <v>0</v>
      </c>
      <c r="K623" s="99">
        <f t="shared" si="561"/>
        <v>0</v>
      </c>
      <c r="L623" s="99">
        <f t="shared" si="561"/>
        <v>0</v>
      </c>
      <c r="M623" s="99">
        <f>SUM(D623:L623)</f>
        <v>0</v>
      </c>
      <c r="N623" s="8"/>
      <c r="P623" s="21" t="str">
        <f>MID(H622,2,1)</f>
        <v>0</v>
      </c>
      <c r="Q623" s="26" t="str">
        <f t="shared" ref="Q623:Q629" si="562">P623</f>
        <v>0</v>
      </c>
      <c r="R623" s="7" t="s">
        <v>68</v>
      </c>
      <c r="S623" s="8" t="s">
        <v>66</v>
      </c>
      <c r="T623" s="21" t="str">
        <f>MID(I622,2,1)</f>
        <v>0</v>
      </c>
      <c r="U623" s="26" t="str">
        <f t="shared" ref="U623:U629" si="563">T623</f>
        <v>0</v>
      </c>
      <c r="V623" s="7" t="s">
        <v>68</v>
      </c>
      <c r="W623" s="8" t="s">
        <v>66</v>
      </c>
      <c r="X623" s="400"/>
      <c r="Y623" s="381"/>
      <c r="Z623" s="381"/>
      <c r="AA623" s="401"/>
      <c r="AB623" s="400"/>
      <c r="AC623" s="381"/>
      <c r="AD623" s="381"/>
      <c r="AE623" s="401"/>
      <c r="AF623" s="21" t="str">
        <f>MID(L622,2,1)</f>
        <v>0</v>
      </c>
      <c r="AG623" s="26" t="str">
        <f t="shared" ref="AG623:AG629" si="564">AF623</f>
        <v>0</v>
      </c>
      <c r="AH623" s="7" t="s">
        <v>68</v>
      </c>
      <c r="AI623" s="8" t="s">
        <v>66</v>
      </c>
      <c r="AJ623" s="400"/>
      <c r="AK623" s="401"/>
      <c r="AL623" s="501"/>
    </row>
    <row r="624" spans="3:38" x14ac:dyDescent="0.3">
      <c r="C624" s="7" t="s">
        <v>1678</v>
      </c>
      <c r="D624" s="333" t="str">
        <f>D621</f>
        <v/>
      </c>
      <c r="E624" s="333" t="str">
        <f>E621</f>
        <v/>
      </c>
      <c r="F624" s="99" t="str">
        <f>_xlfn.IFNA(MID(INDEX($A$3:$A$70,IF(ISNA(MATCH("720G4IF*",$A$3:$A$70,0))=TRUE,MATCH("7200447*",$A$3:$A$70,0),MATCH("720G4IF*",$A$3:$A$70,0))),$AS$8,2),"")</f>
        <v/>
      </c>
      <c r="G624" s="99" t="str">
        <f>_xlfn.IFNA(MID(INDEX($A$3:$A$70,IF(ISNA(MATCH("720G4IF*",$A$3:$A$70,0))=TRUE,MATCH("7200447*",$A$3:$A$70,0),MATCH("720G4IF*",$A$3:$A$70,0))),$AT$8,2),"")</f>
        <v/>
      </c>
      <c r="N624" s="8"/>
      <c r="P624" s="21" t="str">
        <f>MID(H622,3,1)</f>
        <v>0</v>
      </c>
      <c r="Q624" s="26" t="str">
        <f t="shared" si="562"/>
        <v>0</v>
      </c>
      <c r="R624" s="7" t="s">
        <v>69</v>
      </c>
      <c r="S624" s="8" t="s">
        <v>66</v>
      </c>
      <c r="T624" s="21" t="str">
        <f>MID(I622,3,1)</f>
        <v>0</v>
      </c>
      <c r="U624" s="26" t="str">
        <f t="shared" si="563"/>
        <v>0</v>
      </c>
      <c r="V624" s="7" t="s">
        <v>69</v>
      </c>
      <c r="W624" s="8" t="s">
        <v>66</v>
      </c>
      <c r="X624" s="400"/>
      <c r="Y624" s="381"/>
      <c r="Z624" s="381"/>
      <c r="AA624" s="401"/>
      <c r="AB624" s="400"/>
      <c r="AC624" s="381"/>
      <c r="AD624" s="381"/>
      <c r="AE624" s="401"/>
      <c r="AF624" s="21" t="str">
        <f>MID(L622,3,1)</f>
        <v>0</v>
      </c>
      <c r="AG624" s="26" t="str">
        <f t="shared" si="564"/>
        <v>0</v>
      </c>
      <c r="AH624" s="7" t="s">
        <v>69</v>
      </c>
      <c r="AI624" s="8" t="s">
        <v>66</v>
      </c>
      <c r="AJ624" s="400"/>
      <c r="AK624" s="401"/>
      <c r="AL624" s="501"/>
    </row>
    <row r="625" spans="3:38" ht="15" thickBot="1" x14ac:dyDescent="0.35">
      <c r="C625" s="7"/>
      <c r="N625" s="8"/>
      <c r="P625" s="21" t="str">
        <f>MID(H622,4,1)</f>
        <v>0</v>
      </c>
      <c r="Q625" s="26" t="str">
        <f t="shared" si="562"/>
        <v>0</v>
      </c>
      <c r="R625" s="7" t="s">
        <v>70</v>
      </c>
      <c r="S625" s="8" t="s">
        <v>66</v>
      </c>
      <c r="T625" s="21" t="str">
        <f>MID(I622,4,1)</f>
        <v>0</v>
      </c>
      <c r="U625" s="26" t="str">
        <f t="shared" si="563"/>
        <v>0</v>
      </c>
      <c r="V625" s="7" t="s">
        <v>70</v>
      </c>
      <c r="W625" s="8" t="s">
        <v>66</v>
      </c>
      <c r="X625" s="400"/>
      <c r="Y625" s="381"/>
      <c r="Z625" s="381"/>
      <c r="AA625" s="401"/>
      <c r="AB625" s="400"/>
      <c r="AC625" s="381"/>
      <c r="AD625" s="381"/>
      <c r="AE625" s="401"/>
      <c r="AF625" s="21" t="str">
        <f>MID(L622,4,1)</f>
        <v>0</v>
      </c>
      <c r="AG625" s="26" t="str">
        <f t="shared" si="564"/>
        <v>0</v>
      </c>
      <c r="AH625" s="7" t="s">
        <v>70</v>
      </c>
      <c r="AI625" s="8" t="s">
        <v>66</v>
      </c>
      <c r="AJ625" s="400"/>
      <c r="AK625" s="401"/>
      <c r="AL625" s="501"/>
    </row>
    <row r="626" spans="3:38" ht="15" thickBot="1" x14ac:dyDescent="0.35">
      <c r="C626" s="7" t="s">
        <v>56</v>
      </c>
      <c r="D626" s="15" t="str">
        <f>D621</f>
        <v/>
      </c>
      <c r="E626" s="16" t="str">
        <f>E621</f>
        <v/>
      </c>
      <c r="F626" s="16" t="str">
        <f>F621</f>
        <v/>
      </c>
      <c r="G626" s="17" t="str">
        <f>G621</f>
        <v/>
      </c>
      <c r="H626" s="23" t="str">
        <f>IF(J412="","",BIN2HEX(H627,2))</f>
        <v/>
      </c>
      <c r="I626" s="25" t="str">
        <f>IF(J412="","",BIN2HEX(I627,2))</f>
        <v/>
      </c>
      <c r="J626" s="48" t="str">
        <f>J621</f>
        <v/>
      </c>
      <c r="K626" s="47" t="str">
        <f>K621</f>
        <v/>
      </c>
      <c r="L626" s="18" t="str">
        <f>IF(J412="","",BIN2HEX(L627,2))</f>
        <v/>
      </c>
      <c r="M626" s="3" t="str">
        <f>IF(J412="","",IF(LEN(M627)&gt;2,MID(M627,2,2),M627))</f>
        <v/>
      </c>
      <c r="N626" s="8" t="s">
        <v>61</v>
      </c>
      <c r="P626" s="21" t="str">
        <f>MID(H622,5,1)</f>
        <v>0</v>
      </c>
      <c r="Q626" s="26" t="str">
        <f t="shared" si="562"/>
        <v>0</v>
      </c>
      <c r="R626" s="7" t="s">
        <v>71</v>
      </c>
      <c r="S626" s="8" t="s">
        <v>66</v>
      </c>
      <c r="T626" s="21" t="str">
        <f>MID(I622,5,1)</f>
        <v>0</v>
      </c>
      <c r="U626" s="26" t="str">
        <f t="shared" si="563"/>
        <v>0</v>
      </c>
      <c r="V626" s="7" t="s">
        <v>71</v>
      </c>
      <c r="W626" s="8" t="s">
        <v>66</v>
      </c>
      <c r="X626" s="400"/>
      <c r="Y626" s="381"/>
      <c r="Z626" s="381"/>
      <c r="AA626" s="401"/>
      <c r="AB626" s="400"/>
      <c r="AC626" s="381"/>
      <c r="AD626" s="381"/>
      <c r="AE626" s="401"/>
      <c r="AF626" s="21" t="str">
        <f>MID(L622,5,1)</f>
        <v>0</v>
      </c>
      <c r="AG626" s="26" t="str">
        <f t="shared" si="564"/>
        <v>0</v>
      </c>
      <c r="AH626" s="7" t="s">
        <v>71</v>
      </c>
      <c r="AI626" s="8" t="s">
        <v>66</v>
      </c>
      <c r="AJ626" s="400"/>
      <c r="AK626" s="401"/>
      <c r="AL626" s="501"/>
    </row>
    <row r="627" spans="3:38" x14ac:dyDescent="0.3">
      <c r="C627" s="7" t="s">
        <v>64</v>
      </c>
      <c r="D627" s="99" t="str">
        <f>HEX2BIN(D626,8)</f>
        <v>00000000</v>
      </c>
      <c r="E627" s="99" t="str">
        <f t="shared" ref="E627:G627" si="565">HEX2BIN(E626,8)</f>
        <v>00000000</v>
      </c>
      <c r="F627" s="99" t="str">
        <f t="shared" si="565"/>
        <v>00000000</v>
      </c>
      <c r="G627" s="99" t="str">
        <f t="shared" si="565"/>
        <v>00000000</v>
      </c>
      <c r="H627" s="29" t="str">
        <f>Q622&amp;Q623&amp;Q624&amp;Q625&amp;Q626&amp;Q627&amp;Q628&amp;Q629</f>
        <v>00000000</v>
      </c>
      <c r="I627" s="99" t="str">
        <f>U622&amp;U623&amp;U624&amp;U625&amp;U626&amp;U627&amp;U628&amp;U629</f>
        <v>00000000</v>
      </c>
      <c r="J627" s="29"/>
      <c r="K627" s="29"/>
      <c r="L627" s="99" t="str">
        <f>AG622&amp;AG623&amp;AG624&amp;AG625&amp;AG626&amp;AG627&amp;AG628&amp;AG629</f>
        <v>00000000</v>
      </c>
      <c r="M627" s="99" t="str">
        <f>DEC2HEX(M628)</f>
        <v>0</v>
      </c>
      <c r="N627" s="8"/>
      <c r="P627" s="21" t="str">
        <f>MID(H622,6,1)</f>
        <v>0</v>
      </c>
      <c r="Q627" s="26" t="str">
        <f t="shared" si="562"/>
        <v>0</v>
      </c>
      <c r="R627" s="7" t="s">
        <v>72</v>
      </c>
      <c r="S627" s="8" t="s">
        <v>66</v>
      </c>
      <c r="T627" s="21" t="str">
        <f>MID(I622,6,1)</f>
        <v>0</v>
      </c>
      <c r="U627" s="26" t="str">
        <f t="shared" si="563"/>
        <v>0</v>
      </c>
      <c r="V627" s="7" t="s">
        <v>72</v>
      </c>
      <c r="W627" s="8" t="s">
        <v>66</v>
      </c>
      <c r="X627" s="400"/>
      <c r="Y627" s="381"/>
      <c r="Z627" s="381"/>
      <c r="AA627" s="401"/>
      <c r="AB627" s="400"/>
      <c r="AC627" s="381"/>
      <c r="AD627" s="381"/>
      <c r="AE627" s="401"/>
      <c r="AF627" s="21" t="str">
        <f>MID(L622,6,1)</f>
        <v>0</v>
      </c>
      <c r="AG627" s="26" t="str">
        <f t="shared" si="564"/>
        <v>0</v>
      </c>
      <c r="AH627" s="7" t="s">
        <v>72</v>
      </c>
      <c r="AI627" s="8" t="s">
        <v>66</v>
      </c>
      <c r="AJ627" s="400"/>
      <c r="AK627" s="401"/>
      <c r="AL627" s="501"/>
    </row>
    <row r="628" spans="3:38" x14ac:dyDescent="0.3">
      <c r="C628" s="7" t="s">
        <v>67</v>
      </c>
      <c r="D628" s="99">
        <f>HEX2DEC(D626)</f>
        <v>0</v>
      </c>
      <c r="E628" s="99">
        <f t="shared" ref="E628:L628" si="566">HEX2DEC(E626)</f>
        <v>0</v>
      </c>
      <c r="F628" s="99">
        <f t="shared" si="566"/>
        <v>0</v>
      </c>
      <c r="G628" s="99">
        <f t="shared" si="566"/>
        <v>0</v>
      </c>
      <c r="H628" s="99">
        <f t="shared" si="566"/>
        <v>0</v>
      </c>
      <c r="I628" s="99">
        <f t="shared" si="566"/>
        <v>0</v>
      </c>
      <c r="J628" s="99">
        <f t="shared" si="566"/>
        <v>0</v>
      </c>
      <c r="K628" s="99">
        <f t="shared" si="566"/>
        <v>0</v>
      </c>
      <c r="L628" s="99">
        <f t="shared" si="566"/>
        <v>0</v>
      </c>
      <c r="M628" s="99">
        <f>SUM(D628:L628)</f>
        <v>0</v>
      </c>
      <c r="N628" s="8"/>
      <c r="P628" s="21" t="str">
        <f>MID(H622,7,1)</f>
        <v>0</v>
      </c>
      <c r="Q628" s="26" t="str">
        <f t="shared" si="562"/>
        <v>0</v>
      </c>
      <c r="R628" s="7" t="s">
        <v>73</v>
      </c>
      <c r="S628" s="8" t="s">
        <v>66</v>
      </c>
      <c r="T628" s="21" t="str">
        <f>MID(I622,7,1)</f>
        <v>0</v>
      </c>
      <c r="U628" s="26" t="str">
        <f t="shared" si="563"/>
        <v>0</v>
      </c>
      <c r="V628" s="7" t="s">
        <v>73</v>
      </c>
      <c r="W628" s="8" t="s">
        <v>66</v>
      </c>
      <c r="X628" s="400"/>
      <c r="Y628" s="381"/>
      <c r="Z628" s="381"/>
      <c r="AA628" s="401"/>
      <c r="AB628" s="400"/>
      <c r="AC628" s="381"/>
      <c r="AD628" s="381"/>
      <c r="AE628" s="401"/>
      <c r="AF628" s="21" t="str">
        <f>MID(L622,7,1)</f>
        <v>0</v>
      </c>
      <c r="AG628" s="26" t="str">
        <f t="shared" si="564"/>
        <v>0</v>
      </c>
      <c r="AH628" s="7" t="s">
        <v>73</v>
      </c>
      <c r="AI628" s="8" t="s">
        <v>66</v>
      </c>
      <c r="AJ628" s="400"/>
      <c r="AK628" s="401"/>
      <c r="AL628" s="501"/>
    </row>
    <row r="629" spans="3:38" ht="15" thickBot="1" x14ac:dyDescent="0.35">
      <c r="C629" s="9" t="s">
        <v>1678</v>
      </c>
      <c r="D629" s="334" t="str">
        <f>D624</f>
        <v/>
      </c>
      <c r="E629" s="334" t="str">
        <f t="shared" ref="E629:G629" si="567">E624</f>
        <v/>
      </c>
      <c r="F629" s="334" t="str">
        <f t="shared" si="567"/>
        <v/>
      </c>
      <c r="G629" s="334" t="str">
        <f t="shared" si="567"/>
        <v/>
      </c>
      <c r="H629" s="10"/>
      <c r="I629" s="10"/>
      <c r="J629" s="10"/>
      <c r="K629" s="10"/>
      <c r="L629" s="10"/>
      <c r="M629" s="10"/>
      <c r="N629" s="11"/>
      <c r="P629" s="22" t="str">
        <f>MID(H622,8,1)</f>
        <v>0</v>
      </c>
      <c r="Q629" s="55" t="str">
        <f t="shared" si="562"/>
        <v>0</v>
      </c>
      <c r="R629" s="9" t="s">
        <v>74</v>
      </c>
      <c r="S629" s="11" t="s">
        <v>66</v>
      </c>
      <c r="T629" s="22" t="str">
        <f>MID(I622,8,1)</f>
        <v>0</v>
      </c>
      <c r="U629" s="55" t="str">
        <f t="shared" si="563"/>
        <v>0</v>
      </c>
      <c r="V629" s="9" t="s">
        <v>74</v>
      </c>
      <c r="W629" s="11" t="s">
        <v>66</v>
      </c>
      <c r="X629" s="402"/>
      <c r="Y629" s="403"/>
      <c r="Z629" s="403"/>
      <c r="AA629" s="404"/>
      <c r="AB629" s="402"/>
      <c r="AC629" s="403"/>
      <c r="AD629" s="403"/>
      <c r="AE629" s="404"/>
      <c r="AF629" s="22" t="str">
        <f>MID(L622,8,1)</f>
        <v>0</v>
      </c>
      <c r="AG629" s="55" t="str">
        <f t="shared" si="564"/>
        <v>0</v>
      </c>
      <c r="AH629" s="9" t="s">
        <v>74</v>
      </c>
      <c r="AI629" s="11" t="s">
        <v>66</v>
      </c>
      <c r="AJ629" s="402"/>
      <c r="AK629" s="404"/>
      <c r="AL629" s="501"/>
    </row>
    <row r="630" spans="3:38" ht="15" thickBot="1" x14ac:dyDescent="0.35">
      <c r="C630" s="4"/>
      <c r="D630" s="5"/>
      <c r="E630" s="5"/>
      <c r="F630" s="5"/>
      <c r="G630" s="5"/>
      <c r="H630" s="5"/>
      <c r="I630" s="5"/>
      <c r="J630" s="5"/>
      <c r="K630" s="5"/>
      <c r="L630" s="5"/>
      <c r="M630" s="5" t="s">
        <v>41</v>
      </c>
      <c r="N630" s="6"/>
      <c r="P630" s="530" t="s">
        <v>1828</v>
      </c>
      <c r="Q630" s="530"/>
      <c r="R630" s="530"/>
      <c r="S630" s="530"/>
      <c r="T630" s="530"/>
      <c r="U630" s="530"/>
      <c r="V630" s="530"/>
      <c r="W630" s="530"/>
      <c r="X630" s="530"/>
      <c r="Y630" s="530"/>
      <c r="Z630" s="530"/>
      <c r="AA630" s="530"/>
      <c r="AB630" s="530"/>
      <c r="AC630" s="530"/>
      <c r="AD630" s="530"/>
      <c r="AE630" s="530"/>
      <c r="AF630" s="530"/>
      <c r="AG630" s="530"/>
      <c r="AH630" s="530"/>
      <c r="AI630" s="530"/>
      <c r="AJ630" s="530"/>
      <c r="AK630" s="530"/>
      <c r="AL630" s="501"/>
    </row>
    <row r="631" spans="3:38" ht="15" thickBot="1" x14ac:dyDescent="0.35">
      <c r="C631" s="7"/>
      <c r="D631" s="393" t="s">
        <v>1535</v>
      </c>
      <c r="E631" s="393"/>
      <c r="F631" s="393"/>
      <c r="G631" s="393"/>
      <c r="H631" s="99" t="s">
        <v>44</v>
      </c>
      <c r="I631" s="99" t="s">
        <v>45</v>
      </c>
      <c r="J631" s="99" t="s">
        <v>46</v>
      </c>
      <c r="K631" s="99" t="s">
        <v>47</v>
      </c>
      <c r="L631" s="99" t="s">
        <v>48</v>
      </c>
      <c r="M631" s="99" t="s">
        <v>49</v>
      </c>
      <c r="N631" s="8"/>
      <c r="P631" s="394" t="s">
        <v>50</v>
      </c>
      <c r="Q631" s="395"/>
      <c r="R631" s="395"/>
      <c r="S631" s="396"/>
      <c r="T631" s="394" t="s">
        <v>51</v>
      </c>
      <c r="U631" s="395"/>
      <c r="V631" s="395"/>
      <c r="W631" s="396"/>
      <c r="X631" s="394" t="s">
        <v>52</v>
      </c>
      <c r="Y631" s="395"/>
      <c r="Z631" s="395"/>
      <c r="AA631" s="396"/>
      <c r="AB631" s="394" t="s">
        <v>53</v>
      </c>
      <c r="AC631" s="395"/>
      <c r="AD631" s="395"/>
      <c r="AE631" s="396"/>
      <c r="AF631" s="394" t="s">
        <v>97</v>
      </c>
      <c r="AG631" s="395"/>
      <c r="AH631" s="395"/>
      <c r="AI631" s="396"/>
      <c r="AJ631" s="394" t="s">
        <v>55</v>
      </c>
      <c r="AK631" s="396"/>
      <c r="AL631" s="501"/>
    </row>
    <row r="632" spans="3:38" ht="15" thickBot="1" x14ac:dyDescent="0.35">
      <c r="C632" s="7" t="s">
        <v>56</v>
      </c>
      <c r="D632" s="12" t="str">
        <f>IF(J412="","",7)</f>
        <v/>
      </c>
      <c r="E632" s="13" t="str">
        <f>IF(J412="","",20)</f>
        <v/>
      </c>
      <c r="F632" s="13" t="str">
        <f>IF(J412="","",4)</f>
        <v/>
      </c>
      <c r="G632" s="14" t="str">
        <f>IF(J412="","",48)</f>
        <v/>
      </c>
      <c r="H632" s="41" t="str" cm="1">
        <f t="array" ref="H632">_xlfn.IFNA(MID(INDEX($A$3:$A$70,IF(ISNA(MATCH("720G4J0*",$A$3:$A$70,0))=TRUE,MATCH("7200448*",$A$3:$A$70,0),MATCH("720G4J0*",$A$3:$A$70,0))),$AU$8,2),"")</f>
        <v/>
      </c>
      <c r="I632" s="42" t="str" cm="1">
        <f t="array" ref="I632">_xlfn.IFNA(MID(INDEX($A$3:$A$70,IF(ISNA(MATCH("720G4J0*",$A$3:$A$70,0))=TRUE,MATCH("7200448*",$A$3:$A$70,0),MATCH("720G4J0*",$A$3:$A$70,0))),$AV$8,2),"")</f>
        <v/>
      </c>
      <c r="J632" s="24" t="str" cm="1">
        <f t="array" ref="J632">_xlfn.IFNA(MID(INDEX($A$3:$A$70,IF(ISNA(MATCH("720G4J0*",$A$3:$A$70,0))=TRUE,MATCH("7200448*",$A$3:$A$70,0),MATCH("720G4J0*",$A$3:$A$70,0))),$AW$8,2),"")</f>
        <v/>
      </c>
      <c r="K632" s="42" t="str" cm="1">
        <f t="array" ref="K632">_xlfn.IFNA(MID(INDEX($A$3:$A$70,IF(ISNA(MATCH("720G4J0*",$A$3:$A$70,0))=TRUE,MATCH("7200448*",$A$3:$A$70,0),MATCH("720G4J0*",$A$3:$A$70,0))),$AX$8,2),"")</f>
        <v/>
      </c>
      <c r="L632" s="43" t="str" cm="1">
        <f t="array" ref="L632">_xlfn.IFNA(MID(INDEX($A$3:$A$70,IF(ISNA(MATCH("720G4J0*",$A$3:$A$70,0))=TRUE,MATCH("7200448*",$A$3:$A$70,0),MATCH("720G4J0*",$A$3:$A$70,0))),$AY$8,2),"")</f>
        <v/>
      </c>
      <c r="M632" s="44" t="str" cm="1">
        <f t="array" ref="M632">_xlfn.IFNA(MID(INDEX($A$3:$A$70,IF(ISNA(MATCH("720G4J0*",$A$3:$A$70,0))=TRUE,MATCH("7200448*",$A$3:$A$70,0),MATCH("720G4J0*",$A$3:$A$70,0))),$AZ$8,2),"")</f>
        <v/>
      </c>
      <c r="N632" s="8" t="s">
        <v>60</v>
      </c>
      <c r="P632" s="19" t="s">
        <v>60</v>
      </c>
      <c r="Q632" s="20" t="s">
        <v>61</v>
      </c>
      <c r="R632" t="s">
        <v>62</v>
      </c>
      <c r="S632" s="8"/>
      <c r="T632" s="19" t="s">
        <v>60</v>
      </c>
      <c r="U632" s="20" t="s">
        <v>61</v>
      </c>
      <c r="V632" t="s">
        <v>62</v>
      </c>
      <c r="W632" s="8"/>
      <c r="X632" s="19" t="s">
        <v>60</v>
      </c>
      <c r="Y632" s="20" t="s">
        <v>61</v>
      </c>
      <c r="Z632" t="s">
        <v>62</v>
      </c>
      <c r="AA632" s="8"/>
      <c r="AB632" s="19" t="s">
        <v>60</v>
      </c>
      <c r="AC632" s="20" t="s">
        <v>61</v>
      </c>
      <c r="AD632" t="s">
        <v>62</v>
      </c>
      <c r="AE632" s="8"/>
      <c r="AF632" s="19" t="s">
        <v>60</v>
      </c>
      <c r="AG632" s="20" t="s">
        <v>61</v>
      </c>
      <c r="AH632" t="s">
        <v>62</v>
      </c>
      <c r="AJ632" s="394" t="s">
        <v>63</v>
      </c>
      <c r="AK632" s="396"/>
      <c r="AL632" s="501"/>
    </row>
    <row r="633" spans="3:38" x14ac:dyDescent="0.3">
      <c r="C633" s="7" t="s">
        <v>64</v>
      </c>
      <c r="D633" s="99" t="str">
        <f>HEX2BIN(D632,8)</f>
        <v>00000000</v>
      </c>
      <c r="E633" s="99" t="str">
        <f t="shared" ref="E633:L633" si="568">HEX2BIN(E632,8)</f>
        <v>00000000</v>
      </c>
      <c r="F633" s="99" t="str">
        <f t="shared" si="568"/>
        <v>00000000</v>
      </c>
      <c r="G633" s="99" t="str">
        <f t="shared" si="568"/>
        <v>00000000</v>
      </c>
      <c r="H633" s="99" t="str">
        <f t="shared" si="568"/>
        <v>00000000</v>
      </c>
      <c r="I633" s="99" t="str">
        <f t="shared" si="568"/>
        <v>00000000</v>
      </c>
      <c r="J633" s="99" t="str">
        <f t="shared" si="568"/>
        <v>00000000</v>
      </c>
      <c r="K633" s="99" t="str">
        <f t="shared" si="568"/>
        <v>00000000</v>
      </c>
      <c r="L633" s="99" t="str">
        <f t="shared" si="568"/>
        <v>00000000</v>
      </c>
      <c r="N633" s="8"/>
      <c r="P633" s="21" t="str">
        <f>MID(H633,1,1)</f>
        <v>0</v>
      </c>
      <c r="Q633" s="26" t="str">
        <f>P633</f>
        <v>0</v>
      </c>
      <c r="R633" s="7" t="s">
        <v>65</v>
      </c>
      <c r="S633" s="8" t="s">
        <v>66</v>
      </c>
      <c r="T633" s="21" t="str">
        <f>MID(I633,1,1)</f>
        <v>0</v>
      </c>
      <c r="U633" s="26" t="str">
        <f>T633</f>
        <v>0</v>
      </c>
      <c r="V633" s="7" t="s">
        <v>65</v>
      </c>
      <c r="W633" s="8" t="s">
        <v>66</v>
      </c>
      <c r="X633" s="21" t="str">
        <f>MID(J633,1,1)</f>
        <v>0</v>
      </c>
      <c r="Y633" s="26" t="str">
        <f>X633</f>
        <v>0</v>
      </c>
      <c r="Z633" s="7" t="s">
        <v>65</v>
      </c>
      <c r="AA633" s="8" t="s">
        <v>66</v>
      </c>
      <c r="AB633" s="21" t="str">
        <f>MID(K633,1,1)</f>
        <v>0</v>
      </c>
      <c r="AC633" s="26" t="str">
        <f>AB633</f>
        <v>0</v>
      </c>
      <c r="AD633" s="7" t="s">
        <v>65</v>
      </c>
      <c r="AE633" s="8" t="s">
        <v>66</v>
      </c>
      <c r="AF633" s="21" t="str">
        <f>MID(L633,1,1)</f>
        <v>0</v>
      </c>
      <c r="AG633" s="26" t="str">
        <f>AF633</f>
        <v>0</v>
      </c>
      <c r="AH633" s="7" t="s">
        <v>65</v>
      </c>
      <c r="AI633" s="8" t="s">
        <v>66</v>
      </c>
      <c r="AJ633" s="400"/>
      <c r="AK633" s="401"/>
      <c r="AL633" s="501"/>
    </row>
    <row r="634" spans="3:38" x14ac:dyDescent="0.3">
      <c r="C634" s="7" t="s">
        <v>67</v>
      </c>
      <c r="D634" s="99">
        <f>HEX2DEC(D632)</f>
        <v>0</v>
      </c>
      <c r="E634" s="99">
        <f t="shared" ref="E634:L634" si="569">HEX2DEC(E632)</f>
        <v>0</v>
      </c>
      <c r="F634" s="99">
        <f t="shared" si="569"/>
        <v>0</v>
      </c>
      <c r="G634" s="99">
        <f t="shared" si="569"/>
        <v>0</v>
      </c>
      <c r="H634" s="99">
        <f t="shared" si="569"/>
        <v>0</v>
      </c>
      <c r="I634" s="99">
        <f t="shared" si="569"/>
        <v>0</v>
      </c>
      <c r="J634" s="99">
        <f t="shared" si="569"/>
        <v>0</v>
      </c>
      <c r="K634" s="99">
        <f t="shared" si="569"/>
        <v>0</v>
      </c>
      <c r="L634" s="99">
        <f t="shared" si="569"/>
        <v>0</v>
      </c>
      <c r="M634" s="99">
        <f>SUM(D634:L634)</f>
        <v>0</v>
      </c>
      <c r="N634" s="8"/>
      <c r="P634" s="21" t="str">
        <f>MID(H633,2,1)</f>
        <v>0</v>
      </c>
      <c r="Q634" s="26" t="str">
        <f t="shared" ref="Q634:Q640" si="570">P634</f>
        <v>0</v>
      </c>
      <c r="R634" s="7" t="s">
        <v>68</v>
      </c>
      <c r="S634" s="8" t="s">
        <v>66</v>
      </c>
      <c r="T634" s="21" t="str">
        <f>MID(I633,2,1)</f>
        <v>0</v>
      </c>
      <c r="U634" s="26" t="str">
        <f t="shared" ref="U634:U640" si="571">T634</f>
        <v>0</v>
      </c>
      <c r="V634" s="7" t="s">
        <v>68</v>
      </c>
      <c r="W634" s="8" t="s">
        <v>66</v>
      </c>
      <c r="X634" s="21" t="str">
        <f>MID(J633,2,1)</f>
        <v>0</v>
      </c>
      <c r="Y634" s="26" t="str">
        <f t="shared" ref="Y634:Y640" si="572">X634</f>
        <v>0</v>
      </c>
      <c r="Z634" s="7" t="s">
        <v>68</v>
      </c>
      <c r="AA634" s="8" t="s">
        <v>66</v>
      </c>
      <c r="AB634" s="21" t="str">
        <f>MID(K633,2,1)</f>
        <v>0</v>
      </c>
      <c r="AC634" s="26" t="str">
        <f t="shared" ref="AC634:AC640" si="573">AB634</f>
        <v>0</v>
      </c>
      <c r="AD634" s="7" t="s">
        <v>68</v>
      </c>
      <c r="AE634" s="8" t="s">
        <v>66</v>
      </c>
      <c r="AF634" s="21" t="str">
        <f>MID(L633,2,1)</f>
        <v>0</v>
      </c>
      <c r="AG634" s="26" t="str">
        <f t="shared" ref="AG634:AG640" si="574">AF634</f>
        <v>0</v>
      </c>
      <c r="AH634" s="7" t="s">
        <v>68</v>
      </c>
      <c r="AI634" s="8" t="s">
        <v>66</v>
      </c>
      <c r="AJ634" s="400"/>
      <c r="AK634" s="401"/>
      <c r="AL634" s="501"/>
    </row>
    <row r="635" spans="3:38" x14ac:dyDescent="0.3">
      <c r="C635" s="7" t="s">
        <v>1678</v>
      </c>
      <c r="D635" s="333" t="str">
        <f>D632</f>
        <v/>
      </c>
      <c r="E635" s="333" t="str">
        <f>E632</f>
        <v/>
      </c>
      <c r="F635" s="99" t="str">
        <f>_xlfn.IFNA(MID(INDEX($A$3:$A$70,IF(ISNA(MATCH("720G4J0*",$A$3:$A$70,0))=TRUE,MATCH("7200448*",$A$3:$A$70,0),MATCH("720G4J0*",$A$3:$A$70,0))),$AS$8,2),"")</f>
        <v/>
      </c>
      <c r="G635" s="99" t="str">
        <f>_xlfn.IFNA(MID(INDEX($A$3:$A$70,IF(ISNA(MATCH("720G4J0*",$A$3:$A$70,0))=TRUE,MATCH("7200448*",$A$3:$A$70,0),MATCH("720G4J0*",$A$3:$A$70,0))),$AT$8,2),"")</f>
        <v/>
      </c>
      <c r="N635" s="8"/>
      <c r="P635" s="21" t="str">
        <f>MID(H633,3,1)</f>
        <v>0</v>
      </c>
      <c r="Q635" s="26" t="str">
        <f t="shared" si="570"/>
        <v>0</v>
      </c>
      <c r="R635" s="7" t="s">
        <v>69</v>
      </c>
      <c r="S635" s="8" t="s">
        <v>66</v>
      </c>
      <c r="T635" s="21" t="str">
        <f>MID(I633,3,1)</f>
        <v>0</v>
      </c>
      <c r="U635" s="26" t="str">
        <f t="shared" si="571"/>
        <v>0</v>
      </c>
      <c r="V635" s="7" t="s">
        <v>69</v>
      </c>
      <c r="W635" s="8" t="s">
        <v>66</v>
      </c>
      <c r="X635" s="21" t="str">
        <f>MID(J633,3,1)</f>
        <v>0</v>
      </c>
      <c r="Y635" s="26" t="str">
        <f t="shared" si="572"/>
        <v>0</v>
      </c>
      <c r="Z635" s="7" t="s">
        <v>69</v>
      </c>
      <c r="AA635" s="8" t="s">
        <v>66</v>
      </c>
      <c r="AB635" s="21" t="str">
        <f>MID(K633,3,1)</f>
        <v>0</v>
      </c>
      <c r="AC635" s="26" t="str">
        <f t="shared" si="573"/>
        <v>0</v>
      </c>
      <c r="AD635" s="7" t="s">
        <v>69</v>
      </c>
      <c r="AE635" s="8" t="s">
        <v>66</v>
      </c>
      <c r="AF635" s="21" t="str">
        <f>MID(L633,3,1)</f>
        <v>0</v>
      </c>
      <c r="AG635" s="26" t="str">
        <f t="shared" si="574"/>
        <v>0</v>
      </c>
      <c r="AH635" s="7" t="s">
        <v>69</v>
      </c>
      <c r="AI635" s="8" t="s">
        <v>66</v>
      </c>
      <c r="AJ635" s="400"/>
      <c r="AK635" s="401"/>
      <c r="AL635" s="501"/>
    </row>
    <row r="636" spans="3:38" ht="15" thickBot="1" x14ac:dyDescent="0.35">
      <c r="C636" s="7"/>
      <c r="N636" s="8"/>
      <c r="P636" s="21" t="str">
        <f>MID(H633,4,1)</f>
        <v>0</v>
      </c>
      <c r="Q636" s="26" t="str">
        <f t="shared" si="570"/>
        <v>0</v>
      </c>
      <c r="R636" s="7" t="s">
        <v>70</v>
      </c>
      <c r="S636" s="8" t="s">
        <v>66</v>
      </c>
      <c r="T636" s="21" t="str">
        <f>MID(I633,4,1)</f>
        <v>0</v>
      </c>
      <c r="U636" s="26" t="str">
        <f t="shared" si="571"/>
        <v>0</v>
      </c>
      <c r="V636" s="7" t="s">
        <v>70</v>
      </c>
      <c r="W636" s="8" t="s">
        <v>66</v>
      </c>
      <c r="X636" s="21" t="str">
        <f>MID(J633,4,1)</f>
        <v>0</v>
      </c>
      <c r="Y636" s="26" t="str">
        <f t="shared" si="572"/>
        <v>0</v>
      </c>
      <c r="Z636" s="7" t="s">
        <v>70</v>
      </c>
      <c r="AA636" s="8" t="s">
        <v>66</v>
      </c>
      <c r="AB636" s="21" t="str">
        <f>MID(K633,4,1)</f>
        <v>0</v>
      </c>
      <c r="AC636" s="26" t="str">
        <f t="shared" si="573"/>
        <v>0</v>
      </c>
      <c r="AD636" s="7" t="s">
        <v>70</v>
      </c>
      <c r="AE636" s="8" t="s">
        <v>66</v>
      </c>
      <c r="AF636" s="21" t="str">
        <f>MID(L633,4,1)</f>
        <v>0</v>
      </c>
      <c r="AG636" s="26" t="str">
        <f t="shared" si="574"/>
        <v>0</v>
      </c>
      <c r="AH636" s="7" t="s">
        <v>70</v>
      </c>
      <c r="AI636" s="8" t="s">
        <v>66</v>
      </c>
      <c r="AJ636" s="400"/>
      <c r="AK636" s="401"/>
      <c r="AL636" s="501"/>
    </row>
    <row r="637" spans="3:38" ht="15" thickBot="1" x14ac:dyDescent="0.35">
      <c r="C637" s="7" t="s">
        <v>56</v>
      </c>
      <c r="D637" s="15" t="str">
        <f>D632</f>
        <v/>
      </c>
      <c r="E637" s="16" t="str">
        <f>E632</f>
        <v/>
      </c>
      <c r="F637" s="16" t="str">
        <f>F632</f>
        <v/>
      </c>
      <c r="G637" s="17" t="str">
        <f>G632</f>
        <v/>
      </c>
      <c r="H637" s="23" t="str">
        <f>IF(J412="","",BIN2HEX(H638,2))</f>
        <v/>
      </c>
      <c r="I637" s="25" t="str">
        <f>IF(J412="","",BIN2HEX(I638,2))</f>
        <v/>
      </c>
      <c r="J637" s="24" t="str">
        <f>IF(J412="","",BIN2HEX(J638,2))</f>
        <v/>
      </c>
      <c r="K637" s="2" t="str">
        <f>IF(J412="","",BIN2HEX(K638,2))</f>
        <v/>
      </c>
      <c r="L637" s="18" t="str">
        <f>IF(J412="","",BIN2HEX(L638,2))</f>
        <v/>
      </c>
      <c r="M637" s="3" t="str">
        <f>IF(J412="","",IF(LEN(M638)&gt;2,MID(M638,2,2),M638))</f>
        <v/>
      </c>
      <c r="N637" s="8" t="s">
        <v>61</v>
      </c>
      <c r="P637" s="21" t="str">
        <f>MID(H633,5,1)</f>
        <v>0</v>
      </c>
      <c r="Q637" s="26" t="str">
        <f t="shared" si="570"/>
        <v>0</v>
      </c>
      <c r="R637" s="7" t="s">
        <v>71</v>
      </c>
      <c r="S637" s="8" t="s">
        <v>66</v>
      </c>
      <c r="T637" s="21" t="str">
        <f>MID(I633,5,1)</f>
        <v>0</v>
      </c>
      <c r="U637" s="26" t="str">
        <f t="shared" si="571"/>
        <v>0</v>
      </c>
      <c r="V637" s="7" t="s">
        <v>71</v>
      </c>
      <c r="W637" s="8" t="s">
        <v>66</v>
      </c>
      <c r="X637" s="21" t="str">
        <f>MID(J633,5,1)</f>
        <v>0</v>
      </c>
      <c r="Y637" s="26" t="str">
        <f t="shared" si="572"/>
        <v>0</v>
      </c>
      <c r="Z637" s="7" t="s">
        <v>71</v>
      </c>
      <c r="AA637" s="8" t="s">
        <v>66</v>
      </c>
      <c r="AB637" s="21" t="str">
        <f>MID(K633,5,1)</f>
        <v>0</v>
      </c>
      <c r="AC637" s="26" t="str">
        <f t="shared" si="573"/>
        <v>0</v>
      </c>
      <c r="AD637" s="7" t="s">
        <v>71</v>
      </c>
      <c r="AE637" s="8" t="s">
        <v>66</v>
      </c>
      <c r="AF637" s="21" t="str">
        <f>MID(L633,5,1)</f>
        <v>0</v>
      </c>
      <c r="AG637" s="26" t="str">
        <f t="shared" si="574"/>
        <v>0</v>
      </c>
      <c r="AH637" s="7" t="s">
        <v>71</v>
      </c>
      <c r="AI637" s="8" t="s">
        <v>66</v>
      </c>
      <c r="AJ637" s="400"/>
      <c r="AK637" s="401"/>
      <c r="AL637" s="501"/>
    </row>
    <row r="638" spans="3:38" x14ac:dyDescent="0.3">
      <c r="C638" s="7" t="s">
        <v>64</v>
      </c>
      <c r="D638" s="99" t="str">
        <f>HEX2BIN(D637,8)</f>
        <v>00000000</v>
      </c>
      <c r="E638" s="99" t="str">
        <f t="shared" ref="E638:G638" si="575">HEX2BIN(E637,8)</f>
        <v>00000000</v>
      </c>
      <c r="F638" s="99" t="str">
        <f t="shared" si="575"/>
        <v>00000000</v>
      </c>
      <c r="G638" s="99" t="str">
        <f t="shared" si="575"/>
        <v>00000000</v>
      </c>
      <c r="H638" s="29" t="str">
        <f>Q633&amp;Q634&amp;Q635&amp;Q636&amp;Q637&amp;Q638&amp;Q639&amp;Q640</f>
        <v>00000000</v>
      </c>
      <c r="I638" s="99" t="str">
        <f>U633&amp;U634&amp;U635&amp;U636&amp;U637&amp;U638&amp;U639&amp;U640</f>
        <v>00000000</v>
      </c>
      <c r="J638" s="29" t="str">
        <f>Y633&amp;Y634&amp;Y635&amp;Y636&amp;Y637&amp;Y638&amp;Y639&amp;Y640</f>
        <v>00000000</v>
      </c>
      <c r="K638" s="29" t="str">
        <f>AC633&amp;AC634&amp;AC635&amp;AC636&amp;AC637&amp;AC638&amp;AC639&amp;AC640</f>
        <v>00000000</v>
      </c>
      <c r="L638" s="99" t="str">
        <f>AG633&amp;AG634&amp;AG635&amp;AG636&amp;AG637&amp;AG638&amp;AG639&amp;AG640</f>
        <v>00000000</v>
      </c>
      <c r="M638" s="99" t="str">
        <f>DEC2HEX(M639)</f>
        <v>0</v>
      </c>
      <c r="N638" s="8"/>
      <c r="P638" s="21" t="str">
        <f>MID(H633,6,1)</f>
        <v>0</v>
      </c>
      <c r="Q638" s="26" t="str">
        <f t="shared" si="570"/>
        <v>0</v>
      </c>
      <c r="R638" s="7" t="s">
        <v>72</v>
      </c>
      <c r="S638" s="8" t="s">
        <v>66</v>
      </c>
      <c r="T638" s="21" t="str">
        <f>MID(I633,6,1)</f>
        <v>0</v>
      </c>
      <c r="U638" s="26" t="str">
        <f t="shared" si="571"/>
        <v>0</v>
      </c>
      <c r="V638" s="7" t="s">
        <v>72</v>
      </c>
      <c r="W638" s="8" t="s">
        <v>66</v>
      </c>
      <c r="X638" s="21" t="str">
        <f>MID(J633,6,1)</f>
        <v>0</v>
      </c>
      <c r="Y638" s="26" t="str">
        <f t="shared" si="572"/>
        <v>0</v>
      </c>
      <c r="Z638" s="7" t="s">
        <v>72</v>
      </c>
      <c r="AA638" s="8" t="s">
        <v>66</v>
      </c>
      <c r="AB638" s="21" t="str">
        <f>MID(K633,6,1)</f>
        <v>0</v>
      </c>
      <c r="AC638" s="26" t="str">
        <f t="shared" si="573"/>
        <v>0</v>
      </c>
      <c r="AD638" s="7" t="s">
        <v>72</v>
      </c>
      <c r="AE638" s="8" t="s">
        <v>66</v>
      </c>
      <c r="AF638" s="21" t="str">
        <f>MID(L633,6,1)</f>
        <v>0</v>
      </c>
      <c r="AG638" s="26" t="str">
        <f t="shared" si="574"/>
        <v>0</v>
      </c>
      <c r="AH638" s="7" t="s">
        <v>72</v>
      </c>
      <c r="AI638" s="8" t="s">
        <v>66</v>
      </c>
      <c r="AJ638" s="400"/>
      <c r="AK638" s="401"/>
      <c r="AL638" s="501"/>
    </row>
    <row r="639" spans="3:38" x14ac:dyDescent="0.3">
      <c r="C639" s="7" t="s">
        <v>67</v>
      </c>
      <c r="D639" s="99">
        <f>HEX2DEC(D637)</f>
        <v>0</v>
      </c>
      <c r="E639" s="99">
        <f t="shared" ref="E639:L639" si="576">HEX2DEC(E637)</f>
        <v>0</v>
      </c>
      <c r="F639" s="99">
        <f t="shared" si="576"/>
        <v>0</v>
      </c>
      <c r="G639" s="99">
        <f t="shared" si="576"/>
        <v>0</v>
      </c>
      <c r="H639" s="99">
        <f t="shared" si="576"/>
        <v>0</v>
      </c>
      <c r="I639" s="99">
        <f t="shared" si="576"/>
        <v>0</v>
      </c>
      <c r="J639" s="99">
        <f t="shared" si="576"/>
        <v>0</v>
      </c>
      <c r="K639" s="99">
        <f t="shared" si="576"/>
        <v>0</v>
      </c>
      <c r="L639" s="99">
        <f t="shared" si="576"/>
        <v>0</v>
      </c>
      <c r="M639" s="99">
        <f>SUM(D639:L639)</f>
        <v>0</v>
      </c>
      <c r="N639" s="8"/>
      <c r="P639" s="21" t="str">
        <f>MID(H633,7,1)</f>
        <v>0</v>
      </c>
      <c r="Q639" s="26" t="str">
        <f t="shared" si="570"/>
        <v>0</v>
      </c>
      <c r="R639" s="7" t="s">
        <v>73</v>
      </c>
      <c r="S639" s="8" t="s">
        <v>66</v>
      </c>
      <c r="T639" s="21" t="str">
        <f>MID(I633,7,1)</f>
        <v>0</v>
      </c>
      <c r="U639" s="26" t="str">
        <f t="shared" si="571"/>
        <v>0</v>
      </c>
      <c r="V639" s="7" t="s">
        <v>73</v>
      </c>
      <c r="W639" s="8" t="s">
        <v>66</v>
      </c>
      <c r="X639" s="21" t="str">
        <f>MID(J633,7,1)</f>
        <v>0</v>
      </c>
      <c r="Y639" s="26" t="str">
        <f t="shared" si="572"/>
        <v>0</v>
      </c>
      <c r="Z639" s="7" t="s">
        <v>73</v>
      </c>
      <c r="AA639" s="8" t="s">
        <v>66</v>
      </c>
      <c r="AB639" s="21" t="str">
        <f>MID(K633,7,1)</f>
        <v>0</v>
      </c>
      <c r="AC639" s="26" t="str">
        <f t="shared" si="573"/>
        <v>0</v>
      </c>
      <c r="AD639" s="7" t="s">
        <v>73</v>
      </c>
      <c r="AE639" s="8" t="s">
        <v>66</v>
      </c>
      <c r="AF639" s="21" t="str">
        <f>MID(L633,7,1)</f>
        <v>0</v>
      </c>
      <c r="AG639" s="26" t="str">
        <f t="shared" si="574"/>
        <v>0</v>
      </c>
      <c r="AH639" s="7" t="s">
        <v>73</v>
      </c>
      <c r="AI639" s="8" t="s">
        <v>66</v>
      </c>
      <c r="AJ639" s="400"/>
      <c r="AK639" s="401"/>
      <c r="AL639" s="501"/>
    </row>
    <row r="640" spans="3:38" ht="15" thickBot="1" x14ac:dyDescent="0.35">
      <c r="C640" s="9" t="s">
        <v>1678</v>
      </c>
      <c r="D640" s="334" t="str">
        <f>D635</f>
        <v/>
      </c>
      <c r="E640" s="334" t="str">
        <f t="shared" ref="E640:G640" si="577">E635</f>
        <v/>
      </c>
      <c r="F640" s="334" t="str">
        <f t="shared" si="577"/>
        <v/>
      </c>
      <c r="G640" s="334" t="str">
        <f t="shared" si="577"/>
        <v/>
      </c>
      <c r="H640" s="10"/>
      <c r="I640" s="10"/>
      <c r="J640" s="10"/>
      <c r="K640" s="10"/>
      <c r="L640" s="10"/>
      <c r="M640" s="10"/>
      <c r="N640" s="11"/>
      <c r="P640" s="22" t="str">
        <f>MID(H633,8,1)</f>
        <v>0</v>
      </c>
      <c r="Q640" s="55" t="str">
        <f t="shared" si="570"/>
        <v>0</v>
      </c>
      <c r="R640" s="9" t="s">
        <v>74</v>
      </c>
      <c r="S640" s="11" t="s">
        <v>66</v>
      </c>
      <c r="T640" s="22" t="str">
        <f>MID(I633,8,1)</f>
        <v>0</v>
      </c>
      <c r="U640" s="55" t="str">
        <f t="shared" si="571"/>
        <v>0</v>
      </c>
      <c r="V640" s="9" t="s">
        <v>74</v>
      </c>
      <c r="W640" s="11" t="s">
        <v>66</v>
      </c>
      <c r="X640" s="22" t="str">
        <f>MID(J633,8,1)</f>
        <v>0</v>
      </c>
      <c r="Y640" s="55" t="str">
        <f t="shared" si="572"/>
        <v>0</v>
      </c>
      <c r="Z640" s="9" t="s">
        <v>74</v>
      </c>
      <c r="AA640" s="11" t="s">
        <v>66</v>
      </c>
      <c r="AB640" s="22" t="str">
        <f>MID(K633,8,1)</f>
        <v>0</v>
      </c>
      <c r="AC640" s="55" t="str">
        <f t="shared" si="573"/>
        <v>0</v>
      </c>
      <c r="AD640" s="9" t="s">
        <v>74</v>
      </c>
      <c r="AE640" s="11" t="s">
        <v>66</v>
      </c>
      <c r="AF640" s="22" t="str">
        <f>MID(L633,8,1)</f>
        <v>0</v>
      </c>
      <c r="AG640" s="55" t="str">
        <f t="shared" si="574"/>
        <v>0</v>
      </c>
      <c r="AH640" s="9" t="s">
        <v>74</v>
      </c>
      <c r="AI640" s="11" t="s">
        <v>66</v>
      </c>
      <c r="AJ640" s="402"/>
      <c r="AK640" s="404"/>
      <c r="AL640" s="501"/>
    </row>
    <row r="641" spans="3:38" ht="15" thickBot="1" x14ac:dyDescent="0.35">
      <c r="C641" s="4"/>
      <c r="D641" s="5"/>
      <c r="E641" s="5"/>
      <c r="F641" s="5"/>
      <c r="G641" s="5"/>
      <c r="H641" s="5"/>
      <c r="I641" s="5"/>
      <c r="J641" s="5"/>
      <c r="K641" s="5"/>
      <c r="L641" s="5"/>
      <c r="M641" s="5" t="s">
        <v>41</v>
      </c>
      <c r="N641" s="6"/>
      <c r="P641" s="530" t="s">
        <v>1829</v>
      </c>
      <c r="Q641" s="530"/>
      <c r="R641" s="530"/>
      <c r="S641" s="530"/>
      <c r="T641" s="530"/>
      <c r="U641" s="530"/>
      <c r="V641" s="530"/>
      <c r="W641" s="530"/>
      <c r="X641" s="530"/>
      <c r="Y641" s="530"/>
      <c r="Z641" s="530"/>
      <c r="AA641" s="530"/>
      <c r="AB641" s="530"/>
      <c r="AC641" s="530"/>
      <c r="AD641" s="530"/>
      <c r="AE641" s="530"/>
      <c r="AF641" s="530"/>
      <c r="AG641" s="530"/>
      <c r="AH641" s="530"/>
      <c r="AI641" s="530"/>
      <c r="AJ641" s="530"/>
      <c r="AK641" s="530"/>
      <c r="AL641" s="501"/>
    </row>
    <row r="642" spans="3:38" ht="15" thickBot="1" x14ac:dyDescent="0.35">
      <c r="C642" s="7"/>
      <c r="D642" s="393" t="s">
        <v>1534</v>
      </c>
      <c r="E642" s="393"/>
      <c r="F642" s="393"/>
      <c r="G642" s="393"/>
      <c r="H642" s="99" t="s">
        <v>44</v>
      </c>
      <c r="I642" s="99" t="s">
        <v>45</v>
      </c>
      <c r="J642" s="99" t="s">
        <v>46</v>
      </c>
      <c r="K642" s="99" t="s">
        <v>47</v>
      </c>
      <c r="L642" s="99" t="s">
        <v>48</v>
      </c>
      <c r="M642" s="99" t="s">
        <v>49</v>
      </c>
      <c r="N642" s="8"/>
      <c r="P642" s="394" t="s">
        <v>260</v>
      </c>
      <c r="Q642" s="395"/>
      <c r="R642" s="395"/>
      <c r="S642" s="396"/>
      <c r="T642" s="394" t="s">
        <v>309</v>
      </c>
      <c r="U642" s="395"/>
      <c r="V642" s="395"/>
      <c r="W642" s="396"/>
      <c r="X642" s="394" t="s">
        <v>52</v>
      </c>
      <c r="Y642" s="395"/>
      <c r="Z642" s="395"/>
      <c r="AA642" s="396"/>
      <c r="AB642" s="394" t="s">
        <v>53</v>
      </c>
      <c r="AC642" s="395"/>
      <c r="AD642" s="395"/>
      <c r="AE642" s="396"/>
      <c r="AF642" s="394" t="s">
        <v>97</v>
      </c>
      <c r="AG642" s="395"/>
      <c r="AH642" s="395"/>
      <c r="AI642" s="396"/>
      <c r="AJ642" s="394" t="s">
        <v>55</v>
      </c>
      <c r="AK642" s="396"/>
      <c r="AL642" s="501"/>
    </row>
    <row r="643" spans="3:38" ht="15" thickBot="1" x14ac:dyDescent="0.35">
      <c r="C643" s="7" t="s">
        <v>56</v>
      </c>
      <c r="D643" s="12" t="str">
        <f>IF(J412="","",7)</f>
        <v/>
      </c>
      <c r="E643" s="13" t="str">
        <f>IF(J412="","",20)</f>
        <v/>
      </c>
      <c r="F643" s="13" t="str">
        <f>IF(J412="","",4)</f>
        <v/>
      </c>
      <c r="G643" s="14" t="str">
        <f>IF(J412="","",49)</f>
        <v/>
      </c>
      <c r="H643" s="41" t="str" cm="1">
        <f t="array" ref="H643">_xlfn.IFNA(MID(INDEX($A$3:$A$70,IF(ISNA(MATCH("720G4J1*",$A$3:$A$70,0))=TRUE,MATCH("7200449*",$A$3:$A$70,0),MATCH("720G4J1*",$A$3:$A$70,0))),$AU$8,2),"")</f>
        <v/>
      </c>
      <c r="I643" s="42" t="str" cm="1">
        <f t="array" ref="I643">_xlfn.IFNA(MID(INDEX($A$3:$A$70,IF(ISNA(MATCH("720G4J1*",$A$3:$A$70,0))=TRUE,MATCH("7200449*",$A$3:$A$70,0),MATCH("720G4J1*",$A$3:$A$70,0))),$AV$8,2),"")</f>
        <v/>
      </c>
      <c r="J643" s="24" t="str" cm="1">
        <f t="array" ref="J643">_xlfn.IFNA(MID(INDEX($A$3:$A$70,IF(ISNA(MATCH("720G4J1*",$A$3:$A$70,0))=TRUE,MATCH("7200449*",$A$3:$A$70,0),MATCH("720G4J1*",$A$3:$A$70,0))),$AW$8,2),"")</f>
        <v/>
      </c>
      <c r="K643" s="42" t="str" cm="1">
        <f t="array" ref="K643">_xlfn.IFNA(MID(INDEX($A$3:$A$70,IF(ISNA(MATCH("720G4J1*",$A$3:$A$70,0))=TRUE,MATCH("7200449*",$A$3:$A$70,0),MATCH("720G4J1*",$A$3:$A$70,0))),$AX$8,2),"")</f>
        <v/>
      </c>
      <c r="L643" s="43" t="str" cm="1">
        <f t="array" ref="L643">_xlfn.IFNA(MID(INDEX($A$3:$A$70,IF(ISNA(MATCH("720G4J1*",$A$3:$A$70,0))=TRUE,MATCH("7200449*",$A$3:$A$70,0),MATCH("720G4J1*",$A$3:$A$70,0))),$AY$8,2),"")</f>
        <v/>
      </c>
      <c r="M643" s="44" t="str" cm="1">
        <f t="array" ref="M643">_xlfn.IFNA(MID(INDEX($A$3:$A$70,IF(ISNA(MATCH("720G4J1*",$A$3:$A$70,0))=TRUE,MATCH("7200449*",$A$3:$A$70,0),MATCH("720G4J1*",$A$3:$A$70,0))),$AZ$8,2),"")</f>
        <v/>
      </c>
      <c r="N643" s="8" t="s">
        <v>60</v>
      </c>
      <c r="P643" s="394"/>
      <c r="Q643" s="395"/>
      <c r="R643" s="395"/>
      <c r="S643" s="396"/>
      <c r="T643" s="394"/>
      <c r="U643" s="395"/>
      <c r="V643" s="395"/>
      <c r="W643" s="396"/>
      <c r="X643" s="19" t="s">
        <v>60</v>
      </c>
      <c r="Y643" s="20" t="s">
        <v>61</v>
      </c>
      <c r="Z643" t="s">
        <v>62</v>
      </c>
      <c r="AA643" s="8"/>
      <c r="AB643" s="19" t="s">
        <v>60</v>
      </c>
      <c r="AC643" s="20" t="s">
        <v>61</v>
      </c>
      <c r="AD643" t="s">
        <v>62</v>
      </c>
      <c r="AE643" s="8"/>
      <c r="AF643" s="19" t="s">
        <v>60</v>
      </c>
      <c r="AG643" s="20" t="s">
        <v>61</v>
      </c>
      <c r="AH643" t="s">
        <v>62</v>
      </c>
      <c r="AJ643" s="394" t="s">
        <v>63</v>
      </c>
      <c r="AK643" s="396"/>
      <c r="AL643" s="501"/>
    </row>
    <row r="644" spans="3:38" x14ac:dyDescent="0.3">
      <c r="C644" s="7" t="s">
        <v>64</v>
      </c>
      <c r="D644" s="99" t="str">
        <f>HEX2BIN(D643,8)</f>
        <v>00000000</v>
      </c>
      <c r="E644" s="99" t="str">
        <f t="shared" ref="E644:L644" si="578">HEX2BIN(E643,8)</f>
        <v>00000000</v>
      </c>
      <c r="F644" s="99" t="str">
        <f t="shared" si="578"/>
        <v>00000000</v>
      </c>
      <c r="G644" s="99" t="str">
        <f t="shared" si="578"/>
        <v>00000000</v>
      </c>
      <c r="H644" s="99" t="str">
        <f t="shared" si="578"/>
        <v>00000000</v>
      </c>
      <c r="I644" s="99" t="str">
        <f t="shared" si="578"/>
        <v>00000000</v>
      </c>
      <c r="J644" s="99" t="str">
        <f t="shared" si="578"/>
        <v>00000000</v>
      </c>
      <c r="K644" s="99" t="str">
        <f t="shared" si="578"/>
        <v>00000000</v>
      </c>
      <c r="L644" s="99" t="str">
        <f t="shared" si="578"/>
        <v>00000000</v>
      </c>
      <c r="N644" s="8"/>
      <c r="P644" s="400"/>
      <c r="Q644" s="381"/>
      <c r="R644" s="381"/>
      <c r="S644" s="401"/>
      <c r="T644" s="400"/>
      <c r="U644" s="381"/>
      <c r="V644" s="381"/>
      <c r="W644" s="401"/>
      <c r="X644" s="21" t="str">
        <f>MID(J644,1,1)</f>
        <v>0</v>
      </c>
      <c r="Y644" s="26" t="str">
        <f>X644</f>
        <v>0</v>
      </c>
      <c r="Z644" s="7" t="s">
        <v>65</v>
      </c>
      <c r="AA644" s="8" t="s">
        <v>66</v>
      </c>
      <c r="AB644" s="21" t="str">
        <f>MID(K644,1,1)</f>
        <v>0</v>
      </c>
      <c r="AC644" s="26" t="str">
        <f>AB644</f>
        <v>0</v>
      </c>
      <c r="AD644" s="7" t="s">
        <v>65</v>
      </c>
      <c r="AE644" s="8" t="s">
        <v>66</v>
      </c>
      <c r="AF644" s="21" t="str">
        <f>MID(L644,1,1)</f>
        <v>0</v>
      </c>
      <c r="AG644" s="26" t="str">
        <f>AF644</f>
        <v>0</v>
      </c>
      <c r="AH644" s="7" t="s">
        <v>65</v>
      </c>
      <c r="AI644" s="8" t="s">
        <v>66</v>
      </c>
      <c r="AJ644" s="400"/>
      <c r="AK644" s="401"/>
      <c r="AL644" s="501"/>
    </row>
    <row r="645" spans="3:38" x14ac:dyDescent="0.3">
      <c r="C645" s="7" t="s">
        <v>67</v>
      </c>
      <c r="D645" s="99">
        <f>HEX2DEC(D643)</f>
        <v>0</v>
      </c>
      <c r="E645" s="99">
        <f t="shared" ref="E645:L645" si="579">HEX2DEC(E643)</f>
        <v>0</v>
      </c>
      <c r="F645" s="99">
        <f t="shared" si="579"/>
        <v>0</v>
      </c>
      <c r="G645" s="99">
        <f t="shared" si="579"/>
        <v>0</v>
      </c>
      <c r="H645" s="99">
        <f t="shared" si="579"/>
        <v>0</v>
      </c>
      <c r="I645" s="99">
        <f t="shared" si="579"/>
        <v>0</v>
      </c>
      <c r="J645" s="99">
        <f t="shared" si="579"/>
        <v>0</v>
      </c>
      <c r="K645" s="99">
        <f t="shared" si="579"/>
        <v>0</v>
      </c>
      <c r="L645" s="99">
        <f t="shared" si="579"/>
        <v>0</v>
      </c>
      <c r="M645" s="99">
        <f>SUM(D645:L645)</f>
        <v>0</v>
      </c>
      <c r="N645" s="8"/>
      <c r="P645" s="400"/>
      <c r="Q645" s="381"/>
      <c r="R645" s="381"/>
      <c r="S645" s="401"/>
      <c r="T645" s="400"/>
      <c r="U645" s="381"/>
      <c r="V645" s="381"/>
      <c r="W645" s="401"/>
      <c r="X645" s="21" t="str">
        <f>MID(J644,2,1)</f>
        <v>0</v>
      </c>
      <c r="Y645" s="26" t="str">
        <f t="shared" ref="Y645:Y651" si="580">X645</f>
        <v>0</v>
      </c>
      <c r="Z645" s="7" t="s">
        <v>68</v>
      </c>
      <c r="AA645" s="8" t="s">
        <v>66</v>
      </c>
      <c r="AB645" s="21" t="str">
        <f>MID(K644,2,1)</f>
        <v>0</v>
      </c>
      <c r="AC645" s="26" t="str">
        <f t="shared" ref="AC645:AC651" si="581">AB645</f>
        <v>0</v>
      </c>
      <c r="AD645" s="7" t="s">
        <v>68</v>
      </c>
      <c r="AE645" s="8" t="s">
        <v>66</v>
      </c>
      <c r="AF645" s="21" t="str">
        <f>MID(L644,2,1)</f>
        <v>0</v>
      </c>
      <c r="AG645" s="26" t="str">
        <f t="shared" ref="AG645:AG651" si="582">AF645</f>
        <v>0</v>
      </c>
      <c r="AH645" s="7" t="s">
        <v>68</v>
      </c>
      <c r="AI645" s="8" t="s">
        <v>66</v>
      </c>
      <c r="AJ645" s="400"/>
      <c r="AK645" s="401"/>
      <c r="AL645" s="501"/>
    </row>
    <row r="646" spans="3:38" x14ac:dyDescent="0.3">
      <c r="C646" s="7" t="s">
        <v>1678</v>
      </c>
      <c r="D646" s="333" t="str">
        <f>D643</f>
        <v/>
      </c>
      <c r="E646" s="333" t="str">
        <f>E643</f>
        <v/>
      </c>
      <c r="F646" s="99" t="str">
        <f>_xlfn.IFNA(MID(INDEX($A$3:$A$70,IF(ISNA(MATCH("720G4J1*",$A$3:$A$70,0))=TRUE,MATCH("7200449*",$A$3:$A$70,0),MATCH("720G4J1*",$A$3:$A$70,0))),$AS$8,2),"")</f>
        <v/>
      </c>
      <c r="G646" s="99" t="str">
        <f>_xlfn.IFNA(MID(INDEX($A$3:$A$70,IF(ISNA(MATCH("720G4J1*",$A$3:$A$70,0))=TRUE,MATCH("7200449*",$A$3:$A$70,0),MATCH("720G4J1*",$A$3:$A$70,0))),$AT$8,2),"")</f>
        <v/>
      </c>
      <c r="N646" s="8"/>
      <c r="P646" s="400"/>
      <c r="Q646" s="381"/>
      <c r="R646" s="381"/>
      <c r="S646" s="401"/>
      <c r="T646" s="400"/>
      <c r="U646" s="381"/>
      <c r="V646" s="381"/>
      <c r="W646" s="401"/>
      <c r="X646" s="21" t="str">
        <f>MID(J644,3,1)</f>
        <v>0</v>
      </c>
      <c r="Y646" s="26" t="str">
        <f t="shared" si="580"/>
        <v>0</v>
      </c>
      <c r="Z646" s="7" t="s">
        <v>69</v>
      </c>
      <c r="AA646" s="8" t="s">
        <v>66</v>
      </c>
      <c r="AB646" s="21" t="str">
        <f>MID(K644,3,1)</f>
        <v>0</v>
      </c>
      <c r="AC646" s="26" t="str">
        <f t="shared" si="581"/>
        <v>0</v>
      </c>
      <c r="AD646" s="7" t="s">
        <v>69</v>
      </c>
      <c r="AE646" s="8" t="s">
        <v>66</v>
      </c>
      <c r="AF646" s="21" t="str">
        <f>MID(L644,3,1)</f>
        <v>0</v>
      </c>
      <c r="AG646" s="26" t="str">
        <f t="shared" si="582"/>
        <v>0</v>
      </c>
      <c r="AH646" s="7" t="s">
        <v>69</v>
      </c>
      <c r="AI646" s="8" t="s">
        <v>66</v>
      </c>
      <c r="AJ646" s="400"/>
      <c r="AK646" s="401"/>
      <c r="AL646" s="501"/>
    </row>
    <row r="647" spans="3:38" ht="15" thickBot="1" x14ac:dyDescent="0.35">
      <c r="C647" s="7"/>
      <c r="N647" s="8"/>
      <c r="P647" s="400"/>
      <c r="Q647" s="381"/>
      <c r="R647" s="381"/>
      <c r="S647" s="401"/>
      <c r="T647" s="400"/>
      <c r="U647" s="381"/>
      <c r="V647" s="381"/>
      <c r="W647" s="401"/>
      <c r="X647" s="21" t="str">
        <f>MID(J644,4,1)</f>
        <v>0</v>
      </c>
      <c r="Y647" s="26" t="str">
        <f t="shared" si="580"/>
        <v>0</v>
      </c>
      <c r="Z647" s="7" t="s">
        <v>70</v>
      </c>
      <c r="AA647" s="8" t="s">
        <v>66</v>
      </c>
      <c r="AB647" s="21" t="str">
        <f>MID(K644,4,1)</f>
        <v>0</v>
      </c>
      <c r="AC647" s="26" t="str">
        <f t="shared" si="581"/>
        <v>0</v>
      </c>
      <c r="AD647" s="7" t="s">
        <v>70</v>
      </c>
      <c r="AE647" s="8" t="s">
        <v>66</v>
      </c>
      <c r="AF647" s="21" t="str">
        <f>MID(L644,4,1)</f>
        <v>0</v>
      </c>
      <c r="AG647" s="26" t="str">
        <f t="shared" si="582"/>
        <v>0</v>
      </c>
      <c r="AH647" s="7" t="s">
        <v>70</v>
      </c>
      <c r="AI647" s="8" t="s">
        <v>66</v>
      </c>
      <c r="AJ647" s="400"/>
      <c r="AK647" s="401"/>
      <c r="AL647" s="501"/>
    </row>
    <row r="648" spans="3:38" ht="15" thickBot="1" x14ac:dyDescent="0.35">
      <c r="C648" s="7" t="s">
        <v>56</v>
      </c>
      <c r="D648" s="15" t="str">
        <f t="shared" ref="D648:I648" si="583">D643</f>
        <v/>
      </c>
      <c r="E648" s="16" t="str">
        <f t="shared" si="583"/>
        <v/>
      </c>
      <c r="F648" s="16" t="str">
        <f t="shared" si="583"/>
        <v/>
      </c>
      <c r="G648" s="17" t="str">
        <f t="shared" si="583"/>
        <v/>
      </c>
      <c r="H648" s="50" t="str">
        <f t="shared" si="583"/>
        <v/>
      </c>
      <c r="I648" s="47" t="str">
        <f t="shared" si="583"/>
        <v/>
      </c>
      <c r="J648" s="24" t="str">
        <f>IF(J412="","",BIN2HEX(J649,2))</f>
        <v/>
      </c>
      <c r="K648" s="2" t="str">
        <f>IF(J412="","",BIN2HEX(K649,2))</f>
        <v/>
      </c>
      <c r="L648" s="18" t="str">
        <f>IF(J412="","",BIN2HEX(L649,2))</f>
        <v/>
      </c>
      <c r="M648" s="3" t="str">
        <f>IF(J412="","",IF(LEN(M649)&gt;2,MID(M649,2,2),M649))</f>
        <v/>
      </c>
      <c r="N648" s="8" t="s">
        <v>61</v>
      </c>
      <c r="P648" s="400"/>
      <c r="Q648" s="381"/>
      <c r="R648" s="381"/>
      <c r="S648" s="401"/>
      <c r="T648" s="400"/>
      <c r="U648" s="381"/>
      <c r="V648" s="381"/>
      <c r="W648" s="401"/>
      <c r="X648" s="21" t="str">
        <f>MID(J644,5,1)</f>
        <v>0</v>
      </c>
      <c r="Y648" s="26" t="str">
        <f t="shared" si="580"/>
        <v>0</v>
      </c>
      <c r="Z648" s="7" t="s">
        <v>71</v>
      </c>
      <c r="AA648" s="8" t="s">
        <v>66</v>
      </c>
      <c r="AB648" s="21" t="str">
        <f>MID(K644,5,1)</f>
        <v>0</v>
      </c>
      <c r="AC648" s="26" t="str">
        <f t="shared" si="581"/>
        <v>0</v>
      </c>
      <c r="AD648" s="7" t="s">
        <v>71</v>
      </c>
      <c r="AE648" s="8" t="s">
        <v>66</v>
      </c>
      <c r="AF648" s="21" t="str">
        <f>MID(L644,5,1)</f>
        <v>0</v>
      </c>
      <c r="AG648" s="26" t="str">
        <f t="shared" si="582"/>
        <v>0</v>
      </c>
      <c r="AH648" s="7" t="s">
        <v>71</v>
      </c>
      <c r="AI648" s="8" t="s">
        <v>66</v>
      </c>
      <c r="AJ648" s="400"/>
      <c r="AK648" s="401"/>
      <c r="AL648" s="501"/>
    </row>
    <row r="649" spans="3:38" x14ac:dyDescent="0.3">
      <c r="C649" s="7" t="s">
        <v>64</v>
      </c>
      <c r="D649" s="99" t="str">
        <f>HEX2BIN(D648,8)</f>
        <v>00000000</v>
      </c>
      <c r="E649" s="99" t="str">
        <f t="shared" ref="E649:G649" si="584">HEX2BIN(E648,8)</f>
        <v>00000000</v>
      </c>
      <c r="F649" s="99" t="str">
        <f t="shared" si="584"/>
        <v>00000000</v>
      </c>
      <c r="G649" s="99" t="str">
        <f t="shared" si="584"/>
        <v>00000000</v>
      </c>
      <c r="H649" s="29"/>
      <c r="I649" s="99"/>
      <c r="J649" s="29" t="str">
        <f>Y644&amp;Y645&amp;Y646&amp;Y647&amp;Y648&amp;Y649&amp;Y650&amp;Y651</f>
        <v>00000000</v>
      </c>
      <c r="K649" s="29" t="str">
        <f>AC644&amp;AC645&amp;AC646&amp;AC647&amp;AC648&amp;AC649&amp;AC650&amp;AC651</f>
        <v>00000000</v>
      </c>
      <c r="L649" s="99" t="str">
        <f>AG644&amp;AG645&amp;AG646&amp;AG647&amp;AG648&amp;AG649&amp;AG650&amp;AG651</f>
        <v>00000000</v>
      </c>
      <c r="M649" s="99" t="str">
        <f>DEC2HEX(M650)</f>
        <v>0</v>
      </c>
      <c r="N649" s="8"/>
      <c r="P649" s="400"/>
      <c r="Q649" s="381"/>
      <c r="R649" s="381"/>
      <c r="S649" s="401"/>
      <c r="T649" s="400"/>
      <c r="U649" s="381"/>
      <c r="V649" s="381"/>
      <c r="W649" s="401"/>
      <c r="X649" s="21" t="str">
        <f>MID(J644,6,1)</f>
        <v>0</v>
      </c>
      <c r="Y649" s="26" t="str">
        <f t="shared" si="580"/>
        <v>0</v>
      </c>
      <c r="Z649" s="7" t="s">
        <v>72</v>
      </c>
      <c r="AA649" s="8" t="s">
        <v>66</v>
      </c>
      <c r="AB649" s="21" t="str">
        <f>MID(K644,6,1)</f>
        <v>0</v>
      </c>
      <c r="AC649" s="26" t="str">
        <f t="shared" si="581"/>
        <v>0</v>
      </c>
      <c r="AD649" s="7" t="s">
        <v>72</v>
      </c>
      <c r="AE649" s="8" t="s">
        <v>66</v>
      </c>
      <c r="AF649" s="21" t="str">
        <f>MID(L644,6,1)</f>
        <v>0</v>
      </c>
      <c r="AG649" s="26" t="str">
        <f t="shared" si="582"/>
        <v>0</v>
      </c>
      <c r="AH649" s="7" t="s">
        <v>72</v>
      </c>
      <c r="AI649" s="8" t="s">
        <v>66</v>
      </c>
      <c r="AJ649" s="400"/>
      <c r="AK649" s="401"/>
      <c r="AL649" s="501"/>
    </row>
    <row r="650" spans="3:38" x14ac:dyDescent="0.3">
      <c r="C650" s="7" t="s">
        <v>67</v>
      </c>
      <c r="D650" s="99">
        <f>HEX2DEC(D648)</f>
        <v>0</v>
      </c>
      <c r="E650" s="99">
        <f t="shared" ref="E650:L650" si="585">HEX2DEC(E648)</f>
        <v>0</v>
      </c>
      <c r="F650" s="99">
        <f t="shared" si="585"/>
        <v>0</v>
      </c>
      <c r="G650" s="99">
        <f t="shared" si="585"/>
        <v>0</v>
      </c>
      <c r="H650" s="99">
        <f t="shared" si="585"/>
        <v>0</v>
      </c>
      <c r="I650" s="99">
        <f t="shared" si="585"/>
        <v>0</v>
      </c>
      <c r="J650" s="99">
        <f t="shared" si="585"/>
        <v>0</v>
      </c>
      <c r="K650" s="99">
        <f t="shared" si="585"/>
        <v>0</v>
      </c>
      <c r="L650" s="99">
        <f t="shared" si="585"/>
        <v>0</v>
      </c>
      <c r="M650" s="99">
        <f>SUM(D650:L650)</f>
        <v>0</v>
      </c>
      <c r="N650" s="8"/>
      <c r="P650" s="400"/>
      <c r="Q650" s="381"/>
      <c r="R650" s="381"/>
      <c r="S650" s="401"/>
      <c r="T650" s="400"/>
      <c r="U650" s="381"/>
      <c r="V650" s="381"/>
      <c r="W650" s="401"/>
      <c r="X650" s="21" t="str">
        <f>MID(J644,7,1)</f>
        <v>0</v>
      </c>
      <c r="Y650" s="26" t="str">
        <f t="shared" si="580"/>
        <v>0</v>
      </c>
      <c r="Z650" s="7" t="s">
        <v>73</v>
      </c>
      <c r="AA650" s="8" t="s">
        <v>66</v>
      </c>
      <c r="AB650" s="21" t="str">
        <f>MID(K644,7,1)</f>
        <v>0</v>
      </c>
      <c r="AC650" s="26" t="str">
        <f t="shared" si="581"/>
        <v>0</v>
      </c>
      <c r="AD650" s="7" t="s">
        <v>73</v>
      </c>
      <c r="AE650" s="8" t="s">
        <v>66</v>
      </c>
      <c r="AF650" s="21" t="str">
        <f>MID(L644,7,1)</f>
        <v>0</v>
      </c>
      <c r="AG650" s="26" t="str">
        <f t="shared" si="582"/>
        <v>0</v>
      </c>
      <c r="AH650" s="7" t="s">
        <v>73</v>
      </c>
      <c r="AI650" s="8" t="s">
        <v>66</v>
      </c>
      <c r="AJ650" s="400"/>
      <c r="AK650" s="401"/>
      <c r="AL650" s="501"/>
    </row>
    <row r="651" spans="3:38" ht="15" thickBot="1" x14ac:dyDescent="0.35">
      <c r="C651" s="9" t="s">
        <v>1678</v>
      </c>
      <c r="D651" s="334" t="str">
        <f>D646</f>
        <v/>
      </c>
      <c r="E651" s="334" t="str">
        <f t="shared" ref="E651:G651" si="586">E646</f>
        <v/>
      </c>
      <c r="F651" s="334" t="str">
        <f t="shared" si="586"/>
        <v/>
      </c>
      <c r="G651" s="334" t="str">
        <f t="shared" si="586"/>
        <v/>
      </c>
      <c r="H651" s="10"/>
      <c r="I651" s="10"/>
      <c r="J651" s="10"/>
      <c r="K651" s="10"/>
      <c r="L651" s="10"/>
      <c r="M651" s="10"/>
      <c r="N651" s="11"/>
      <c r="P651" s="402"/>
      <c r="Q651" s="403"/>
      <c r="R651" s="403"/>
      <c r="S651" s="404"/>
      <c r="T651" s="402"/>
      <c r="U651" s="403"/>
      <c r="V651" s="403"/>
      <c r="W651" s="404"/>
      <c r="X651" s="22" t="str">
        <f>MID(J644,8,1)</f>
        <v>0</v>
      </c>
      <c r="Y651" s="55" t="str">
        <f t="shared" si="580"/>
        <v>0</v>
      </c>
      <c r="Z651" s="9" t="s">
        <v>74</v>
      </c>
      <c r="AA651" s="11" t="s">
        <v>66</v>
      </c>
      <c r="AB651" s="22" t="str">
        <f>MID(K644,8,1)</f>
        <v>0</v>
      </c>
      <c r="AC651" s="55" t="str">
        <f t="shared" si="581"/>
        <v>0</v>
      </c>
      <c r="AD651" s="9" t="s">
        <v>74</v>
      </c>
      <c r="AE651" s="11" t="s">
        <v>66</v>
      </c>
      <c r="AF651" s="22" t="str">
        <f>MID(L644,8,1)</f>
        <v>0</v>
      </c>
      <c r="AG651" s="55" t="str">
        <f t="shared" si="582"/>
        <v>0</v>
      </c>
      <c r="AH651" s="9" t="s">
        <v>74</v>
      </c>
      <c r="AI651" s="11" t="s">
        <v>66</v>
      </c>
      <c r="AJ651" s="402"/>
      <c r="AK651" s="404"/>
      <c r="AL651" s="501"/>
    </row>
    <row r="652" spans="3:38" ht="15" thickBot="1" x14ac:dyDescent="0.35">
      <c r="C652" s="4"/>
      <c r="D652" s="5"/>
      <c r="E652" s="5"/>
      <c r="F652" s="5"/>
      <c r="G652" s="5"/>
      <c r="H652" s="5"/>
      <c r="I652" s="5"/>
      <c r="J652" s="5"/>
      <c r="K652" s="5"/>
      <c r="L652" s="5"/>
      <c r="M652" s="5" t="s">
        <v>41</v>
      </c>
      <c r="N652" s="6"/>
      <c r="P652" s="530" t="s">
        <v>1830</v>
      </c>
      <c r="Q652" s="530"/>
      <c r="R652" s="530"/>
      <c r="S652" s="530"/>
      <c r="T652" s="530"/>
      <c r="U652" s="530"/>
      <c r="V652" s="530"/>
      <c r="W652" s="530"/>
      <c r="X652" s="530"/>
      <c r="Y652" s="530"/>
      <c r="Z652" s="530"/>
      <c r="AA652" s="530"/>
      <c r="AB652" s="530"/>
      <c r="AC652" s="530"/>
      <c r="AD652" s="530"/>
      <c r="AE652" s="530"/>
      <c r="AF652" s="530"/>
      <c r="AG652" s="530"/>
      <c r="AH652" s="530"/>
      <c r="AI652" s="530"/>
      <c r="AJ652" s="530"/>
      <c r="AK652" s="530"/>
      <c r="AL652" s="501"/>
    </row>
    <row r="653" spans="3:38" ht="15" thickBot="1" x14ac:dyDescent="0.35">
      <c r="C653" s="7"/>
      <c r="D653" s="393" t="s">
        <v>1533</v>
      </c>
      <c r="E653" s="393"/>
      <c r="F653" s="393"/>
      <c r="G653" s="393"/>
      <c r="H653" s="99" t="s">
        <v>44</v>
      </c>
      <c r="I653" s="99" t="s">
        <v>45</v>
      </c>
      <c r="J653" s="99" t="s">
        <v>46</v>
      </c>
      <c r="K653" s="99" t="s">
        <v>47</v>
      </c>
      <c r="L653" s="99" t="s">
        <v>48</v>
      </c>
      <c r="M653" s="99" t="s">
        <v>49</v>
      </c>
      <c r="N653" s="8"/>
      <c r="P653" s="394" t="s">
        <v>50</v>
      </c>
      <c r="Q653" s="395"/>
      <c r="R653" s="395"/>
      <c r="S653" s="396"/>
      <c r="T653" s="394" t="s">
        <v>51</v>
      </c>
      <c r="U653" s="395"/>
      <c r="V653" s="395"/>
      <c r="W653" s="396"/>
      <c r="X653" s="394" t="s">
        <v>52</v>
      </c>
      <c r="Y653" s="395"/>
      <c r="Z653" s="395"/>
      <c r="AA653" s="396"/>
      <c r="AB653" s="394" t="s">
        <v>239</v>
      </c>
      <c r="AC653" s="395"/>
      <c r="AD653" s="395"/>
      <c r="AE653" s="396"/>
      <c r="AF653" s="394" t="s">
        <v>310</v>
      </c>
      <c r="AG653" s="395"/>
      <c r="AH653" s="395"/>
      <c r="AI653" s="396"/>
      <c r="AJ653" s="394" t="s">
        <v>55</v>
      </c>
      <c r="AK653" s="396"/>
      <c r="AL653" s="501"/>
    </row>
    <row r="654" spans="3:38" ht="15" thickBot="1" x14ac:dyDescent="0.35">
      <c r="C654" s="7" t="s">
        <v>56</v>
      </c>
      <c r="D654" s="12" t="str">
        <f>IF(J412="","",7)</f>
        <v/>
      </c>
      <c r="E654" s="13" t="str">
        <f>IF(J412="","",20)</f>
        <v/>
      </c>
      <c r="F654" s="13" t="str">
        <f>IF(J412="","",4)</f>
        <v/>
      </c>
      <c r="G654" s="14" t="str">
        <f>IF(J412="","",50)</f>
        <v/>
      </c>
      <c r="H654" s="41" t="str" cm="1">
        <f t="array" ref="H654">_xlfn.IFNA(MID(INDEX($A$3:$A$70,IF(ISNA(MATCH("720G4J2*",$A$3:$A$70,0))=TRUE,MATCH("7200450*",$A$3:$A$70,0),MATCH("720G4J2*",$A$3:$A$70,0))),$AU$8,2),"")</f>
        <v/>
      </c>
      <c r="I654" s="42" t="str" cm="1">
        <f t="array" ref="I654">_xlfn.IFNA(MID(INDEX($A$3:$A$70,IF(ISNA(MATCH("720G4J2*",$A$3:$A$70,0))=TRUE,MATCH("7200450*",$A$3:$A$70,0),MATCH("720G4J2*",$A$3:$A$70,0))),$AV$8,2),"")</f>
        <v/>
      </c>
      <c r="J654" s="24" t="str" cm="1">
        <f t="array" ref="J654">_xlfn.IFNA(MID(INDEX($A$3:$A$70,IF(ISNA(MATCH("720G4J2*",$A$3:$A$70,0))=TRUE,MATCH("7200450*",$A$3:$A$70,0),MATCH("720G4J2*",$A$3:$A$70,0))),$AW$8,2),"")</f>
        <v/>
      </c>
      <c r="K654" s="42" t="str" cm="1">
        <f t="array" ref="K654">_xlfn.IFNA(MID(INDEX($A$3:$A$70,IF(ISNA(MATCH("720G4J2*",$A$3:$A$70,0))=TRUE,MATCH("7200450*",$A$3:$A$70,0),MATCH("720G4J2*",$A$3:$A$70,0))),$AX$8,2),"")</f>
        <v/>
      </c>
      <c r="L654" s="43" t="str" cm="1">
        <f t="array" ref="L654">_xlfn.IFNA(MID(INDEX($A$3:$A$70,IF(ISNA(MATCH("720G4J2*",$A$3:$A$70,0))=TRUE,MATCH("7200450*",$A$3:$A$70,0),MATCH("720G4J2*",$A$3:$A$70,0))),$AY$8,2),"")</f>
        <v/>
      </c>
      <c r="M654" s="44" t="str" cm="1">
        <f t="array" ref="M654">_xlfn.IFNA(MID(INDEX($A$3:$A$70,IF(ISNA(MATCH("720G4J2*",$A$3:$A$70,0))=TRUE,MATCH("7200450*",$A$3:$A$70,0),MATCH("720G4J2*",$A$3:$A$70,0))),$AZ$8,2),"")</f>
        <v/>
      </c>
      <c r="N654" s="8" t="s">
        <v>60</v>
      </c>
      <c r="P654" s="19" t="s">
        <v>60</v>
      </c>
      <c r="Q654" s="20" t="s">
        <v>61</v>
      </c>
      <c r="R654" t="s">
        <v>62</v>
      </c>
      <c r="S654" s="8"/>
      <c r="T654" s="19" t="s">
        <v>60</v>
      </c>
      <c r="U654" s="20" t="s">
        <v>61</v>
      </c>
      <c r="V654" t="s">
        <v>62</v>
      </c>
      <c r="W654" s="8"/>
      <c r="X654" s="19" t="s">
        <v>60</v>
      </c>
      <c r="Y654" s="20" t="s">
        <v>61</v>
      </c>
      <c r="Z654" t="s">
        <v>62</v>
      </c>
      <c r="AA654" s="8"/>
      <c r="AB654" s="394"/>
      <c r="AC654" s="395"/>
      <c r="AD654" s="395"/>
      <c r="AE654" s="396"/>
      <c r="AF654" s="394"/>
      <c r="AG654" s="395"/>
      <c r="AH654" s="395"/>
      <c r="AI654" s="396"/>
      <c r="AJ654" s="394" t="s">
        <v>63</v>
      </c>
      <c r="AK654" s="396"/>
      <c r="AL654" s="501"/>
    </row>
    <row r="655" spans="3:38" x14ac:dyDescent="0.3">
      <c r="C655" s="7" t="s">
        <v>64</v>
      </c>
      <c r="D655" s="99" t="str">
        <f>HEX2BIN(D654,8)</f>
        <v>00000000</v>
      </c>
      <c r="E655" s="99" t="str">
        <f t="shared" ref="E655:L655" si="587">HEX2BIN(E654,8)</f>
        <v>00000000</v>
      </c>
      <c r="F655" s="99" t="str">
        <f t="shared" si="587"/>
        <v>00000000</v>
      </c>
      <c r="G655" s="99" t="str">
        <f t="shared" si="587"/>
        <v>00000000</v>
      </c>
      <c r="H655" s="99" t="str">
        <f t="shared" si="587"/>
        <v>00000000</v>
      </c>
      <c r="I655" s="99" t="str">
        <f t="shared" si="587"/>
        <v>00000000</v>
      </c>
      <c r="J655" s="99" t="str">
        <f t="shared" si="587"/>
        <v>00000000</v>
      </c>
      <c r="K655" s="99" t="str">
        <f t="shared" si="587"/>
        <v>00000000</v>
      </c>
      <c r="L655" s="99" t="str">
        <f t="shared" si="587"/>
        <v>00000000</v>
      </c>
      <c r="N655" s="8"/>
      <c r="P655" s="21" t="str">
        <f>MID(H655,1,1)</f>
        <v>0</v>
      </c>
      <c r="Q655" s="26" t="str">
        <f>P655</f>
        <v>0</v>
      </c>
      <c r="R655" s="7" t="s">
        <v>65</v>
      </c>
      <c r="S655" s="8" t="s">
        <v>66</v>
      </c>
      <c r="T655" s="21" t="str">
        <f>MID(I655,1,1)</f>
        <v>0</v>
      </c>
      <c r="U655" s="26" t="str">
        <f>T655</f>
        <v>0</v>
      </c>
      <c r="V655" s="7" t="s">
        <v>65</v>
      </c>
      <c r="W655" s="8" t="s">
        <v>66</v>
      </c>
      <c r="X655" s="21" t="str">
        <f>MID(J655,1,1)</f>
        <v>0</v>
      </c>
      <c r="Y655" s="26" t="str">
        <f>X655</f>
        <v>0</v>
      </c>
      <c r="Z655" s="7" t="s">
        <v>65</v>
      </c>
      <c r="AA655" s="8" t="s">
        <v>66</v>
      </c>
      <c r="AB655" s="400"/>
      <c r="AC655" s="381"/>
      <c r="AD655" s="381"/>
      <c r="AE655" s="401"/>
      <c r="AF655" s="400"/>
      <c r="AG655" s="381"/>
      <c r="AH655" s="381"/>
      <c r="AI655" s="401"/>
      <c r="AJ655" s="400"/>
      <c r="AK655" s="401"/>
      <c r="AL655" s="501"/>
    </row>
    <row r="656" spans="3:38" x14ac:dyDescent="0.3">
      <c r="C656" s="7" t="s">
        <v>67</v>
      </c>
      <c r="D656" s="99">
        <f>HEX2DEC(D654)</f>
        <v>0</v>
      </c>
      <c r="E656" s="99">
        <f t="shared" ref="E656:L656" si="588">HEX2DEC(E654)</f>
        <v>0</v>
      </c>
      <c r="F656" s="99">
        <f t="shared" si="588"/>
        <v>0</v>
      </c>
      <c r="G656" s="99">
        <f t="shared" si="588"/>
        <v>0</v>
      </c>
      <c r="H656" s="99">
        <f t="shared" si="588"/>
        <v>0</v>
      </c>
      <c r="I656" s="99">
        <f t="shared" si="588"/>
        <v>0</v>
      </c>
      <c r="J656" s="99">
        <f t="shared" si="588"/>
        <v>0</v>
      </c>
      <c r="K656" s="99">
        <f t="shared" si="588"/>
        <v>0</v>
      </c>
      <c r="L656" s="99">
        <f t="shared" si="588"/>
        <v>0</v>
      </c>
      <c r="M656" s="99">
        <f>SUM(D656:L656)</f>
        <v>0</v>
      </c>
      <c r="N656" s="8"/>
      <c r="P656" s="21" t="str">
        <f>MID(H655,2,1)</f>
        <v>0</v>
      </c>
      <c r="Q656" s="26" t="str">
        <f t="shared" ref="Q656:Q662" si="589">P656</f>
        <v>0</v>
      </c>
      <c r="R656" s="7" t="s">
        <v>68</v>
      </c>
      <c r="S656" s="8" t="s">
        <v>66</v>
      </c>
      <c r="T656" s="21" t="str">
        <f>MID(I655,2,1)</f>
        <v>0</v>
      </c>
      <c r="U656" s="26" t="str">
        <f t="shared" ref="U656:U662" si="590">T656</f>
        <v>0</v>
      </c>
      <c r="V656" s="7" t="s">
        <v>68</v>
      </c>
      <c r="W656" s="8" t="s">
        <v>66</v>
      </c>
      <c r="X656" s="21" t="str">
        <f>MID(J655,2,1)</f>
        <v>0</v>
      </c>
      <c r="Y656" s="26" t="str">
        <f t="shared" ref="Y656:Y662" si="591">X656</f>
        <v>0</v>
      </c>
      <c r="Z656" s="7" t="s">
        <v>68</v>
      </c>
      <c r="AA656" s="8" t="s">
        <v>66</v>
      </c>
      <c r="AB656" s="400"/>
      <c r="AC656" s="381"/>
      <c r="AD656" s="381"/>
      <c r="AE656" s="401"/>
      <c r="AF656" s="400"/>
      <c r="AG656" s="381"/>
      <c r="AH656" s="381"/>
      <c r="AI656" s="401"/>
      <c r="AJ656" s="400"/>
      <c r="AK656" s="401"/>
      <c r="AL656" s="501"/>
    </row>
    <row r="657" spans="3:38" x14ac:dyDescent="0.3">
      <c r="C657" s="7" t="s">
        <v>1678</v>
      </c>
      <c r="D657" s="333" t="str">
        <f>D654</f>
        <v/>
      </c>
      <c r="E657" s="333" t="str">
        <f>E654</f>
        <v/>
      </c>
      <c r="F657" s="99" t="str">
        <f>_xlfn.IFNA(MID(INDEX($A$3:$A$70,IF(ISNA(MATCH("720G4J2*",$A$3:$A$70,0))=TRUE,MATCH("7200450*",$A$3:$A$70,0),MATCH("720G4J2*",$A$3:$A$70,0))),$AS$8,2),"")</f>
        <v/>
      </c>
      <c r="G657" s="99" t="str">
        <f>_xlfn.IFNA(MID(INDEX($A$3:$A$70,IF(ISNA(MATCH("720G4J2*",$A$3:$A$70,0))=TRUE,MATCH("7200450*",$A$3:$A$70,0),MATCH("720G4J2*",$A$3:$A$70,0))),$AT$8,2),"")</f>
        <v/>
      </c>
      <c r="N657" s="8"/>
      <c r="P657" s="21" t="str">
        <f>MID(H655,3,1)</f>
        <v>0</v>
      </c>
      <c r="Q657" s="26" t="str">
        <f t="shared" si="589"/>
        <v>0</v>
      </c>
      <c r="R657" s="7" t="s">
        <v>69</v>
      </c>
      <c r="S657" s="8" t="s">
        <v>66</v>
      </c>
      <c r="T657" s="21" t="str">
        <f>MID(I655,3,1)</f>
        <v>0</v>
      </c>
      <c r="U657" s="26" t="str">
        <f t="shared" si="590"/>
        <v>0</v>
      </c>
      <c r="V657" s="7" t="s">
        <v>69</v>
      </c>
      <c r="W657" s="8" t="s">
        <v>66</v>
      </c>
      <c r="X657" s="21" t="str">
        <f>MID(J655,3,1)</f>
        <v>0</v>
      </c>
      <c r="Y657" s="26" t="str">
        <f t="shared" si="591"/>
        <v>0</v>
      </c>
      <c r="Z657" s="7" t="s">
        <v>69</v>
      </c>
      <c r="AA657" s="8" t="s">
        <v>66</v>
      </c>
      <c r="AB657" s="400"/>
      <c r="AC657" s="381"/>
      <c r="AD657" s="381"/>
      <c r="AE657" s="401"/>
      <c r="AF657" s="400"/>
      <c r="AG657" s="381"/>
      <c r="AH657" s="381"/>
      <c r="AI657" s="401"/>
      <c r="AJ657" s="400"/>
      <c r="AK657" s="401"/>
      <c r="AL657" s="501"/>
    </row>
    <row r="658" spans="3:38" ht="15" thickBot="1" x14ac:dyDescent="0.35">
      <c r="C658" s="7"/>
      <c r="N658" s="8"/>
      <c r="P658" s="21" t="str">
        <f>MID(H655,4,1)</f>
        <v>0</v>
      </c>
      <c r="Q658" s="26" t="str">
        <f t="shared" si="589"/>
        <v>0</v>
      </c>
      <c r="R658" s="7" t="s">
        <v>70</v>
      </c>
      <c r="S658" s="8" t="s">
        <v>66</v>
      </c>
      <c r="T658" s="21" t="str">
        <f>MID(I655,4,1)</f>
        <v>0</v>
      </c>
      <c r="U658" s="26" t="str">
        <f t="shared" si="590"/>
        <v>0</v>
      </c>
      <c r="V658" s="7" t="s">
        <v>70</v>
      </c>
      <c r="W658" s="8" t="s">
        <v>66</v>
      </c>
      <c r="X658" s="21" t="str">
        <f>MID(J655,4,1)</f>
        <v>0</v>
      </c>
      <c r="Y658" s="26" t="str">
        <f t="shared" si="591"/>
        <v>0</v>
      </c>
      <c r="Z658" s="7" t="s">
        <v>70</v>
      </c>
      <c r="AA658" s="8" t="s">
        <v>66</v>
      </c>
      <c r="AB658" s="400"/>
      <c r="AC658" s="381"/>
      <c r="AD658" s="381"/>
      <c r="AE658" s="401"/>
      <c r="AF658" s="400"/>
      <c r="AG658" s="381"/>
      <c r="AH658" s="381"/>
      <c r="AI658" s="401"/>
      <c r="AJ658" s="400"/>
      <c r="AK658" s="401"/>
      <c r="AL658" s="501"/>
    </row>
    <row r="659" spans="3:38" ht="15" thickBot="1" x14ac:dyDescent="0.35">
      <c r="C659" s="7" t="s">
        <v>56</v>
      </c>
      <c r="D659" s="15" t="str">
        <f>D654</f>
        <v/>
      </c>
      <c r="E659" s="16" t="str">
        <f>E654</f>
        <v/>
      </c>
      <c r="F659" s="16" t="str">
        <f>F654</f>
        <v/>
      </c>
      <c r="G659" s="17" t="str">
        <f>G654</f>
        <v/>
      </c>
      <c r="H659" s="23" t="str">
        <f>IF(J412="","",BIN2HEX(H660,2))</f>
        <v/>
      </c>
      <c r="I659" s="25" t="str">
        <f>IF(J412="","",BIN2HEX(I660,2))</f>
        <v/>
      </c>
      <c r="J659" s="24" t="str">
        <f>IF(J412="","",BIN2HEX(J660,2))</f>
        <v/>
      </c>
      <c r="K659" s="47" t="str">
        <f>K654</f>
        <v/>
      </c>
      <c r="L659" s="49" t="str">
        <f>L654</f>
        <v/>
      </c>
      <c r="M659" s="3" t="str">
        <f>IF(J412="","",IF(LEN(M660)&gt;2,MID(M660,2,2),M660))</f>
        <v/>
      </c>
      <c r="N659" s="8" t="s">
        <v>61</v>
      </c>
      <c r="P659" s="21" t="str">
        <f>MID(H655,5,1)</f>
        <v>0</v>
      </c>
      <c r="Q659" s="26" t="str">
        <f t="shared" si="589"/>
        <v>0</v>
      </c>
      <c r="R659" s="7" t="s">
        <v>71</v>
      </c>
      <c r="S659" s="8" t="s">
        <v>66</v>
      </c>
      <c r="T659" s="21" t="str">
        <f>MID(I655,5,1)</f>
        <v>0</v>
      </c>
      <c r="U659" s="26" t="str">
        <f t="shared" si="590"/>
        <v>0</v>
      </c>
      <c r="V659" s="7" t="s">
        <v>71</v>
      </c>
      <c r="W659" s="8" t="s">
        <v>66</v>
      </c>
      <c r="X659" s="21" t="str">
        <f>MID(J655,5,1)</f>
        <v>0</v>
      </c>
      <c r="Y659" s="26" t="str">
        <f t="shared" si="591"/>
        <v>0</v>
      </c>
      <c r="Z659" s="7" t="s">
        <v>71</v>
      </c>
      <c r="AA659" s="8" t="s">
        <v>66</v>
      </c>
      <c r="AB659" s="400"/>
      <c r="AC659" s="381"/>
      <c r="AD659" s="381"/>
      <c r="AE659" s="401"/>
      <c r="AF659" s="400"/>
      <c r="AG659" s="381"/>
      <c r="AH659" s="381"/>
      <c r="AI659" s="401"/>
      <c r="AJ659" s="400"/>
      <c r="AK659" s="401"/>
      <c r="AL659" s="501"/>
    </row>
    <row r="660" spans="3:38" x14ac:dyDescent="0.3">
      <c r="C660" s="7" t="s">
        <v>64</v>
      </c>
      <c r="D660" s="99" t="str">
        <f>HEX2BIN(D659,8)</f>
        <v>00000000</v>
      </c>
      <c r="E660" s="99" t="str">
        <f t="shared" ref="E660:G660" si="592">HEX2BIN(E659,8)</f>
        <v>00000000</v>
      </c>
      <c r="F660" s="99" t="str">
        <f t="shared" si="592"/>
        <v>00000000</v>
      </c>
      <c r="G660" s="99" t="str">
        <f t="shared" si="592"/>
        <v>00000000</v>
      </c>
      <c r="H660" s="29" t="str">
        <f>Q655&amp;Q656&amp;Q657&amp;Q658&amp;Q659&amp;Q660&amp;Q661&amp;Q662</f>
        <v>00000000</v>
      </c>
      <c r="I660" s="99" t="str">
        <f>U655&amp;U656&amp;U657&amp;U658&amp;U659&amp;U660&amp;U661&amp;U662</f>
        <v>00000000</v>
      </c>
      <c r="J660" s="29" t="str">
        <f>Y655&amp;Y656&amp;Y657&amp;Y658&amp;Y659&amp;Y660&amp;Y661&amp;Y662</f>
        <v>00000000</v>
      </c>
      <c r="K660" s="29"/>
      <c r="L660" s="99"/>
      <c r="M660" s="99" t="str">
        <f>DEC2HEX(M661)</f>
        <v>0</v>
      </c>
      <c r="N660" s="8"/>
      <c r="P660" s="21" t="str">
        <f>MID(H655,6,1)</f>
        <v>0</v>
      </c>
      <c r="Q660" s="26" t="str">
        <f t="shared" si="589"/>
        <v>0</v>
      </c>
      <c r="R660" s="7" t="s">
        <v>72</v>
      </c>
      <c r="S660" s="8" t="s">
        <v>66</v>
      </c>
      <c r="T660" s="21" t="str">
        <f>MID(I655,6,1)</f>
        <v>0</v>
      </c>
      <c r="U660" s="26" t="str">
        <f t="shared" si="590"/>
        <v>0</v>
      </c>
      <c r="V660" s="7" t="s">
        <v>72</v>
      </c>
      <c r="W660" s="8" t="s">
        <v>66</v>
      </c>
      <c r="X660" s="21" t="str">
        <f>MID(J655,6,1)</f>
        <v>0</v>
      </c>
      <c r="Y660" s="26" t="str">
        <f t="shared" si="591"/>
        <v>0</v>
      </c>
      <c r="Z660" s="7" t="s">
        <v>72</v>
      </c>
      <c r="AA660" s="8" t="s">
        <v>66</v>
      </c>
      <c r="AB660" s="400"/>
      <c r="AC660" s="381"/>
      <c r="AD660" s="381"/>
      <c r="AE660" s="401"/>
      <c r="AF660" s="400"/>
      <c r="AG660" s="381"/>
      <c r="AH660" s="381"/>
      <c r="AI660" s="401"/>
      <c r="AJ660" s="400"/>
      <c r="AK660" s="401"/>
      <c r="AL660" s="501"/>
    </row>
    <row r="661" spans="3:38" x14ac:dyDescent="0.3">
      <c r="C661" s="7" t="s">
        <v>67</v>
      </c>
      <c r="D661" s="99">
        <f>HEX2DEC(D659)</f>
        <v>0</v>
      </c>
      <c r="E661" s="99">
        <f t="shared" ref="E661:L661" si="593">HEX2DEC(E659)</f>
        <v>0</v>
      </c>
      <c r="F661" s="99">
        <f t="shared" si="593"/>
        <v>0</v>
      </c>
      <c r="G661" s="99">
        <f t="shared" si="593"/>
        <v>0</v>
      </c>
      <c r="H661" s="99">
        <f t="shared" si="593"/>
        <v>0</v>
      </c>
      <c r="I661" s="99">
        <f t="shared" si="593"/>
        <v>0</v>
      </c>
      <c r="J661" s="99">
        <f t="shared" si="593"/>
        <v>0</v>
      </c>
      <c r="K661" s="99">
        <f t="shared" si="593"/>
        <v>0</v>
      </c>
      <c r="L661" s="99">
        <f t="shared" si="593"/>
        <v>0</v>
      </c>
      <c r="M661" s="99">
        <f>SUM(D661:L661)</f>
        <v>0</v>
      </c>
      <c r="N661" s="8"/>
      <c r="P661" s="21" t="str">
        <f>MID(H655,7,1)</f>
        <v>0</v>
      </c>
      <c r="Q661" s="26" t="str">
        <f t="shared" si="589"/>
        <v>0</v>
      </c>
      <c r="R661" s="7" t="s">
        <v>73</v>
      </c>
      <c r="S661" s="8" t="s">
        <v>66</v>
      </c>
      <c r="T661" s="21" t="str">
        <f>MID(I655,7,1)</f>
        <v>0</v>
      </c>
      <c r="U661" s="26" t="str">
        <f t="shared" si="590"/>
        <v>0</v>
      </c>
      <c r="V661" s="7" t="s">
        <v>73</v>
      </c>
      <c r="W661" s="8" t="s">
        <v>66</v>
      </c>
      <c r="X661" s="21" t="str">
        <f>MID(J655,7,1)</f>
        <v>0</v>
      </c>
      <c r="Y661" s="26" t="str">
        <f t="shared" si="591"/>
        <v>0</v>
      </c>
      <c r="Z661" s="7" t="s">
        <v>73</v>
      </c>
      <c r="AA661" s="8" t="s">
        <v>66</v>
      </c>
      <c r="AB661" s="400"/>
      <c r="AC661" s="381"/>
      <c r="AD661" s="381"/>
      <c r="AE661" s="401"/>
      <c r="AF661" s="400"/>
      <c r="AG661" s="381"/>
      <c r="AH661" s="381"/>
      <c r="AI661" s="401"/>
      <c r="AJ661" s="400"/>
      <c r="AK661" s="401"/>
      <c r="AL661" s="501"/>
    </row>
    <row r="662" spans="3:38" ht="15" thickBot="1" x14ac:dyDescent="0.35">
      <c r="C662" s="9" t="s">
        <v>1678</v>
      </c>
      <c r="D662" s="334" t="str">
        <f>D657</f>
        <v/>
      </c>
      <c r="E662" s="334" t="str">
        <f t="shared" ref="E662:G662" si="594">E657</f>
        <v/>
      </c>
      <c r="F662" s="334" t="str">
        <f t="shared" si="594"/>
        <v/>
      </c>
      <c r="G662" s="334" t="str">
        <f t="shared" si="594"/>
        <v/>
      </c>
      <c r="H662" s="10"/>
      <c r="I662" s="10"/>
      <c r="J662" s="10"/>
      <c r="K662" s="10"/>
      <c r="L662" s="10"/>
      <c r="M662" s="10"/>
      <c r="N662" s="11"/>
      <c r="P662" s="22" t="str">
        <f>MID(H655,8,1)</f>
        <v>0</v>
      </c>
      <c r="Q662" s="55" t="str">
        <f t="shared" si="589"/>
        <v>0</v>
      </c>
      <c r="R662" s="9" t="s">
        <v>74</v>
      </c>
      <c r="S662" s="11" t="s">
        <v>66</v>
      </c>
      <c r="T662" s="22" t="str">
        <f>MID(I655,8,1)</f>
        <v>0</v>
      </c>
      <c r="U662" s="55" t="str">
        <f t="shared" si="590"/>
        <v>0</v>
      </c>
      <c r="V662" s="9" t="s">
        <v>74</v>
      </c>
      <c r="W662" s="11" t="s">
        <v>66</v>
      </c>
      <c r="X662" s="22" t="str">
        <f>MID(J655,8,1)</f>
        <v>0</v>
      </c>
      <c r="Y662" s="55" t="str">
        <f t="shared" si="591"/>
        <v>0</v>
      </c>
      <c r="Z662" s="9" t="s">
        <v>74</v>
      </c>
      <c r="AA662" s="11" t="s">
        <v>66</v>
      </c>
      <c r="AB662" s="402"/>
      <c r="AC662" s="403"/>
      <c r="AD662" s="403"/>
      <c r="AE662" s="404"/>
      <c r="AF662" s="402"/>
      <c r="AG662" s="403"/>
      <c r="AH662" s="403"/>
      <c r="AI662" s="404"/>
      <c r="AJ662" s="402"/>
      <c r="AK662" s="404"/>
      <c r="AL662" s="501"/>
    </row>
    <row r="663" spans="3:38" ht="15" thickBot="1" x14ac:dyDescent="0.35">
      <c r="C663" s="4"/>
      <c r="D663" s="5"/>
      <c r="E663" s="5"/>
      <c r="F663" s="5"/>
      <c r="G663" s="5"/>
      <c r="H663" s="5"/>
      <c r="I663" s="5"/>
      <c r="J663" s="5"/>
      <c r="K663" s="5"/>
      <c r="L663" s="5"/>
      <c r="M663" s="5" t="s">
        <v>41</v>
      </c>
      <c r="N663" s="6"/>
      <c r="P663" s="530" t="s">
        <v>1831</v>
      </c>
      <c r="Q663" s="530"/>
      <c r="R663" s="530"/>
      <c r="S663" s="530"/>
      <c r="T663" s="530"/>
      <c r="U663" s="530"/>
      <c r="V663" s="530"/>
      <c r="W663" s="530"/>
      <c r="X663" s="530"/>
      <c r="Y663" s="530"/>
      <c r="Z663" s="530"/>
      <c r="AA663" s="530"/>
      <c r="AB663" s="530"/>
      <c r="AC663" s="530"/>
      <c r="AD663" s="530"/>
      <c r="AE663" s="530"/>
      <c r="AF663" s="530"/>
      <c r="AG663" s="530"/>
      <c r="AH663" s="530"/>
      <c r="AI663" s="530"/>
      <c r="AJ663" s="530"/>
      <c r="AK663" s="530"/>
      <c r="AL663" s="501"/>
    </row>
    <row r="664" spans="3:38" ht="15" thickBot="1" x14ac:dyDescent="0.35">
      <c r="C664" s="7"/>
      <c r="D664" s="393" t="s">
        <v>1532</v>
      </c>
      <c r="E664" s="393"/>
      <c r="F664" s="393"/>
      <c r="G664" s="393"/>
      <c r="H664" s="99" t="s">
        <v>44</v>
      </c>
      <c r="I664" s="99" t="s">
        <v>45</v>
      </c>
      <c r="J664" s="99" t="s">
        <v>46</v>
      </c>
      <c r="K664" s="99" t="s">
        <v>47</v>
      </c>
      <c r="L664" s="99" t="s">
        <v>48</v>
      </c>
      <c r="M664" s="99" t="s">
        <v>49</v>
      </c>
      <c r="N664" s="8"/>
      <c r="P664" s="394" t="s">
        <v>50</v>
      </c>
      <c r="Q664" s="395"/>
      <c r="R664" s="395"/>
      <c r="S664" s="396"/>
      <c r="T664" s="394" t="s">
        <v>51</v>
      </c>
      <c r="U664" s="395"/>
      <c r="V664" s="395"/>
      <c r="W664" s="396"/>
      <c r="X664" s="394" t="s">
        <v>52</v>
      </c>
      <c r="Y664" s="395"/>
      <c r="Z664" s="395"/>
      <c r="AA664" s="396"/>
      <c r="AB664" s="394" t="s">
        <v>53</v>
      </c>
      <c r="AC664" s="395"/>
      <c r="AD664" s="395"/>
      <c r="AE664" s="396"/>
      <c r="AF664" s="394" t="s">
        <v>97</v>
      </c>
      <c r="AG664" s="395"/>
      <c r="AH664" s="395"/>
      <c r="AI664" s="396"/>
      <c r="AJ664" s="394" t="s">
        <v>55</v>
      </c>
      <c r="AK664" s="396"/>
      <c r="AL664" s="501"/>
    </row>
    <row r="665" spans="3:38" ht="15" thickBot="1" x14ac:dyDescent="0.35">
      <c r="C665" s="7" t="s">
        <v>56</v>
      </c>
      <c r="D665" s="12" t="str">
        <f>IF(J412="","",7)</f>
        <v/>
      </c>
      <c r="E665" s="13" t="str">
        <f>IF(J412="","",20)</f>
        <v/>
      </c>
      <c r="F665" s="13" t="str">
        <f>IF(J412="","",4)</f>
        <v/>
      </c>
      <c r="G665" s="14" t="str">
        <f>IF(J412="","",51)</f>
        <v/>
      </c>
      <c r="H665" s="41" t="str" cm="1">
        <f t="array" ref="H665">_xlfn.IFNA(MID(INDEX($A$3:$A$70,IF(ISNA(MATCH("720G4J3*",$A$3:$A$70,0))=TRUE,MATCH("7200451*",$A$3:$A$70,0),MATCH("720G4J3*",$A$3:$A$70,0))),$AU$8,2),"")</f>
        <v/>
      </c>
      <c r="I665" s="42" t="str" cm="1">
        <f t="array" ref="I665">_xlfn.IFNA(MID(INDEX($A$3:$A$70,IF(ISNA(MATCH("720G4J3*",$A$3:$A$70,0))=TRUE,MATCH("7200451*",$A$3:$A$70,0),MATCH("720G4J3*",$A$3:$A$70,0))),$AV$8,2),"")</f>
        <v/>
      </c>
      <c r="J665" s="24" t="str" cm="1">
        <f t="array" ref="J665">_xlfn.IFNA(MID(INDEX($A$3:$A$70,IF(ISNA(MATCH("720G4J3*",$A$3:$A$70,0))=TRUE,MATCH("7200451*",$A$3:$A$70,0),MATCH("720G4J3*",$A$3:$A$70,0))),$AW$8,2),"")</f>
        <v/>
      </c>
      <c r="K665" s="42" t="str" cm="1">
        <f t="array" ref="K665">_xlfn.IFNA(MID(INDEX($A$3:$A$70,IF(ISNA(MATCH("720G4J3*",$A$3:$A$70,0))=TRUE,MATCH("7200451*",$A$3:$A$70,0),MATCH("720G4J3*",$A$3:$A$70,0))),$AX$8,2),"")</f>
        <v/>
      </c>
      <c r="L665" s="43" t="str" cm="1">
        <f t="array" ref="L665">_xlfn.IFNA(MID(INDEX($A$3:$A$70,IF(ISNA(MATCH("720G4J3*",$A$3:$A$70,0))=TRUE,MATCH("7200451*",$A$3:$A$70,0),MATCH("720G4J3*",$A$3:$A$70,0))),$AY$8,2),"")</f>
        <v/>
      </c>
      <c r="M665" s="44" t="str" cm="1">
        <f t="array" ref="M665">_xlfn.IFNA(MID(INDEX($A$3:$A$70,IF(ISNA(MATCH("720G4J3*",$A$3:$A$70,0))=TRUE,MATCH("7200451*",$A$3:$A$70,0),MATCH("720G4J3*",$A$3:$A$70,0))),$AZ$8,2),"")</f>
        <v/>
      </c>
      <c r="N665" s="8" t="s">
        <v>60</v>
      </c>
      <c r="P665" s="19" t="s">
        <v>60</v>
      </c>
      <c r="Q665" s="20" t="s">
        <v>61</v>
      </c>
      <c r="R665" t="s">
        <v>62</v>
      </c>
      <c r="S665" s="8"/>
      <c r="T665" s="19" t="s">
        <v>60</v>
      </c>
      <c r="U665" s="20" t="s">
        <v>61</v>
      </c>
      <c r="V665" t="s">
        <v>62</v>
      </c>
      <c r="W665" s="8"/>
      <c r="X665" s="19" t="s">
        <v>60</v>
      </c>
      <c r="Y665" s="20" t="s">
        <v>61</v>
      </c>
      <c r="Z665" t="s">
        <v>62</v>
      </c>
      <c r="AA665" s="8"/>
      <c r="AB665" s="19" t="s">
        <v>60</v>
      </c>
      <c r="AC665" s="20" t="s">
        <v>61</v>
      </c>
      <c r="AD665" t="s">
        <v>62</v>
      </c>
      <c r="AE665" s="8"/>
      <c r="AF665" s="19" t="s">
        <v>60</v>
      </c>
      <c r="AG665" s="20" t="s">
        <v>61</v>
      </c>
      <c r="AH665" t="s">
        <v>62</v>
      </c>
      <c r="AJ665" s="394" t="s">
        <v>63</v>
      </c>
      <c r="AK665" s="396"/>
      <c r="AL665" s="501"/>
    </row>
    <row r="666" spans="3:38" x14ac:dyDescent="0.3">
      <c r="C666" s="7" t="s">
        <v>64</v>
      </c>
      <c r="D666" s="99" t="str">
        <f>HEX2BIN(D665,8)</f>
        <v>00000000</v>
      </c>
      <c r="E666" s="99" t="str">
        <f t="shared" ref="E666:L666" si="595">HEX2BIN(E665,8)</f>
        <v>00000000</v>
      </c>
      <c r="F666" s="99" t="str">
        <f t="shared" si="595"/>
        <v>00000000</v>
      </c>
      <c r="G666" s="99" t="str">
        <f t="shared" si="595"/>
        <v>00000000</v>
      </c>
      <c r="H666" s="99" t="str">
        <f t="shared" si="595"/>
        <v>00000000</v>
      </c>
      <c r="I666" s="99" t="str">
        <f t="shared" si="595"/>
        <v>00000000</v>
      </c>
      <c r="J666" s="99" t="str">
        <f t="shared" si="595"/>
        <v>00000000</v>
      </c>
      <c r="K666" s="99" t="str">
        <f t="shared" si="595"/>
        <v>00000000</v>
      </c>
      <c r="L666" s="99" t="str">
        <f t="shared" si="595"/>
        <v>00000000</v>
      </c>
      <c r="N666" s="8"/>
      <c r="P666" s="21" t="str">
        <f>MID(H666,1,1)</f>
        <v>0</v>
      </c>
      <c r="Q666" s="26" t="str">
        <f>P666</f>
        <v>0</v>
      </c>
      <c r="R666" s="7" t="s">
        <v>65</v>
      </c>
      <c r="S666" s="8" t="s">
        <v>66</v>
      </c>
      <c r="T666" s="21" t="str">
        <f>MID(I666,1,1)</f>
        <v>0</v>
      </c>
      <c r="U666" s="26" t="str">
        <f>T666</f>
        <v>0</v>
      </c>
      <c r="V666" s="7" t="s">
        <v>65</v>
      </c>
      <c r="W666" s="8" t="s">
        <v>66</v>
      </c>
      <c r="X666" s="21" t="str">
        <f>MID(J666,1,1)</f>
        <v>0</v>
      </c>
      <c r="Y666" s="26" t="str">
        <f>X666</f>
        <v>0</v>
      </c>
      <c r="Z666" s="7" t="s">
        <v>65</v>
      </c>
      <c r="AA666" s="8" t="s">
        <v>66</v>
      </c>
      <c r="AB666" s="21" t="str">
        <f>MID(K666,1,1)</f>
        <v>0</v>
      </c>
      <c r="AC666" s="26" t="str">
        <f>AB666</f>
        <v>0</v>
      </c>
      <c r="AD666" s="7" t="s">
        <v>65</v>
      </c>
      <c r="AE666" s="8" t="s">
        <v>66</v>
      </c>
      <c r="AF666" s="21" t="str">
        <f>MID(L666,1,1)</f>
        <v>0</v>
      </c>
      <c r="AG666" s="26" t="str">
        <f>AF666</f>
        <v>0</v>
      </c>
      <c r="AH666" s="7" t="s">
        <v>65</v>
      </c>
      <c r="AI666" s="8" t="s">
        <v>66</v>
      </c>
      <c r="AJ666" s="400"/>
      <c r="AK666" s="401"/>
      <c r="AL666" s="501"/>
    </row>
    <row r="667" spans="3:38" x14ac:dyDescent="0.3">
      <c r="C667" s="7" t="s">
        <v>67</v>
      </c>
      <c r="D667" s="99">
        <f>HEX2DEC(D665)</f>
        <v>0</v>
      </c>
      <c r="E667" s="99">
        <f t="shared" ref="E667:L667" si="596">HEX2DEC(E665)</f>
        <v>0</v>
      </c>
      <c r="F667" s="99">
        <f t="shared" si="596"/>
        <v>0</v>
      </c>
      <c r="G667" s="99">
        <f t="shared" si="596"/>
        <v>0</v>
      </c>
      <c r="H667" s="99">
        <f t="shared" si="596"/>
        <v>0</v>
      </c>
      <c r="I667" s="99">
        <f t="shared" si="596"/>
        <v>0</v>
      </c>
      <c r="J667" s="99">
        <f t="shared" si="596"/>
        <v>0</v>
      </c>
      <c r="K667" s="99">
        <f t="shared" si="596"/>
        <v>0</v>
      </c>
      <c r="L667" s="99">
        <f t="shared" si="596"/>
        <v>0</v>
      </c>
      <c r="M667" s="99">
        <f>SUM(D667:L667)</f>
        <v>0</v>
      </c>
      <c r="N667" s="8"/>
      <c r="P667" s="21" t="str">
        <f>MID(H666,2,1)</f>
        <v>0</v>
      </c>
      <c r="Q667" s="26" t="str">
        <f t="shared" ref="Q667:Q673" si="597">P667</f>
        <v>0</v>
      </c>
      <c r="R667" s="7" t="s">
        <v>68</v>
      </c>
      <c r="S667" s="8" t="s">
        <v>66</v>
      </c>
      <c r="T667" s="21" t="str">
        <f>MID(I666,2,1)</f>
        <v>0</v>
      </c>
      <c r="U667" s="26" t="str">
        <f t="shared" ref="U667:U673" si="598">T667</f>
        <v>0</v>
      </c>
      <c r="V667" s="7" t="s">
        <v>68</v>
      </c>
      <c r="W667" s="8" t="s">
        <v>66</v>
      </c>
      <c r="X667" s="21" t="str">
        <f>MID(J666,2,1)</f>
        <v>0</v>
      </c>
      <c r="Y667" s="26" t="str">
        <f t="shared" ref="Y667:Y673" si="599">X667</f>
        <v>0</v>
      </c>
      <c r="Z667" s="7" t="s">
        <v>68</v>
      </c>
      <c r="AA667" s="8" t="s">
        <v>66</v>
      </c>
      <c r="AB667" s="21" t="str">
        <f>MID(K666,2,1)</f>
        <v>0</v>
      </c>
      <c r="AC667" s="26" t="str">
        <f t="shared" ref="AC667:AC673" si="600">AB667</f>
        <v>0</v>
      </c>
      <c r="AD667" s="7" t="s">
        <v>68</v>
      </c>
      <c r="AE667" s="8" t="s">
        <v>66</v>
      </c>
      <c r="AF667" s="21" t="str">
        <f>MID(L666,2,1)</f>
        <v>0</v>
      </c>
      <c r="AG667" s="26" t="str">
        <f t="shared" ref="AG667:AG673" si="601">AF667</f>
        <v>0</v>
      </c>
      <c r="AH667" s="7" t="s">
        <v>68</v>
      </c>
      <c r="AI667" s="8" t="s">
        <v>66</v>
      </c>
      <c r="AJ667" s="400"/>
      <c r="AK667" s="401"/>
      <c r="AL667" s="501"/>
    </row>
    <row r="668" spans="3:38" x14ac:dyDescent="0.3">
      <c r="C668" s="7" t="s">
        <v>1678</v>
      </c>
      <c r="D668" s="333" t="str">
        <f>D665</f>
        <v/>
      </c>
      <c r="E668" s="333" t="str">
        <f>E665</f>
        <v/>
      </c>
      <c r="F668" s="99" t="str">
        <f>_xlfn.IFNA(MID(INDEX($A$3:$A$70,IF(ISNA(MATCH("720G4J3*",$A$3:$A$70,0))=TRUE,MATCH("7200451*",$A$3:$A$70,0),MATCH("720G4J3*",$A$3:$A$70,0))),$AS$8,2),"")</f>
        <v/>
      </c>
      <c r="G668" s="99" t="str">
        <f>_xlfn.IFNA(MID(INDEX($A$3:$A$70,IF(ISNA(MATCH("720G4J3*",$A$3:$A$70,0))=TRUE,MATCH("7200451*",$A$3:$A$70,0),MATCH("720G4J3*",$A$3:$A$70,0))),$AT$8,2),"")</f>
        <v/>
      </c>
      <c r="N668" s="8"/>
      <c r="P668" s="21" t="str">
        <f>MID(H666,3,1)</f>
        <v>0</v>
      </c>
      <c r="Q668" s="26" t="str">
        <f t="shared" si="597"/>
        <v>0</v>
      </c>
      <c r="R668" s="7" t="s">
        <v>69</v>
      </c>
      <c r="S668" s="8" t="s">
        <v>66</v>
      </c>
      <c r="T668" s="21" t="str">
        <f>MID(I666,3,1)</f>
        <v>0</v>
      </c>
      <c r="U668" s="26" t="str">
        <f t="shared" si="598"/>
        <v>0</v>
      </c>
      <c r="V668" s="7" t="s">
        <v>69</v>
      </c>
      <c r="W668" s="8" t="s">
        <v>66</v>
      </c>
      <c r="X668" s="21" t="str">
        <f>MID(J666,3,1)</f>
        <v>0</v>
      </c>
      <c r="Y668" s="26" t="str">
        <f t="shared" si="599"/>
        <v>0</v>
      </c>
      <c r="Z668" s="7" t="s">
        <v>69</v>
      </c>
      <c r="AA668" s="8" t="s">
        <v>66</v>
      </c>
      <c r="AB668" s="21" t="str">
        <f>MID(K666,3,1)</f>
        <v>0</v>
      </c>
      <c r="AC668" s="26" t="str">
        <f t="shared" si="600"/>
        <v>0</v>
      </c>
      <c r="AD668" s="7" t="s">
        <v>69</v>
      </c>
      <c r="AE668" s="8" t="s">
        <v>66</v>
      </c>
      <c r="AF668" s="21" t="str">
        <f>MID(L666,3,1)</f>
        <v>0</v>
      </c>
      <c r="AG668" s="26" t="str">
        <f t="shared" si="601"/>
        <v>0</v>
      </c>
      <c r="AH668" s="7" t="s">
        <v>69</v>
      </c>
      <c r="AI668" s="8" t="s">
        <v>66</v>
      </c>
      <c r="AJ668" s="400"/>
      <c r="AK668" s="401"/>
      <c r="AL668" s="501"/>
    </row>
    <row r="669" spans="3:38" ht="15" thickBot="1" x14ac:dyDescent="0.35">
      <c r="C669" s="7"/>
      <c r="N669" s="8"/>
      <c r="P669" s="21" t="str">
        <f>MID(H666,4,1)</f>
        <v>0</v>
      </c>
      <c r="Q669" s="26" t="str">
        <f t="shared" si="597"/>
        <v>0</v>
      </c>
      <c r="R669" s="7" t="s">
        <v>70</v>
      </c>
      <c r="S669" s="8" t="s">
        <v>66</v>
      </c>
      <c r="T669" s="21" t="str">
        <f>MID(I666,4,1)</f>
        <v>0</v>
      </c>
      <c r="U669" s="26" t="str">
        <f t="shared" si="598"/>
        <v>0</v>
      </c>
      <c r="V669" s="7" t="s">
        <v>70</v>
      </c>
      <c r="W669" s="8" t="s">
        <v>66</v>
      </c>
      <c r="X669" s="21" t="str">
        <f>MID(J666,4,1)</f>
        <v>0</v>
      </c>
      <c r="Y669" s="26" t="str">
        <f t="shared" si="599"/>
        <v>0</v>
      </c>
      <c r="Z669" s="7" t="s">
        <v>70</v>
      </c>
      <c r="AA669" s="8" t="s">
        <v>66</v>
      </c>
      <c r="AB669" s="21" t="str">
        <f>MID(K666,4,1)</f>
        <v>0</v>
      </c>
      <c r="AC669" s="26" t="str">
        <f t="shared" si="600"/>
        <v>0</v>
      </c>
      <c r="AD669" s="7" t="s">
        <v>70</v>
      </c>
      <c r="AE669" s="8" t="s">
        <v>66</v>
      </c>
      <c r="AF669" s="21" t="str">
        <f>MID(L666,4,1)</f>
        <v>0</v>
      </c>
      <c r="AG669" s="26" t="str">
        <f t="shared" si="601"/>
        <v>0</v>
      </c>
      <c r="AH669" s="7" t="s">
        <v>70</v>
      </c>
      <c r="AI669" s="8" t="s">
        <v>66</v>
      </c>
      <c r="AJ669" s="400"/>
      <c r="AK669" s="401"/>
      <c r="AL669" s="501"/>
    </row>
    <row r="670" spans="3:38" ht="15" thickBot="1" x14ac:dyDescent="0.35">
      <c r="C670" s="7" t="s">
        <v>56</v>
      </c>
      <c r="D670" s="15" t="str">
        <f>D665</f>
        <v/>
      </c>
      <c r="E670" s="16" t="str">
        <f>E665</f>
        <v/>
      </c>
      <c r="F670" s="16" t="str">
        <f>F665</f>
        <v/>
      </c>
      <c r="G670" s="17" t="str">
        <f>G665</f>
        <v/>
      </c>
      <c r="H670" s="23" t="str">
        <f>IF(J412="","",BIN2HEX(H671,2))</f>
        <v/>
      </c>
      <c r="I670" s="25" t="str">
        <f>IF(J412="","",BIN2HEX(I671,2))</f>
        <v/>
      </c>
      <c r="J670" s="24" t="str">
        <f>IF(J412="","",BIN2HEX(J671,2))</f>
        <v/>
      </c>
      <c r="K670" s="2" t="str">
        <f>IF(J412="","",BIN2HEX(K671,2))</f>
        <v/>
      </c>
      <c r="L670" s="18" t="str">
        <f>IF(J412="","",BIN2HEX(L671,2))</f>
        <v/>
      </c>
      <c r="M670" s="3" t="str">
        <f>IF(J412="","",IF(LEN(M671)&gt;2,MID(M671,2,2),M671))</f>
        <v/>
      </c>
      <c r="N670" s="8" t="s">
        <v>61</v>
      </c>
      <c r="P670" s="21" t="str">
        <f>MID(H666,5,1)</f>
        <v>0</v>
      </c>
      <c r="Q670" s="26" t="str">
        <f t="shared" si="597"/>
        <v>0</v>
      </c>
      <c r="R670" s="7" t="s">
        <v>71</v>
      </c>
      <c r="S670" s="8" t="s">
        <v>66</v>
      </c>
      <c r="T670" s="21" t="str">
        <f>MID(I666,5,1)</f>
        <v>0</v>
      </c>
      <c r="U670" s="26" t="str">
        <f t="shared" si="598"/>
        <v>0</v>
      </c>
      <c r="V670" s="7" t="s">
        <v>71</v>
      </c>
      <c r="W670" s="8" t="s">
        <v>66</v>
      </c>
      <c r="X670" s="21" t="str">
        <f>MID(J666,5,1)</f>
        <v>0</v>
      </c>
      <c r="Y670" s="26" t="str">
        <f t="shared" si="599"/>
        <v>0</v>
      </c>
      <c r="Z670" s="7" t="s">
        <v>71</v>
      </c>
      <c r="AA670" s="8" t="s">
        <v>66</v>
      </c>
      <c r="AB670" s="21" t="str">
        <f>MID(K666,5,1)</f>
        <v>0</v>
      </c>
      <c r="AC670" s="26" t="str">
        <f t="shared" si="600"/>
        <v>0</v>
      </c>
      <c r="AD670" s="7" t="s">
        <v>71</v>
      </c>
      <c r="AE670" s="8" t="s">
        <v>66</v>
      </c>
      <c r="AF670" s="21" t="str">
        <f>MID(L666,5,1)</f>
        <v>0</v>
      </c>
      <c r="AG670" s="26" t="str">
        <f t="shared" si="601"/>
        <v>0</v>
      </c>
      <c r="AH670" s="7" t="s">
        <v>71</v>
      </c>
      <c r="AI670" s="8" t="s">
        <v>66</v>
      </c>
      <c r="AJ670" s="400"/>
      <c r="AK670" s="401"/>
      <c r="AL670" s="501"/>
    </row>
    <row r="671" spans="3:38" x14ac:dyDescent="0.3">
      <c r="C671" s="7" t="s">
        <v>64</v>
      </c>
      <c r="D671" s="99" t="str">
        <f>HEX2BIN(D670,8)</f>
        <v>00000000</v>
      </c>
      <c r="E671" s="99" t="str">
        <f t="shared" ref="E671:G671" si="602">HEX2BIN(E670,8)</f>
        <v>00000000</v>
      </c>
      <c r="F671" s="99" t="str">
        <f t="shared" si="602"/>
        <v>00000000</v>
      </c>
      <c r="G671" s="99" t="str">
        <f t="shared" si="602"/>
        <v>00000000</v>
      </c>
      <c r="H671" s="29" t="str">
        <f>Q666&amp;Q667&amp;Q668&amp;Q669&amp;Q670&amp;Q671&amp;Q672&amp;Q673</f>
        <v>00000000</v>
      </c>
      <c r="I671" s="99" t="str">
        <f>U666&amp;U667&amp;U668&amp;U669&amp;U670&amp;U671&amp;U672&amp;U673</f>
        <v>00000000</v>
      </c>
      <c r="J671" s="29" t="str">
        <f>Y666&amp;Y667&amp;Y668&amp;Y669&amp;Y670&amp;Y671&amp;Y672&amp;Y673</f>
        <v>00000000</v>
      </c>
      <c r="K671" s="29" t="str">
        <f>AC666&amp;AC667&amp;AC668&amp;AC669&amp;AC670&amp;AC671&amp;AC672&amp;AC673</f>
        <v>00000000</v>
      </c>
      <c r="L671" s="99" t="str">
        <f>AG666&amp;AG667&amp;AG668&amp;AG669&amp;AG670&amp;AG671&amp;AG672&amp;AG673</f>
        <v>00000000</v>
      </c>
      <c r="M671" s="99" t="str">
        <f>DEC2HEX(M672)</f>
        <v>0</v>
      </c>
      <c r="N671" s="8"/>
      <c r="P671" s="21" t="str">
        <f>MID(H666,6,1)</f>
        <v>0</v>
      </c>
      <c r="Q671" s="26" t="str">
        <f t="shared" si="597"/>
        <v>0</v>
      </c>
      <c r="R671" s="7" t="s">
        <v>72</v>
      </c>
      <c r="S671" s="8" t="s">
        <v>66</v>
      </c>
      <c r="T671" s="21" t="str">
        <f>MID(I666,6,1)</f>
        <v>0</v>
      </c>
      <c r="U671" s="26" t="str">
        <f t="shared" si="598"/>
        <v>0</v>
      </c>
      <c r="V671" s="7" t="s">
        <v>72</v>
      </c>
      <c r="W671" s="8" t="s">
        <v>66</v>
      </c>
      <c r="X671" s="21" t="str">
        <f>MID(J666,6,1)</f>
        <v>0</v>
      </c>
      <c r="Y671" s="26" t="str">
        <f t="shared" si="599"/>
        <v>0</v>
      </c>
      <c r="Z671" s="7" t="s">
        <v>72</v>
      </c>
      <c r="AA671" s="8" t="s">
        <v>66</v>
      </c>
      <c r="AB671" s="21" t="str">
        <f>MID(K666,6,1)</f>
        <v>0</v>
      </c>
      <c r="AC671" s="26" t="str">
        <f t="shared" si="600"/>
        <v>0</v>
      </c>
      <c r="AD671" s="7" t="s">
        <v>72</v>
      </c>
      <c r="AE671" s="8" t="s">
        <v>66</v>
      </c>
      <c r="AF671" s="21" t="str">
        <f>MID(L666,6,1)</f>
        <v>0</v>
      </c>
      <c r="AG671" s="26" t="str">
        <f t="shared" si="601"/>
        <v>0</v>
      </c>
      <c r="AH671" s="7" t="s">
        <v>72</v>
      </c>
      <c r="AI671" s="8" t="s">
        <v>66</v>
      </c>
      <c r="AJ671" s="400"/>
      <c r="AK671" s="401"/>
      <c r="AL671" s="501"/>
    </row>
    <row r="672" spans="3:38" x14ac:dyDescent="0.3">
      <c r="C672" s="7" t="s">
        <v>67</v>
      </c>
      <c r="D672" s="99">
        <f>HEX2DEC(D670)</f>
        <v>0</v>
      </c>
      <c r="E672" s="99">
        <f t="shared" ref="E672:L672" si="603">HEX2DEC(E670)</f>
        <v>0</v>
      </c>
      <c r="F672" s="99">
        <f t="shared" si="603"/>
        <v>0</v>
      </c>
      <c r="G672" s="99">
        <f t="shared" si="603"/>
        <v>0</v>
      </c>
      <c r="H672" s="99">
        <f t="shared" si="603"/>
        <v>0</v>
      </c>
      <c r="I672" s="99">
        <f t="shared" si="603"/>
        <v>0</v>
      </c>
      <c r="J672" s="99">
        <f t="shared" si="603"/>
        <v>0</v>
      </c>
      <c r="K672" s="99">
        <f t="shared" si="603"/>
        <v>0</v>
      </c>
      <c r="L672" s="99">
        <f t="shared" si="603"/>
        <v>0</v>
      </c>
      <c r="M672" s="99">
        <f>SUM(D672:L672)</f>
        <v>0</v>
      </c>
      <c r="N672" s="8"/>
      <c r="P672" s="21" t="str">
        <f>MID(H666,7,1)</f>
        <v>0</v>
      </c>
      <c r="Q672" s="26" t="str">
        <f t="shared" si="597"/>
        <v>0</v>
      </c>
      <c r="R672" s="7" t="s">
        <v>73</v>
      </c>
      <c r="S672" s="8" t="s">
        <v>66</v>
      </c>
      <c r="T672" s="21" t="str">
        <f>MID(I666,7,1)</f>
        <v>0</v>
      </c>
      <c r="U672" s="26" t="str">
        <f t="shared" si="598"/>
        <v>0</v>
      </c>
      <c r="V672" s="7" t="s">
        <v>73</v>
      </c>
      <c r="W672" s="8" t="s">
        <v>66</v>
      </c>
      <c r="X672" s="21" t="str">
        <f>MID(J666,7,1)</f>
        <v>0</v>
      </c>
      <c r="Y672" s="26" t="str">
        <f t="shared" si="599"/>
        <v>0</v>
      </c>
      <c r="Z672" s="7" t="s">
        <v>73</v>
      </c>
      <c r="AA672" s="8" t="s">
        <v>66</v>
      </c>
      <c r="AB672" s="21" t="str">
        <f>MID(K666,7,1)</f>
        <v>0</v>
      </c>
      <c r="AC672" s="26" t="str">
        <f t="shared" si="600"/>
        <v>0</v>
      </c>
      <c r="AD672" s="7" t="s">
        <v>73</v>
      </c>
      <c r="AE672" s="8" t="s">
        <v>66</v>
      </c>
      <c r="AF672" s="21" t="str">
        <f>MID(L666,7,1)</f>
        <v>0</v>
      </c>
      <c r="AG672" s="26" t="str">
        <f t="shared" si="601"/>
        <v>0</v>
      </c>
      <c r="AH672" s="7" t="s">
        <v>73</v>
      </c>
      <c r="AI672" s="8" t="s">
        <v>66</v>
      </c>
      <c r="AJ672" s="400"/>
      <c r="AK672" s="401"/>
      <c r="AL672" s="501"/>
    </row>
    <row r="673" spans="3:38" ht="15" thickBot="1" x14ac:dyDescent="0.35">
      <c r="C673" s="9" t="s">
        <v>1678</v>
      </c>
      <c r="D673" s="334" t="str">
        <f>D668</f>
        <v/>
      </c>
      <c r="E673" s="334" t="str">
        <f t="shared" ref="E673:G673" si="604">E668</f>
        <v/>
      </c>
      <c r="F673" s="334" t="str">
        <f t="shared" si="604"/>
        <v/>
      </c>
      <c r="G673" s="334" t="str">
        <f t="shared" si="604"/>
        <v/>
      </c>
      <c r="H673" s="10"/>
      <c r="I673" s="10"/>
      <c r="J673" s="10"/>
      <c r="K673" s="10"/>
      <c r="L673" s="10"/>
      <c r="M673" s="10"/>
      <c r="N673" s="11"/>
      <c r="P673" s="22" t="str">
        <f>MID(H666,8,1)</f>
        <v>0</v>
      </c>
      <c r="Q673" s="55" t="str">
        <f t="shared" si="597"/>
        <v>0</v>
      </c>
      <c r="R673" s="9" t="s">
        <v>74</v>
      </c>
      <c r="S673" s="11" t="s">
        <v>66</v>
      </c>
      <c r="T673" s="22" t="str">
        <f>MID(I666,8,1)</f>
        <v>0</v>
      </c>
      <c r="U673" s="55" t="str">
        <f t="shared" si="598"/>
        <v>0</v>
      </c>
      <c r="V673" s="9" t="s">
        <v>74</v>
      </c>
      <c r="W673" s="11" t="s">
        <v>66</v>
      </c>
      <c r="X673" s="22" t="str">
        <f>MID(J666,8,1)</f>
        <v>0</v>
      </c>
      <c r="Y673" s="55" t="str">
        <f t="shared" si="599"/>
        <v>0</v>
      </c>
      <c r="Z673" s="9" t="s">
        <v>74</v>
      </c>
      <c r="AA673" s="11" t="s">
        <v>66</v>
      </c>
      <c r="AB673" s="22" t="str">
        <f>MID(K666,8,1)</f>
        <v>0</v>
      </c>
      <c r="AC673" s="55" t="str">
        <f t="shared" si="600"/>
        <v>0</v>
      </c>
      <c r="AD673" s="9" t="s">
        <v>74</v>
      </c>
      <c r="AE673" s="11" t="s">
        <v>66</v>
      </c>
      <c r="AF673" s="22" t="str">
        <f>MID(L666,8,1)</f>
        <v>0</v>
      </c>
      <c r="AG673" s="55" t="str">
        <f t="shared" si="601"/>
        <v>0</v>
      </c>
      <c r="AH673" s="9" t="s">
        <v>74</v>
      </c>
      <c r="AI673" s="11" t="s">
        <v>66</v>
      </c>
      <c r="AJ673" s="402"/>
      <c r="AK673" s="404"/>
      <c r="AL673" s="501"/>
    </row>
    <row r="674" spans="3:38" ht="15" thickBot="1" x14ac:dyDescent="0.35">
      <c r="C674" s="4"/>
      <c r="D674" s="5"/>
      <c r="E674" s="5"/>
      <c r="F674" s="5"/>
      <c r="G674" s="5"/>
      <c r="H674" s="5"/>
      <c r="I674" s="5"/>
      <c r="J674" s="5"/>
      <c r="K674" s="5"/>
      <c r="L674" s="5"/>
      <c r="M674" s="5" t="s">
        <v>41</v>
      </c>
      <c r="N674" s="6"/>
      <c r="P674" s="530" t="s">
        <v>1832</v>
      </c>
      <c r="Q674" s="530"/>
      <c r="R674" s="530"/>
      <c r="S674" s="530"/>
      <c r="T674" s="530"/>
      <c r="U674" s="530"/>
      <c r="V674" s="530"/>
      <c r="W674" s="530"/>
      <c r="X674" s="530"/>
      <c r="Y674" s="530"/>
      <c r="Z674" s="530"/>
      <c r="AA674" s="530"/>
      <c r="AB674" s="530"/>
      <c r="AC674" s="530"/>
      <c r="AD674" s="530"/>
      <c r="AE674" s="530"/>
      <c r="AF674" s="530"/>
      <c r="AG674" s="530"/>
      <c r="AH674" s="530"/>
      <c r="AI674" s="530"/>
      <c r="AJ674" s="530"/>
      <c r="AK674" s="530"/>
      <c r="AL674" s="501"/>
    </row>
    <row r="675" spans="3:38" ht="15" thickBot="1" x14ac:dyDescent="0.35">
      <c r="C675" s="7"/>
      <c r="D675" s="393" t="s">
        <v>1531</v>
      </c>
      <c r="E675" s="393"/>
      <c r="F675" s="393"/>
      <c r="G675" s="393"/>
      <c r="H675" s="99" t="s">
        <v>44</v>
      </c>
      <c r="I675" s="99" t="s">
        <v>45</v>
      </c>
      <c r="J675" s="99" t="s">
        <v>46</v>
      </c>
      <c r="K675" s="99" t="s">
        <v>47</v>
      </c>
      <c r="L675" s="99" t="s">
        <v>48</v>
      </c>
      <c r="M675" s="99" t="s">
        <v>49</v>
      </c>
      <c r="N675" s="8"/>
      <c r="P675" s="394" t="s">
        <v>50</v>
      </c>
      <c r="Q675" s="395"/>
      <c r="R675" s="395"/>
      <c r="S675" s="396"/>
      <c r="T675" s="394" t="s">
        <v>247</v>
      </c>
      <c r="U675" s="395"/>
      <c r="V675" s="395"/>
      <c r="W675" s="396"/>
      <c r="X675" s="394" t="s">
        <v>311</v>
      </c>
      <c r="Y675" s="395"/>
      <c r="Z675" s="395"/>
      <c r="AA675" s="396"/>
      <c r="AB675" s="394" t="s">
        <v>53</v>
      </c>
      <c r="AC675" s="395"/>
      <c r="AD675" s="395"/>
      <c r="AE675" s="396"/>
      <c r="AF675" s="394" t="s">
        <v>97</v>
      </c>
      <c r="AG675" s="395"/>
      <c r="AH675" s="395"/>
      <c r="AI675" s="396"/>
      <c r="AJ675" s="394" t="s">
        <v>55</v>
      </c>
      <c r="AK675" s="396"/>
      <c r="AL675" s="501"/>
    </row>
    <row r="676" spans="3:38" ht="15" thickBot="1" x14ac:dyDescent="0.35">
      <c r="C676" s="7" t="s">
        <v>56</v>
      </c>
      <c r="D676" s="12" t="str">
        <f>IF(J412="","",7)</f>
        <v/>
      </c>
      <c r="E676" s="13" t="str">
        <f>IF(J412="","",20)</f>
        <v/>
      </c>
      <c r="F676" s="13" t="str">
        <f>IF(J412="","",4)</f>
        <v/>
      </c>
      <c r="G676" s="14" t="str">
        <f>IF(J412="","",52)</f>
        <v/>
      </c>
      <c r="H676" s="41" t="str" cm="1">
        <f t="array" ref="H676">_xlfn.IFNA(MID(INDEX($A$3:$A$70,IF(ISNA(MATCH("720G4J4*",$A$3:$A$70,0))=TRUE,MATCH("7200452*",$A$3:$A$70,0),MATCH("720G4J4*",$A$3:$A$70,0))),$AU$8,2),"")</f>
        <v/>
      </c>
      <c r="I676" s="42" t="str" cm="1">
        <f t="array" ref="I676">_xlfn.IFNA(MID(INDEX($A$3:$A$70,IF(ISNA(MATCH("720G4J4*",$A$3:$A$70,0))=TRUE,MATCH("7200452*",$A$3:$A$70,0),MATCH("720G4J4*",$A$3:$A$70,0))),$AV$8,2),"")</f>
        <v/>
      </c>
      <c r="J676" s="24" t="str" cm="1">
        <f t="array" ref="J676">_xlfn.IFNA(MID(INDEX($A$3:$A$70,IF(ISNA(MATCH("720G4J4*",$A$3:$A$70,0))=TRUE,MATCH("7200452*",$A$3:$A$70,0),MATCH("720G4J4*",$A$3:$A$70,0))),$AW$8,2),"")</f>
        <v/>
      </c>
      <c r="K676" s="42" t="str" cm="1">
        <f t="array" ref="K676">_xlfn.IFNA(MID(INDEX($A$3:$A$70,IF(ISNA(MATCH("720G4J4*",$A$3:$A$70,0))=TRUE,MATCH("7200452*",$A$3:$A$70,0),MATCH("720G4J4*",$A$3:$A$70,0))),$AX$8,2),"")</f>
        <v/>
      </c>
      <c r="L676" s="43" t="str" cm="1">
        <f t="array" ref="L676">_xlfn.IFNA(MID(INDEX($A$3:$A$70,IF(ISNA(MATCH("720G4J4*",$A$3:$A$70,0))=TRUE,MATCH("7200452*",$A$3:$A$70,0),MATCH("720G4J4*",$A$3:$A$70,0))),$AY$8,2),"")</f>
        <v/>
      </c>
      <c r="M676" s="44" t="str" cm="1">
        <f t="array" ref="M676">_xlfn.IFNA(MID(INDEX($A$3:$A$70,IF(ISNA(MATCH("720G4J4*",$A$3:$A$70,0))=TRUE,MATCH("7200452*",$A$3:$A$70,0),MATCH("720G4J4*",$A$3:$A$70,0))),$AZ$8,2),"")</f>
        <v/>
      </c>
      <c r="N676" s="8" t="s">
        <v>60</v>
      </c>
      <c r="P676" s="19" t="s">
        <v>60</v>
      </c>
      <c r="Q676" s="20" t="s">
        <v>61</v>
      </c>
      <c r="R676" t="s">
        <v>62</v>
      </c>
      <c r="S676" s="8"/>
      <c r="T676" s="394"/>
      <c r="U676" s="395"/>
      <c r="V676" s="395"/>
      <c r="W676" s="396"/>
      <c r="X676" s="394"/>
      <c r="Y676" s="395"/>
      <c r="Z676" s="395"/>
      <c r="AA676" s="396"/>
      <c r="AB676" s="19" t="s">
        <v>60</v>
      </c>
      <c r="AC676" s="20" t="s">
        <v>61</v>
      </c>
      <c r="AD676" t="s">
        <v>62</v>
      </c>
      <c r="AE676" s="8"/>
      <c r="AF676" s="19" t="s">
        <v>60</v>
      </c>
      <c r="AG676" s="20" t="s">
        <v>61</v>
      </c>
      <c r="AH676" t="s">
        <v>62</v>
      </c>
      <c r="AJ676" s="394" t="s">
        <v>63</v>
      </c>
      <c r="AK676" s="396"/>
      <c r="AL676" s="501"/>
    </row>
    <row r="677" spans="3:38" x14ac:dyDescent="0.3">
      <c r="C677" s="7" t="s">
        <v>64</v>
      </c>
      <c r="D677" s="99" t="str">
        <f>HEX2BIN(D676,8)</f>
        <v>00000000</v>
      </c>
      <c r="E677" s="99" t="str">
        <f t="shared" ref="E677:L677" si="605">HEX2BIN(E676,8)</f>
        <v>00000000</v>
      </c>
      <c r="F677" s="99" t="str">
        <f t="shared" si="605"/>
        <v>00000000</v>
      </c>
      <c r="G677" s="99" t="str">
        <f t="shared" si="605"/>
        <v>00000000</v>
      </c>
      <c r="H677" s="99" t="str">
        <f t="shared" si="605"/>
        <v>00000000</v>
      </c>
      <c r="I677" s="99" t="str">
        <f t="shared" si="605"/>
        <v>00000000</v>
      </c>
      <c r="J677" s="99" t="str">
        <f t="shared" si="605"/>
        <v>00000000</v>
      </c>
      <c r="K677" s="99" t="str">
        <f t="shared" si="605"/>
        <v>00000000</v>
      </c>
      <c r="L677" s="99" t="str">
        <f t="shared" si="605"/>
        <v>00000000</v>
      </c>
      <c r="N677" s="8"/>
      <c r="P677" s="21" t="str">
        <f>MID(H677,1,1)</f>
        <v>0</v>
      </c>
      <c r="Q677" s="26" t="str">
        <f>P677</f>
        <v>0</v>
      </c>
      <c r="R677" s="7" t="s">
        <v>65</v>
      </c>
      <c r="S677" s="8" t="s">
        <v>66</v>
      </c>
      <c r="T677" s="400"/>
      <c r="U677" s="381"/>
      <c r="V677" s="381"/>
      <c r="W677" s="401"/>
      <c r="X677" s="400"/>
      <c r="Y677" s="381"/>
      <c r="Z677" s="381"/>
      <c r="AA677" s="401"/>
      <c r="AB677" s="21" t="str">
        <f>MID(K677,1,1)</f>
        <v>0</v>
      </c>
      <c r="AC677" s="26" t="str">
        <f>AB677</f>
        <v>0</v>
      </c>
      <c r="AD677" s="7" t="s">
        <v>65</v>
      </c>
      <c r="AE677" s="8" t="s">
        <v>66</v>
      </c>
      <c r="AF677" s="21" t="str">
        <f>MID(L677,1,1)</f>
        <v>0</v>
      </c>
      <c r="AG677" s="26" t="str">
        <f>AF677</f>
        <v>0</v>
      </c>
      <c r="AH677" s="7" t="s">
        <v>65</v>
      </c>
      <c r="AI677" s="8" t="s">
        <v>66</v>
      </c>
      <c r="AJ677" s="400"/>
      <c r="AK677" s="401"/>
      <c r="AL677" s="501"/>
    </row>
    <row r="678" spans="3:38" x14ac:dyDescent="0.3">
      <c r="C678" s="7" t="s">
        <v>67</v>
      </c>
      <c r="D678" s="99">
        <f>HEX2DEC(D676)</f>
        <v>0</v>
      </c>
      <c r="E678" s="99">
        <f t="shared" ref="E678:L678" si="606">HEX2DEC(E676)</f>
        <v>0</v>
      </c>
      <c r="F678" s="99">
        <f t="shared" si="606"/>
        <v>0</v>
      </c>
      <c r="G678" s="99">
        <f t="shared" si="606"/>
        <v>0</v>
      </c>
      <c r="H678" s="99">
        <f t="shared" si="606"/>
        <v>0</v>
      </c>
      <c r="I678" s="99">
        <f t="shared" si="606"/>
        <v>0</v>
      </c>
      <c r="J678" s="99">
        <f t="shared" si="606"/>
        <v>0</v>
      </c>
      <c r="K678" s="99">
        <f t="shared" si="606"/>
        <v>0</v>
      </c>
      <c r="L678" s="99">
        <f t="shared" si="606"/>
        <v>0</v>
      </c>
      <c r="M678" s="99">
        <f>SUM(D678:L678)</f>
        <v>0</v>
      </c>
      <c r="N678" s="8"/>
      <c r="P678" s="21" t="str">
        <f>MID(H677,2,1)</f>
        <v>0</v>
      </c>
      <c r="Q678" s="26" t="str">
        <f t="shared" ref="Q678:Q684" si="607">P678</f>
        <v>0</v>
      </c>
      <c r="R678" s="7" t="s">
        <v>68</v>
      </c>
      <c r="S678" s="8" t="s">
        <v>66</v>
      </c>
      <c r="T678" s="400"/>
      <c r="U678" s="381"/>
      <c r="V678" s="381"/>
      <c r="W678" s="401"/>
      <c r="X678" s="400"/>
      <c r="Y678" s="381"/>
      <c r="Z678" s="381"/>
      <c r="AA678" s="401"/>
      <c r="AB678" s="21" t="str">
        <f>MID(K677,2,1)</f>
        <v>0</v>
      </c>
      <c r="AC678" s="26" t="str">
        <f t="shared" ref="AC678:AC684" si="608">AB678</f>
        <v>0</v>
      </c>
      <c r="AD678" s="7" t="s">
        <v>68</v>
      </c>
      <c r="AE678" s="8" t="s">
        <v>66</v>
      </c>
      <c r="AF678" s="21" t="str">
        <f>MID(L677,2,1)</f>
        <v>0</v>
      </c>
      <c r="AG678" s="26" t="str">
        <f t="shared" ref="AG678:AG684" si="609">AF678</f>
        <v>0</v>
      </c>
      <c r="AH678" s="7" t="s">
        <v>68</v>
      </c>
      <c r="AI678" s="8" t="s">
        <v>66</v>
      </c>
      <c r="AJ678" s="400"/>
      <c r="AK678" s="401"/>
      <c r="AL678" s="501"/>
    </row>
    <row r="679" spans="3:38" x14ac:dyDescent="0.3">
      <c r="C679" s="7" t="s">
        <v>1678</v>
      </c>
      <c r="D679" s="333" t="str">
        <f>D676</f>
        <v/>
      </c>
      <c r="E679" s="333" t="str">
        <f>E676</f>
        <v/>
      </c>
      <c r="F679" s="99" t="str">
        <f>_xlfn.IFNA(MID(INDEX($A$3:$A$70,IF(ISNA(MATCH("720G4J4*",$A$3:$A$70,0))=TRUE,MATCH("7200452*",$A$3:$A$70,0),MATCH("720G4J4*",$A$3:$A$70,0))),$AS$8,2),"")</f>
        <v/>
      </c>
      <c r="G679" s="99" t="str">
        <f>_xlfn.IFNA(MID(INDEX($A$3:$A$70,IF(ISNA(MATCH("720G4J4*",$A$3:$A$70,0))=TRUE,MATCH("7200452*",$A$3:$A$70,0),MATCH("720G4J4*",$A$3:$A$70,0))),$AT$8,2),"")</f>
        <v/>
      </c>
      <c r="N679" s="8"/>
      <c r="P679" s="21" t="str">
        <f>MID(H677,3,1)</f>
        <v>0</v>
      </c>
      <c r="Q679" s="26" t="str">
        <f t="shared" si="607"/>
        <v>0</v>
      </c>
      <c r="R679" s="7" t="s">
        <v>69</v>
      </c>
      <c r="S679" s="8" t="s">
        <v>66</v>
      </c>
      <c r="T679" s="400"/>
      <c r="U679" s="381"/>
      <c r="V679" s="381"/>
      <c r="W679" s="401"/>
      <c r="X679" s="400"/>
      <c r="Y679" s="381"/>
      <c r="Z679" s="381"/>
      <c r="AA679" s="401"/>
      <c r="AB679" s="21" t="str">
        <f>MID(K677,3,1)</f>
        <v>0</v>
      </c>
      <c r="AC679" s="26" t="str">
        <f t="shared" si="608"/>
        <v>0</v>
      </c>
      <c r="AD679" s="7" t="s">
        <v>69</v>
      </c>
      <c r="AE679" s="8" t="s">
        <v>66</v>
      </c>
      <c r="AF679" s="21" t="str">
        <f>MID(L677,3,1)</f>
        <v>0</v>
      </c>
      <c r="AG679" s="26" t="str">
        <f t="shared" si="609"/>
        <v>0</v>
      </c>
      <c r="AH679" s="7" t="s">
        <v>69</v>
      </c>
      <c r="AI679" s="8" t="s">
        <v>66</v>
      </c>
      <c r="AJ679" s="400"/>
      <c r="AK679" s="401"/>
      <c r="AL679" s="501"/>
    </row>
    <row r="680" spans="3:38" ht="15" thickBot="1" x14ac:dyDescent="0.35">
      <c r="C680" s="7"/>
      <c r="N680" s="8"/>
      <c r="P680" s="21" t="str">
        <f>MID(H677,4,1)</f>
        <v>0</v>
      </c>
      <c r="Q680" s="26" t="str">
        <f t="shared" si="607"/>
        <v>0</v>
      </c>
      <c r="R680" s="7" t="s">
        <v>70</v>
      </c>
      <c r="S680" s="8" t="s">
        <v>66</v>
      </c>
      <c r="T680" s="400"/>
      <c r="U680" s="381"/>
      <c r="V680" s="381"/>
      <c r="W680" s="401"/>
      <c r="X680" s="400"/>
      <c r="Y680" s="381"/>
      <c r="Z680" s="381"/>
      <c r="AA680" s="401"/>
      <c r="AB680" s="21" t="str">
        <f>MID(K677,4,1)</f>
        <v>0</v>
      </c>
      <c r="AC680" s="26" t="str">
        <f t="shared" si="608"/>
        <v>0</v>
      </c>
      <c r="AD680" s="7" t="s">
        <v>70</v>
      </c>
      <c r="AE680" s="8" t="s">
        <v>66</v>
      </c>
      <c r="AF680" s="21" t="str">
        <f>MID(L677,4,1)</f>
        <v>0</v>
      </c>
      <c r="AG680" s="26" t="str">
        <f t="shared" si="609"/>
        <v>0</v>
      </c>
      <c r="AH680" s="7" t="s">
        <v>70</v>
      </c>
      <c r="AI680" s="8" t="s">
        <v>66</v>
      </c>
      <c r="AJ680" s="400"/>
      <c r="AK680" s="401"/>
      <c r="AL680" s="501"/>
    </row>
    <row r="681" spans="3:38" ht="15" thickBot="1" x14ac:dyDescent="0.35">
      <c r="C681" s="7" t="s">
        <v>56</v>
      </c>
      <c r="D681" s="15" t="str">
        <f>D676</f>
        <v/>
      </c>
      <c r="E681" s="16" t="str">
        <f>E676</f>
        <v/>
      </c>
      <c r="F681" s="16" t="str">
        <f>F676</f>
        <v/>
      </c>
      <c r="G681" s="17" t="str">
        <f>G676</f>
        <v/>
      </c>
      <c r="H681" s="23" t="str">
        <f>IF(J412="","",BIN2HEX(H682,2))</f>
        <v/>
      </c>
      <c r="I681" s="47" t="str">
        <f>I676</f>
        <v/>
      </c>
      <c r="J681" s="48" t="str">
        <f>J676</f>
        <v/>
      </c>
      <c r="K681" s="2" t="str">
        <f>IF(J412="","",BIN2HEX(K682,2))</f>
        <v/>
      </c>
      <c r="L681" s="18" t="str">
        <f>IF(J412="","",BIN2HEX(L682,2))</f>
        <v/>
      </c>
      <c r="M681" s="3" t="str">
        <f>IF(J412="","",IF(LEN(M682)&gt;2,MID(M682,2,2),M682))</f>
        <v/>
      </c>
      <c r="N681" s="8" t="s">
        <v>61</v>
      </c>
      <c r="P681" s="21" t="str">
        <f>MID(H677,5,1)</f>
        <v>0</v>
      </c>
      <c r="Q681" s="26" t="str">
        <f t="shared" si="607"/>
        <v>0</v>
      </c>
      <c r="R681" s="7" t="s">
        <v>71</v>
      </c>
      <c r="S681" s="8" t="s">
        <v>66</v>
      </c>
      <c r="T681" s="400"/>
      <c r="U681" s="381"/>
      <c r="V681" s="381"/>
      <c r="W681" s="401"/>
      <c r="X681" s="400"/>
      <c r="Y681" s="381"/>
      <c r="Z681" s="381"/>
      <c r="AA681" s="401"/>
      <c r="AB681" s="21" t="str">
        <f>MID(K677,5,1)</f>
        <v>0</v>
      </c>
      <c r="AC681" s="26" t="str">
        <f t="shared" si="608"/>
        <v>0</v>
      </c>
      <c r="AD681" s="7" t="s">
        <v>71</v>
      </c>
      <c r="AE681" s="8" t="s">
        <v>66</v>
      </c>
      <c r="AF681" s="21" t="str">
        <f>MID(L677,5,1)</f>
        <v>0</v>
      </c>
      <c r="AG681" s="26" t="str">
        <f t="shared" si="609"/>
        <v>0</v>
      </c>
      <c r="AH681" s="7" t="s">
        <v>71</v>
      </c>
      <c r="AI681" s="8" t="s">
        <v>66</v>
      </c>
      <c r="AJ681" s="400"/>
      <c r="AK681" s="401"/>
      <c r="AL681" s="501"/>
    </row>
    <row r="682" spans="3:38" x14ac:dyDescent="0.3">
      <c r="C682" s="7" t="s">
        <v>64</v>
      </c>
      <c r="D682" s="99" t="str">
        <f>HEX2BIN(D681,8)</f>
        <v>00000000</v>
      </c>
      <c r="E682" s="99" t="str">
        <f t="shared" ref="E682:G682" si="610">HEX2BIN(E681,8)</f>
        <v>00000000</v>
      </c>
      <c r="F682" s="99" t="str">
        <f t="shared" si="610"/>
        <v>00000000</v>
      </c>
      <c r="G682" s="99" t="str">
        <f t="shared" si="610"/>
        <v>00000000</v>
      </c>
      <c r="H682" s="29" t="str">
        <f>Q677&amp;Q678&amp;Q679&amp;Q680&amp;Q681&amp;Q682&amp;Q683&amp;Q684</f>
        <v>00000000</v>
      </c>
      <c r="I682" s="99"/>
      <c r="J682" s="29"/>
      <c r="K682" s="29" t="str">
        <f>AC677&amp;AC678&amp;AC679&amp;AC680&amp;AC681&amp;AC682&amp;AC683&amp;AC684</f>
        <v>00000000</v>
      </c>
      <c r="L682" s="99" t="str">
        <f>AG677&amp;AG678&amp;AG679&amp;AG680&amp;AG681&amp;AG682&amp;AG683&amp;AG684</f>
        <v>00000000</v>
      </c>
      <c r="M682" s="99" t="str">
        <f>DEC2HEX(M683)</f>
        <v>0</v>
      </c>
      <c r="N682" s="8"/>
      <c r="P682" s="21" t="str">
        <f>MID(H677,6,1)</f>
        <v>0</v>
      </c>
      <c r="Q682" s="26" t="str">
        <f t="shared" si="607"/>
        <v>0</v>
      </c>
      <c r="R682" s="7" t="s">
        <v>72</v>
      </c>
      <c r="S682" s="8" t="s">
        <v>66</v>
      </c>
      <c r="T682" s="400"/>
      <c r="U682" s="381"/>
      <c r="V682" s="381"/>
      <c r="W682" s="401"/>
      <c r="X682" s="400"/>
      <c r="Y682" s="381"/>
      <c r="Z682" s="381"/>
      <c r="AA682" s="401"/>
      <c r="AB682" s="21" t="str">
        <f>MID(K677,6,1)</f>
        <v>0</v>
      </c>
      <c r="AC682" s="26" t="str">
        <f t="shared" si="608"/>
        <v>0</v>
      </c>
      <c r="AD682" s="7" t="s">
        <v>72</v>
      </c>
      <c r="AE682" s="8" t="s">
        <v>66</v>
      </c>
      <c r="AF682" s="21" t="str">
        <f>MID(L677,6,1)</f>
        <v>0</v>
      </c>
      <c r="AG682" s="26" t="str">
        <f t="shared" si="609"/>
        <v>0</v>
      </c>
      <c r="AH682" s="7" t="s">
        <v>72</v>
      </c>
      <c r="AI682" s="8" t="s">
        <v>66</v>
      </c>
      <c r="AJ682" s="400"/>
      <c r="AK682" s="401"/>
      <c r="AL682" s="501"/>
    </row>
    <row r="683" spans="3:38" x14ac:dyDescent="0.3">
      <c r="C683" s="7" t="s">
        <v>67</v>
      </c>
      <c r="D683" s="99">
        <f>HEX2DEC(D681)</f>
        <v>0</v>
      </c>
      <c r="E683" s="99">
        <f t="shared" ref="E683:L683" si="611">HEX2DEC(E681)</f>
        <v>0</v>
      </c>
      <c r="F683" s="99">
        <f t="shared" si="611"/>
        <v>0</v>
      </c>
      <c r="G683" s="99">
        <f t="shared" si="611"/>
        <v>0</v>
      </c>
      <c r="H683" s="99">
        <f t="shared" si="611"/>
        <v>0</v>
      </c>
      <c r="I683" s="99">
        <f t="shared" si="611"/>
        <v>0</v>
      </c>
      <c r="J683" s="99">
        <f t="shared" si="611"/>
        <v>0</v>
      </c>
      <c r="K683" s="99">
        <f t="shared" si="611"/>
        <v>0</v>
      </c>
      <c r="L683" s="99">
        <f t="shared" si="611"/>
        <v>0</v>
      </c>
      <c r="M683" s="99">
        <f>SUM(D683:L683)</f>
        <v>0</v>
      </c>
      <c r="N683" s="8"/>
      <c r="P683" s="21" t="str">
        <f>MID(H677,7,1)</f>
        <v>0</v>
      </c>
      <c r="Q683" s="26" t="str">
        <f t="shared" si="607"/>
        <v>0</v>
      </c>
      <c r="R683" s="7" t="s">
        <v>73</v>
      </c>
      <c r="S683" s="8" t="s">
        <v>66</v>
      </c>
      <c r="T683" s="400"/>
      <c r="U683" s="381"/>
      <c r="V683" s="381"/>
      <c r="W683" s="401"/>
      <c r="X683" s="400"/>
      <c r="Y683" s="381"/>
      <c r="Z683" s="381"/>
      <c r="AA683" s="401"/>
      <c r="AB683" s="21" t="str">
        <f>MID(K677,7,1)</f>
        <v>0</v>
      </c>
      <c r="AC683" s="26" t="str">
        <f t="shared" si="608"/>
        <v>0</v>
      </c>
      <c r="AD683" s="7" t="s">
        <v>73</v>
      </c>
      <c r="AE683" s="8" t="s">
        <v>66</v>
      </c>
      <c r="AF683" s="21" t="str">
        <f>MID(L677,7,1)</f>
        <v>0</v>
      </c>
      <c r="AG683" s="26" t="str">
        <f t="shared" si="609"/>
        <v>0</v>
      </c>
      <c r="AH683" s="7" t="s">
        <v>73</v>
      </c>
      <c r="AI683" s="8" t="s">
        <v>66</v>
      </c>
      <c r="AJ683" s="400"/>
      <c r="AK683" s="401"/>
      <c r="AL683" s="501"/>
    </row>
    <row r="684" spans="3:38" ht="15" thickBot="1" x14ac:dyDescent="0.35">
      <c r="C684" s="9" t="s">
        <v>1678</v>
      </c>
      <c r="D684" s="334" t="str">
        <f>D679</f>
        <v/>
      </c>
      <c r="E684" s="334" t="str">
        <f t="shared" ref="E684:G684" si="612">E679</f>
        <v/>
      </c>
      <c r="F684" s="334" t="str">
        <f t="shared" si="612"/>
        <v/>
      </c>
      <c r="G684" s="334" t="str">
        <f t="shared" si="612"/>
        <v/>
      </c>
      <c r="H684" s="10"/>
      <c r="I684" s="10"/>
      <c r="J684" s="10"/>
      <c r="K684" s="10"/>
      <c r="L684" s="10"/>
      <c r="M684" s="10"/>
      <c r="N684" s="11"/>
      <c r="P684" s="22" t="str">
        <f>MID(H677,8,1)</f>
        <v>0</v>
      </c>
      <c r="Q684" s="55" t="str">
        <f t="shared" si="607"/>
        <v>0</v>
      </c>
      <c r="R684" s="9" t="s">
        <v>74</v>
      </c>
      <c r="S684" s="11" t="s">
        <v>66</v>
      </c>
      <c r="T684" s="402"/>
      <c r="U684" s="403"/>
      <c r="V684" s="403"/>
      <c r="W684" s="404"/>
      <c r="X684" s="402"/>
      <c r="Y684" s="403"/>
      <c r="Z684" s="403"/>
      <c r="AA684" s="404"/>
      <c r="AB684" s="22" t="str">
        <f>MID(K677,8,1)</f>
        <v>0</v>
      </c>
      <c r="AC684" s="55" t="str">
        <f t="shared" si="608"/>
        <v>0</v>
      </c>
      <c r="AD684" s="9" t="s">
        <v>74</v>
      </c>
      <c r="AE684" s="11" t="s">
        <v>66</v>
      </c>
      <c r="AF684" s="22" t="str">
        <f>MID(L677,8,1)</f>
        <v>0</v>
      </c>
      <c r="AG684" s="55" t="str">
        <f t="shared" si="609"/>
        <v>0</v>
      </c>
      <c r="AH684" s="9" t="s">
        <v>74</v>
      </c>
      <c r="AI684" s="11" t="s">
        <v>66</v>
      </c>
      <c r="AJ684" s="402"/>
      <c r="AK684" s="404"/>
      <c r="AL684" s="501"/>
    </row>
    <row r="685" spans="3:38" ht="15" thickBot="1" x14ac:dyDescent="0.35">
      <c r="C685" s="4"/>
      <c r="D685" s="5"/>
      <c r="E685" s="5"/>
      <c r="F685" s="5"/>
      <c r="G685" s="5"/>
      <c r="H685" s="5"/>
      <c r="I685" s="5"/>
      <c r="J685" s="5"/>
      <c r="K685" s="5"/>
      <c r="L685" s="5" t="s">
        <v>41</v>
      </c>
      <c r="N685" s="6"/>
      <c r="P685" s="530" t="s">
        <v>1833</v>
      </c>
      <c r="Q685" s="530"/>
      <c r="R685" s="530"/>
      <c r="S685" s="530"/>
      <c r="T685" s="530"/>
      <c r="U685" s="530"/>
      <c r="V685" s="530"/>
      <c r="W685" s="530"/>
      <c r="X685" s="530"/>
      <c r="Y685" s="530"/>
      <c r="Z685" s="530"/>
      <c r="AA685" s="530"/>
      <c r="AB685" s="530"/>
      <c r="AC685" s="530"/>
      <c r="AD685" s="530"/>
      <c r="AE685" s="530"/>
      <c r="AF685" s="530"/>
      <c r="AG685" s="530"/>
      <c r="AH685" s="530"/>
      <c r="AI685" s="530"/>
      <c r="AJ685" s="530"/>
      <c r="AK685" s="530"/>
      <c r="AL685" s="501"/>
    </row>
    <row r="686" spans="3:38" ht="15" thickBot="1" x14ac:dyDescent="0.35">
      <c r="C686" s="7"/>
      <c r="D686" s="393" t="s">
        <v>1530</v>
      </c>
      <c r="E686" s="393"/>
      <c r="F686" s="393"/>
      <c r="G686" s="393"/>
      <c r="H686" s="99" t="s">
        <v>44</v>
      </c>
      <c r="I686" s="99" t="s">
        <v>45</v>
      </c>
      <c r="J686" s="99" t="s">
        <v>46</v>
      </c>
      <c r="K686" s="99" t="s">
        <v>47</v>
      </c>
      <c r="L686" s="99" t="s">
        <v>48</v>
      </c>
      <c r="M686" s="99"/>
      <c r="N686" s="8"/>
      <c r="P686" s="394" t="s">
        <v>50</v>
      </c>
      <c r="Q686" s="395"/>
      <c r="R686" s="395"/>
      <c r="S686" s="396"/>
      <c r="T686" s="394" t="s">
        <v>51</v>
      </c>
      <c r="U686" s="395"/>
      <c r="V686" s="395"/>
      <c r="W686" s="396"/>
      <c r="X686" s="394" t="s">
        <v>52</v>
      </c>
      <c r="Y686" s="395"/>
      <c r="Z686" s="395"/>
      <c r="AA686" s="396"/>
      <c r="AB686" s="394" t="s">
        <v>53</v>
      </c>
      <c r="AC686" s="395"/>
      <c r="AD686" s="395"/>
      <c r="AE686" s="396"/>
      <c r="AF686" s="394" t="s">
        <v>312</v>
      </c>
      <c r="AG686" s="395"/>
      <c r="AH686" s="395"/>
      <c r="AI686" s="396"/>
      <c r="AJ686" s="7"/>
      <c r="AL686" s="501"/>
    </row>
    <row r="687" spans="3:38" ht="15" thickBot="1" x14ac:dyDescent="0.35">
      <c r="C687" s="7" t="s">
        <v>56</v>
      </c>
      <c r="D687" s="12" t="str">
        <f>IF(J412="","",7)</f>
        <v/>
      </c>
      <c r="E687" s="13" t="str">
        <f>IF(J412="","",20)</f>
        <v/>
      </c>
      <c r="F687" s="13" t="str">
        <f>IF(J412="","",4)</f>
        <v/>
      </c>
      <c r="G687" s="14" t="str">
        <f>IF(J412="","",53)</f>
        <v/>
      </c>
      <c r="H687" s="41" t="str" cm="1">
        <f t="array" ref="H687">_xlfn.IFNA(MID(INDEX($A$3:$A$70,IF(ISNA(MATCH("720G4J5*",$A$3:$A$70,0))=TRUE,MATCH("7200453*",$A$3:$A$70,0),MATCH("720G4J5*",$A$3:$A$70,0))),$AU$8,2),"")</f>
        <v/>
      </c>
      <c r="I687" s="42" t="str" cm="1">
        <f t="array" ref="I687">_xlfn.IFNA(MID(INDEX($A$3:$A$70,IF(ISNA(MATCH("720G4J5*",$A$3:$A$70,0))=TRUE,MATCH("7200453*",$A$3:$A$70,0),MATCH("720G4J5*",$A$3:$A$70,0))),$AV$8,2),"")</f>
        <v/>
      </c>
      <c r="J687" s="24" t="str" cm="1">
        <f t="array" ref="J687">_xlfn.IFNA(MID(INDEX($A$3:$A$70,IF(ISNA(MATCH("720G4J5*",$A$3:$A$70,0))=TRUE,MATCH("7200453*",$A$3:$A$70,0),MATCH("720G4J5*",$A$3:$A$70,0))),$AW$8,2),"")</f>
        <v/>
      </c>
      <c r="K687" s="43" t="str" cm="1">
        <f t="array" ref="K687">_xlfn.IFNA(MID(INDEX($A$3:$A$70,IF(ISNA(MATCH("720G4J5*",$A$3:$A$70,0))=TRUE,MATCH("7200453*",$A$3:$A$70,0),MATCH("720G4J5*",$A$3:$A$70,0))),$AX$8,2),"")</f>
        <v/>
      </c>
      <c r="L687" s="44" t="str" cm="1">
        <f t="array" ref="L687">_xlfn.IFNA(MID(INDEX($A$3:$A$70,IF(ISNA(MATCH("720G4J5*",$A$3:$A$70,0))=TRUE,MATCH("7200453*",$A$3:$A$70,0),MATCH("720G4J5*",$A$3:$A$70,0))),$AY$8,2),"")</f>
        <v/>
      </c>
      <c r="N687" s="8" t="s">
        <v>60</v>
      </c>
      <c r="P687" s="19" t="s">
        <v>60</v>
      </c>
      <c r="Q687" s="20" t="s">
        <v>61</v>
      </c>
      <c r="R687" t="s">
        <v>62</v>
      </c>
      <c r="S687" s="8"/>
      <c r="T687" s="19" t="s">
        <v>60</v>
      </c>
      <c r="U687" s="20" t="s">
        <v>61</v>
      </c>
      <c r="V687" t="s">
        <v>62</v>
      </c>
      <c r="W687" s="8"/>
      <c r="X687" s="19" t="s">
        <v>60</v>
      </c>
      <c r="Y687" s="20" t="s">
        <v>61</v>
      </c>
      <c r="Z687" t="s">
        <v>62</v>
      </c>
      <c r="AA687" s="8"/>
      <c r="AB687" s="19" t="s">
        <v>60</v>
      </c>
      <c r="AC687" s="20" t="s">
        <v>61</v>
      </c>
      <c r="AD687" t="s">
        <v>62</v>
      </c>
      <c r="AE687" s="8"/>
      <c r="AF687" s="394"/>
      <c r="AG687" s="395"/>
      <c r="AH687" s="395"/>
      <c r="AI687" s="396"/>
      <c r="AL687" s="501"/>
    </row>
    <row r="688" spans="3:38" x14ac:dyDescent="0.3">
      <c r="C688" s="7" t="s">
        <v>64</v>
      </c>
      <c r="D688" s="99" t="str">
        <f>HEX2BIN(D687,8)</f>
        <v>00000000</v>
      </c>
      <c r="E688" s="99" t="str">
        <f t="shared" ref="E688:K688" si="613">HEX2BIN(E687,8)</f>
        <v>00000000</v>
      </c>
      <c r="F688" s="99" t="str">
        <f t="shared" si="613"/>
        <v>00000000</v>
      </c>
      <c r="G688" s="99" t="str">
        <f t="shared" si="613"/>
        <v>00000000</v>
      </c>
      <c r="H688" s="99" t="str">
        <f t="shared" si="613"/>
        <v>00000000</v>
      </c>
      <c r="I688" s="99" t="str">
        <f t="shared" si="613"/>
        <v>00000000</v>
      </c>
      <c r="J688" s="99" t="str">
        <f t="shared" si="613"/>
        <v>00000000</v>
      </c>
      <c r="K688" s="99" t="str">
        <f t="shared" si="613"/>
        <v>00000000</v>
      </c>
      <c r="N688" s="8"/>
      <c r="P688" s="21" t="str">
        <f>MID(H688,1,1)</f>
        <v>0</v>
      </c>
      <c r="Q688" s="26" t="str">
        <f>P688</f>
        <v>0</v>
      </c>
      <c r="R688" s="7" t="s">
        <v>65</v>
      </c>
      <c r="S688" s="8" t="s">
        <v>66</v>
      </c>
      <c r="T688" s="21" t="str">
        <f>MID(I688,1,1)</f>
        <v>0</v>
      </c>
      <c r="U688" s="26" t="str">
        <f>T688</f>
        <v>0</v>
      </c>
      <c r="V688" s="7" t="s">
        <v>65</v>
      </c>
      <c r="W688" s="8" t="s">
        <v>66</v>
      </c>
      <c r="X688" s="21" t="str">
        <f>MID(J688,1,1)</f>
        <v>0</v>
      </c>
      <c r="Y688" s="26" t="str">
        <f>X688</f>
        <v>0</v>
      </c>
      <c r="Z688" s="7" t="s">
        <v>65</v>
      </c>
      <c r="AA688" s="8" t="s">
        <v>66</v>
      </c>
      <c r="AB688" s="21" t="str">
        <f>MID(K688,1,1)</f>
        <v>0</v>
      </c>
      <c r="AC688" s="26" t="str">
        <f>AB688</f>
        <v>0</v>
      </c>
      <c r="AD688" s="7" t="s">
        <v>65</v>
      </c>
      <c r="AE688" s="8" t="s">
        <v>66</v>
      </c>
      <c r="AF688" s="400"/>
      <c r="AG688" s="381"/>
      <c r="AH688" s="381"/>
      <c r="AI688" s="401"/>
      <c r="AL688" s="501"/>
    </row>
    <row r="689" spans="3:38" x14ac:dyDescent="0.3">
      <c r="C689" s="7" t="s">
        <v>67</v>
      </c>
      <c r="D689" s="99">
        <f>HEX2DEC(D687)</f>
        <v>0</v>
      </c>
      <c r="E689" s="99">
        <f t="shared" ref="E689:K689" si="614">HEX2DEC(E687)</f>
        <v>0</v>
      </c>
      <c r="F689" s="99">
        <f t="shared" si="614"/>
        <v>0</v>
      </c>
      <c r="G689" s="99">
        <f t="shared" si="614"/>
        <v>0</v>
      </c>
      <c r="H689" s="99">
        <f t="shared" si="614"/>
        <v>0</v>
      </c>
      <c r="I689" s="99">
        <f t="shared" si="614"/>
        <v>0</v>
      </c>
      <c r="J689" s="99">
        <f t="shared" si="614"/>
        <v>0</v>
      </c>
      <c r="K689" s="99">
        <f t="shared" si="614"/>
        <v>0</v>
      </c>
      <c r="L689" s="99">
        <f>SUM(D689:K689)</f>
        <v>0</v>
      </c>
      <c r="N689" s="8"/>
      <c r="P689" s="21" t="str">
        <f>MID(H688,2,1)</f>
        <v>0</v>
      </c>
      <c r="Q689" s="26" t="str">
        <f t="shared" ref="Q689:Q695" si="615">P689</f>
        <v>0</v>
      </c>
      <c r="R689" s="7" t="s">
        <v>68</v>
      </c>
      <c r="S689" s="8" t="s">
        <v>66</v>
      </c>
      <c r="T689" s="21" t="str">
        <f>MID(I688,2,1)</f>
        <v>0</v>
      </c>
      <c r="U689" s="26" t="str">
        <f t="shared" ref="U689:U695" si="616">T689</f>
        <v>0</v>
      </c>
      <c r="V689" s="7" t="s">
        <v>68</v>
      </c>
      <c r="W689" s="8" t="s">
        <v>66</v>
      </c>
      <c r="X689" s="21" t="str">
        <f>MID(J688,2,1)</f>
        <v>0</v>
      </c>
      <c r="Y689" s="26" t="str">
        <f t="shared" ref="Y689:Y695" si="617">X689</f>
        <v>0</v>
      </c>
      <c r="Z689" s="7" t="s">
        <v>68</v>
      </c>
      <c r="AA689" s="8" t="s">
        <v>66</v>
      </c>
      <c r="AB689" s="21" t="str">
        <f>MID(K688,2,1)</f>
        <v>0</v>
      </c>
      <c r="AC689" s="26" t="str">
        <f t="shared" ref="AC689:AC695" si="618">AB689</f>
        <v>0</v>
      </c>
      <c r="AD689" s="7" t="s">
        <v>68</v>
      </c>
      <c r="AE689" s="8" t="s">
        <v>66</v>
      </c>
      <c r="AF689" s="400"/>
      <c r="AG689" s="381"/>
      <c r="AH689" s="381"/>
      <c r="AI689" s="401"/>
      <c r="AL689" s="501"/>
    </row>
    <row r="690" spans="3:38" x14ac:dyDescent="0.3">
      <c r="C690" s="7" t="s">
        <v>1678</v>
      </c>
      <c r="D690" s="333" t="str">
        <f>D687</f>
        <v/>
      </c>
      <c r="E690" s="333" t="str">
        <f>E687</f>
        <v/>
      </c>
      <c r="F690" s="99" t="str">
        <f>_xlfn.IFNA(MID(INDEX($A$3:$A$70,IF(ISNA(MATCH("720G4J5*",$A$3:$A$70,0))=TRUE,MATCH("7200453*",$A$3:$A$70,0),MATCH("720G4J5*",$A$3:$A$70,0))),$AS$8,2),"")</f>
        <v/>
      </c>
      <c r="G690" s="99" t="str">
        <f>_xlfn.IFNA(MID(INDEX($A$3:$A$70,IF(ISNA(MATCH("720G4J5*",$A$3:$A$70,0))=TRUE,MATCH("7200453*",$A$3:$A$70,0),MATCH("720G4J5*",$A$3:$A$70,0))),$AT$8,2),"")</f>
        <v/>
      </c>
      <c r="N690" s="8"/>
      <c r="P690" s="21" t="str">
        <f>MID(H688,3,1)</f>
        <v>0</v>
      </c>
      <c r="Q690" s="26" t="str">
        <f t="shared" si="615"/>
        <v>0</v>
      </c>
      <c r="R690" s="7" t="s">
        <v>69</v>
      </c>
      <c r="S690" s="8" t="s">
        <v>66</v>
      </c>
      <c r="T690" s="21" t="str">
        <f>MID(I688,3,1)</f>
        <v>0</v>
      </c>
      <c r="U690" s="26" t="str">
        <f t="shared" si="616"/>
        <v>0</v>
      </c>
      <c r="V690" s="7" t="s">
        <v>69</v>
      </c>
      <c r="W690" s="8" t="s">
        <v>66</v>
      </c>
      <c r="X690" s="21" t="str">
        <f>MID(J688,3,1)</f>
        <v>0</v>
      </c>
      <c r="Y690" s="26" t="str">
        <f t="shared" si="617"/>
        <v>0</v>
      </c>
      <c r="Z690" s="7" t="s">
        <v>69</v>
      </c>
      <c r="AA690" s="8" t="s">
        <v>66</v>
      </c>
      <c r="AB690" s="21" t="str">
        <f>MID(K688,3,1)</f>
        <v>0</v>
      </c>
      <c r="AC690" s="26" t="str">
        <f t="shared" si="618"/>
        <v>0</v>
      </c>
      <c r="AD690" s="7" t="s">
        <v>69</v>
      </c>
      <c r="AE690" s="8" t="s">
        <v>66</v>
      </c>
      <c r="AF690" s="400"/>
      <c r="AG690" s="381"/>
      <c r="AH690" s="381"/>
      <c r="AI690" s="401"/>
      <c r="AL690" s="501"/>
    </row>
    <row r="691" spans="3:38" ht="15" thickBot="1" x14ac:dyDescent="0.35">
      <c r="C691" s="7"/>
      <c r="N691" s="8"/>
      <c r="P691" s="21" t="str">
        <f>MID(H688,4,1)</f>
        <v>0</v>
      </c>
      <c r="Q691" s="26" t="str">
        <f t="shared" si="615"/>
        <v>0</v>
      </c>
      <c r="R691" s="7" t="s">
        <v>70</v>
      </c>
      <c r="S691" s="8" t="s">
        <v>66</v>
      </c>
      <c r="T691" s="21" t="str">
        <f>MID(I688,4,1)</f>
        <v>0</v>
      </c>
      <c r="U691" s="26" t="str">
        <f t="shared" si="616"/>
        <v>0</v>
      </c>
      <c r="V691" s="7" t="s">
        <v>70</v>
      </c>
      <c r="W691" s="8" t="s">
        <v>66</v>
      </c>
      <c r="X691" s="21" t="str">
        <f>MID(J688,4,1)</f>
        <v>0</v>
      </c>
      <c r="Y691" s="26" t="str">
        <f t="shared" si="617"/>
        <v>0</v>
      </c>
      <c r="Z691" s="7" t="s">
        <v>70</v>
      </c>
      <c r="AA691" s="8" t="s">
        <v>66</v>
      </c>
      <c r="AB691" s="21" t="str">
        <f>MID(K688,4,1)</f>
        <v>0</v>
      </c>
      <c r="AC691" s="26" t="str">
        <f t="shared" si="618"/>
        <v>0</v>
      </c>
      <c r="AD691" s="7" t="s">
        <v>70</v>
      </c>
      <c r="AE691" s="8" t="s">
        <v>66</v>
      </c>
      <c r="AF691" s="400"/>
      <c r="AG691" s="381"/>
      <c r="AH691" s="381"/>
      <c r="AI691" s="401"/>
      <c r="AL691" s="501"/>
    </row>
    <row r="692" spans="3:38" ht="15" thickBot="1" x14ac:dyDescent="0.35">
      <c r="C692" s="7" t="s">
        <v>56</v>
      </c>
      <c r="D692" s="15" t="str">
        <f>D687</f>
        <v/>
      </c>
      <c r="E692" s="16" t="str">
        <f>E687</f>
        <v/>
      </c>
      <c r="F692" s="16" t="str">
        <f>F687</f>
        <v/>
      </c>
      <c r="G692" s="17" t="str">
        <f>G687</f>
        <v/>
      </c>
      <c r="H692" s="23" t="str">
        <f>IF(J412="","",BIN2HEX(H693,2))</f>
        <v/>
      </c>
      <c r="I692" s="25" t="str">
        <f>IF(J412="","",BIN2HEX(I693,2))</f>
        <v/>
      </c>
      <c r="J692" s="24" t="str">
        <f>IF(J412="","",BIN2HEX(J693,2))</f>
        <v/>
      </c>
      <c r="K692" s="2" t="str">
        <f>IF(J412="","",BIN2HEX(K693,2))</f>
        <v/>
      </c>
      <c r="L692" s="3" t="str">
        <f>IF(J412="","",IF(LEN(L693)&gt;2,MID(L693,2,2),L693))</f>
        <v/>
      </c>
      <c r="N692" s="8" t="s">
        <v>61</v>
      </c>
      <c r="P692" s="21" t="str">
        <f>MID(H688,5,1)</f>
        <v>0</v>
      </c>
      <c r="Q692" s="26" t="str">
        <f t="shared" si="615"/>
        <v>0</v>
      </c>
      <c r="R692" s="7" t="s">
        <v>71</v>
      </c>
      <c r="S692" s="8" t="s">
        <v>66</v>
      </c>
      <c r="T692" s="21" t="str">
        <f>MID(I688,5,1)</f>
        <v>0</v>
      </c>
      <c r="U692" s="26" t="str">
        <f t="shared" si="616"/>
        <v>0</v>
      </c>
      <c r="V692" s="7" t="s">
        <v>71</v>
      </c>
      <c r="W692" s="8" t="s">
        <v>66</v>
      </c>
      <c r="X692" s="21" t="str">
        <f>MID(J688,5,1)</f>
        <v>0</v>
      </c>
      <c r="Y692" s="26" t="str">
        <f t="shared" si="617"/>
        <v>0</v>
      </c>
      <c r="Z692" s="7" t="s">
        <v>71</v>
      </c>
      <c r="AA692" s="8" t="s">
        <v>66</v>
      </c>
      <c r="AB692" s="21" t="str">
        <f>MID(K688,5,1)</f>
        <v>0</v>
      </c>
      <c r="AC692" s="26" t="str">
        <f t="shared" si="618"/>
        <v>0</v>
      </c>
      <c r="AD692" s="7" t="s">
        <v>71</v>
      </c>
      <c r="AE692" s="8" t="s">
        <v>66</v>
      </c>
      <c r="AF692" s="400"/>
      <c r="AG692" s="381"/>
      <c r="AH692" s="381"/>
      <c r="AI692" s="401"/>
      <c r="AL692" s="501"/>
    </row>
    <row r="693" spans="3:38" x14ac:dyDescent="0.3">
      <c r="C693" s="7" t="s">
        <v>64</v>
      </c>
      <c r="D693" s="99" t="str">
        <f>HEX2BIN(D692,8)</f>
        <v>00000000</v>
      </c>
      <c r="E693" s="99" t="str">
        <f t="shared" ref="E693:G693" si="619">HEX2BIN(E692,8)</f>
        <v>00000000</v>
      </c>
      <c r="F693" s="99" t="str">
        <f t="shared" si="619"/>
        <v>00000000</v>
      </c>
      <c r="G693" s="99" t="str">
        <f t="shared" si="619"/>
        <v>00000000</v>
      </c>
      <c r="H693" s="29" t="str">
        <f>Q688&amp;Q689&amp;Q690&amp;Q691&amp;Q692&amp;Q693&amp;Q694&amp;Q695</f>
        <v>00000000</v>
      </c>
      <c r="I693" s="99" t="str">
        <f>U688&amp;U689&amp;U690&amp;U691&amp;U692&amp;U693&amp;U694&amp;U695</f>
        <v>00000000</v>
      </c>
      <c r="J693" s="29" t="str">
        <f>Y688&amp;Y689&amp;Y690&amp;Y691&amp;Y692&amp;Y693&amp;Y694&amp;Y695</f>
        <v>00000000</v>
      </c>
      <c r="K693" s="29" t="str">
        <f>AC688&amp;AC689&amp;AC690&amp;AC691&amp;AC692&amp;AC693&amp;AC694&amp;AC695</f>
        <v>00000000</v>
      </c>
      <c r="L693" s="99" t="str">
        <f>DEC2HEX(L694)</f>
        <v>0</v>
      </c>
      <c r="N693" s="8"/>
      <c r="P693" s="21" t="str">
        <f>MID(H688,6,1)</f>
        <v>0</v>
      </c>
      <c r="Q693" s="26" t="str">
        <f t="shared" si="615"/>
        <v>0</v>
      </c>
      <c r="R693" s="7" t="s">
        <v>72</v>
      </c>
      <c r="S693" s="8" t="s">
        <v>66</v>
      </c>
      <c r="T693" s="21" t="str">
        <f>MID(I688,6,1)</f>
        <v>0</v>
      </c>
      <c r="U693" s="26" t="str">
        <f t="shared" si="616"/>
        <v>0</v>
      </c>
      <c r="V693" s="7" t="s">
        <v>72</v>
      </c>
      <c r="W693" s="8" t="s">
        <v>66</v>
      </c>
      <c r="X693" s="21" t="str">
        <f>MID(J688,6,1)</f>
        <v>0</v>
      </c>
      <c r="Y693" s="26" t="str">
        <f t="shared" si="617"/>
        <v>0</v>
      </c>
      <c r="Z693" s="7" t="s">
        <v>72</v>
      </c>
      <c r="AA693" s="8" t="s">
        <v>66</v>
      </c>
      <c r="AB693" s="21" t="str">
        <f>MID(K688,6,1)</f>
        <v>0</v>
      </c>
      <c r="AC693" s="26" t="str">
        <f t="shared" si="618"/>
        <v>0</v>
      </c>
      <c r="AD693" s="7" t="s">
        <v>72</v>
      </c>
      <c r="AE693" s="8" t="s">
        <v>66</v>
      </c>
      <c r="AF693" s="400"/>
      <c r="AG693" s="381"/>
      <c r="AH693" s="381"/>
      <c r="AI693" s="401"/>
      <c r="AL693" s="501"/>
    </row>
    <row r="694" spans="3:38" x14ac:dyDescent="0.3">
      <c r="C694" s="7" t="s">
        <v>67</v>
      </c>
      <c r="D694" s="99">
        <f>HEX2DEC(D692)</f>
        <v>0</v>
      </c>
      <c r="E694" s="99">
        <f t="shared" ref="E694:K694" si="620">HEX2DEC(E692)</f>
        <v>0</v>
      </c>
      <c r="F694" s="99">
        <f t="shared" si="620"/>
        <v>0</v>
      </c>
      <c r="G694" s="99">
        <f t="shared" si="620"/>
        <v>0</v>
      </c>
      <c r="H694" s="99">
        <f t="shared" si="620"/>
        <v>0</v>
      </c>
      <c r="I694" s="99">
        <f t="shared" si="620"/>
        <v>0</v>
      </c>
      <c r="J694" s="99">
        <f t="shared" si="620"/>
        <v>0</v>
      </c>
      <c r="K694" s="99">
        <f t="shared" si="620"/>
        <v>0</v>
      </c>
      <c r="L694" s="99">
        <f>SUM(D694:K694)</f>
        <v>0</v>
      </c>
      <c r="N694" s="8"/>
      <c r="P694" s="21" t="str">
        <f>MID(H688,7,1)</f>
        <v>0</v>
      </c>
      <c r="Q694" s="26" t="str">
        <f t="shared" si="615"/>
        <v>0</v>
      </c>
      <c r="R694" s="7" t="s">
        <v>73</v>
      </c>
      <c r="S694" s="8" t="s">
        <v>66</v>
      </c>
      <c r="T694" s="21" t="str">
        <f>MID(I688,7,1)</f>
        <v>0</v>
      </c>
      <c r="U694" s="26" t="str">
        <f t="shared" si="616"/>
        <v>0</v>
      </c>
      <c r="V694" s="7" t="s">
        <v>73</v>
      </c>
      <c r="W694" s="8" t="s">
        <v>66</v>
      </c>
      <c r="X694" s="21" t="str">
        <f>MID(J688,7,1)</f>
        <v>0</v>
      </c>
      <c r="Y694" s="26" t="str">
        <f t="shared" si="617"/>
        <v>0</v>
      </c>
      <c r="Z694" s="7" t="s">
        <v>73</v>
      </c>
      <c r="AA694" s="8" t="s">
        <v>66</v>
      </c>
      <c r="AB694" s="21" t="str">
        <f>MID(K688,7,1)</f>
        <v>0</v>
      </c>
      <c r="AC694" s="26" t="str">
        <f t="shared" si="618"/>
        <v>0</v>
      </c>
      <c r="AD694" s="7" t="s">
        <v>73</v>
      </c>
      <c r="AE694" s="8" t="s">
        <v>66</v>
      </c>
      <c r="AF694" s="400"/>
      <c r="AG694" s="381"/>
      <c r="AH694" s="381"/>
      <c r="AI694" s="401"/>
      <c r="AL694" s="501"/>
    </row>
    <row r="695" spans="3:38" ht="15" thickBot="1" x14ac:dyDescent="0.35">
      <c r="C695" s="9" t="s">
        <v>1678</v>
      </c>
      <c r="D695" s="334" t="str">
        <f>D690</f>
        <v/>
      </c>
      <c r="E695" s="334" t="str">
        <f t="shared" ref="E695:G695" si="621">E690</f>
        <v/>
      </c>
      <c r="F695" s="334" t="str">
        <f t="shared" si="621"/>
        <v/>
      </c>
      <c r="G695" s="334" t="str">
        <f t="shared" si="621"/>
        <v/>
      </c>
      <c r="H695" s="10"/>
      <c r="I695" s="10"/>
      <c r="J695" s="10"/>
      <c r="K695" s="10"/>
      <c r="L695" s="10"/>
      <c r="M695" s="10"/>
      <c r="N695" s="11"/>
      <c r="P695" s="22" t="str">
        <f>MID(H688,8,1)</f>
        <v>0</v>
      </c>
      <c r="Q695" s="55" t="str">
        <f t="shared" si="615"/>
        <v>0</v>
      </c>
      <c r="R695" s="9" t="s">
        <v>74</v>
      </c>
      <c r="S695" s="11" t="s">
        <v>66</v>
      </c>
      <c r="T695" s="22" t="str">
        <f>MID(I688,8,1)</f>
        <v>0</v>
      </c>
      <c r="U695" s="55" t="str">
        <f t="shared" si="616"/>
        <v>0</v>
      </c>
      <c r="V695" s="9" t="s">
        <v>74</v>
      </c>
      <c r="W695" s="11" t="s">
        <v>66</v>
      </c>
      <c r="X695" s="22" t="str">
        <f>MID(J688,8,1)</f>
        <v>0</v>
      </c>
      <c r="Y695" s="55" t="str">
        <f t="shared" si="617"/>
        <v>0</v>
      </c>
      <c r="Z695" s="9" t="s">
        <v>74</v>
      </c>
      <c r="AA695" s="11" t="s">
        <v>66</v>
      </c>
      <c r="AB695" s="22" t="str">
        <f>MID(K688,8,1)</f>
        <v>0</v>
      </c>
      <c r="AC695" s="55" t="str">
        <f t="shared" si="618"/>
        <v>0</v>
      </c>
      <c r="AD695" s="9" t="s">
        <v>74</v>
      </c>
      <c r="AE695" s="11" t="s">
        <v>66</v>
      </c>
      <c r="AF695" s="402"/>
      <c r="AG695" s="403"/>
      <c r="AH695" s="403"/>
      <c r="AI695" s="404"/>
      <c r="AL695" s="502"/>
    </row>
    <row r="696" spans="3:38" x14ac:dyDescent="0.3"/>
    <row r="697" spans="3:38" x14ac:dyDescent="0.3"/>
    <row r="698" spans="3:38" x14ac:dyDescent="0.3"/>
    <row r="699" spans="3:38" x14ac:dyDescent="0.3"/>
    <row r="700" spans="3:38" x14ac:dyDescent="0.3"/>
  </sheetData>
  <mergeCells count="698">
    <mergeCell ref="AF687:AI695"/>
    <mergeCell ref="AE8:AE9"/>
    <mergeCell ref="AA199:AA200"/>
    <mergeCell ref="S303:S306"/>
    <mergeCell ref="W337:W343"/>
    <mergeCell ref="S393:S394"/>
    <mergeCell ref="AA397:AA398"/>
    <mergeCell ref="AJ675:AK675"/>
    <mergeCell ref="T676:W684"/>
    <mergeCell ref="X676:AA684"/>
    <mergeCell ref="AJ676:AK684"/>
    <mergeCell ref="P685:AK685"/>
    <mergeCell ref="AJ653:AK653"/>
    <mergeCell ref="AB654:AE662"/>
    <mergeCell ref="AF654:AI662"/>
    <mergeCell ref="AJ654:AK662"/>
    <mergeCell ref="P663:AK663"/>
    <mergeCell ref="P643:S651"/>
    <mergeCell ref="T643:W651"/>
    <mergeCell ref="AJ643:AK651"/>
    <mergeCell ref="P652:AK652"/>
    <mergeCell ref="AF620:AI620"/>
    <mergeCell ref="AJ620:AK620"/>
    <mergeCell ref="D686:G686"/>
    <mergeCell ref="P686:S686"/>
    <mergeCell ref="T686:W686"/>
    <mergeCell ref="X686:AA686"/>
    <mergeCell ref="AB686:AE686"/>
    <mergeCell ref="AF664:AI664"/>
    <mergeCell ref="AJ664:AK664"/>
    <mergeCell ref="AJ665:AK673"/>
    <mergeCell ref="P674:AK674"/>
    <mergeCell ref="D675:G675"/>
    <mergeCell ref="P675:S675"/>
    <mergeCell ref="T675:W675"/>
    <mergeCell ref="X675:AA675"/>
    <mergeCell ref="AB675:AE675"/>
    <mergeCell ref="AF675:AI675"/>
    <mergeCell ref="D664:G664"/>
    <mergeCell ref="P664:S664"/>
    <mergeCell ref="T664:W664"/>
    <mergeCell ref="X664:AA664"/>
    <mergeCell ref="AB664:AE664"/>
    <mergeCell ref="AF686:AI686"/>
    <mergeCell ref="D653:G653"/>
    <mergeCell ref="P653:S653"/>
    <mergeCell ref="T653:W653"/>
    <mergeCell ref="X653:AA653"/>
    <mergeCell ref="AB653:AE653"/>
    <mergeCell ref="AF653:AI653"/>
    <mergeCell ref="AJ631:AK631"/>
    <mergeCell ref="AJ632:AK640"/>
    <mergeCell ref="P641:AK641"/>
    <mergeCell ref="D642:G642"/>
    <mergeCell ref="P642:S642"/>
    <mergeCell ref="T642:W642"/>
    <mergeCell ref="X642:AA642"/>
    <mergeCell ref="AB642:AE642"/>
    <mergeCell ref="AF642:AI642"/>
    <mergeCell ref="AJ642:AK642"/>
    <mergeCell ref="D631:G631"/>
    <mergeCell ref="P631:S631"/>
    <mergeCell ref="T631:W631"/>
    <mergeCell ref="X631:AA631"/>
    <mergeCell ref="AB631:AE631"/>
    <mergeCell ref="AF631:AI631"/>
    <mergeCell ref="X621:AA629"/>
    <mergeCell ref="AB621:AE629"/>
    <mergeCell ref="AJ621:AK629"/>
    <mergeCell ref="P630:AK630"/>
    <mergeCell ref="AF609:AI609"/>
    <mergeCell ref="AJ609:AK609"/>
    <mergeCell ref="P610:S618"/>
    <mergeCell ref="AJ610:AK618"/>
    <mergeCell ref="P619:AK619"/>
    <mergeCell ref="D620:G620"/>
    <mergeCell ref="P620:S620"/>
    <mergeCell ref="T620:W620"/>
    <mergeCell ref="X620:AA620"/>
    <mergeCell ref="AB620:AE620"/>
    <mergeCell ref="AF598:AI598"/>
    <mergeCell ref="AJ598:AK598"/>
    <mergeCell ref="AF599:AI607"/>
    <mergeCell ref="AJ599:AK607"/>
    <mergeCell ref="P608:AK608"/>
    <mergeCell ref="D609:G609"/>
    <mergeCell ref="P609:S609"/>
    <mergeCell ref="T609:W609"/>
    <mergeCell ref="X609:AA609"/>
    <mergeCell ref="AB609:AE609"/>
    <mergeCell ref="T588:W596"/>
    <mergeCell ref="X588:AA596"/>
    <mergeCell ref="AJ588:AK596"/>
    <mergeCell ref="P597:AK597"/>
    <mergeCell ref="D598:G598"/>
    <mergeCell ref="P598:S598"/>
    <mergeCell ref="T598:W598"/>
    <mergeCell ref="X598:AA598"/>
    <mergeCell ref="AB598:AE598"/>
    <mergeCell ref="AJ577:AK585"/>
    <mergeCell ref="P586:AK586"/>
    <mergeCell ref="D587:G587"/>
    <mergeCell ref="P587:S587"/>
    <mergeCell ref="T587:W587"/>
    <mergeCell ref="X587:AA587"/>
    <mergeCell ref="AB587:AE587"/>
    <mergeCell ref="AF587:AI587"/>
    <mergeCell ref="AJ587:AK587"/>
    <mergeCell ref="AB566:AE574"/>
    <mergeCell ref="AF566:AI574"/>
    <mergeCell ref="AJ566:AK574"/>
    <mergeCell ref="P575:AK575"/>
    <mergeCell ref="D576:G576"/>
    <mergeCell ref="P576:S576"/>
    <mergeCell ref="T576:W576"/>
    <mergeCell ref="X576:AA576"/>
    <mergeCell ref="AB576:AE576"/>
    <mergeCell ref="AF576:AI576"/>
    <mergeCell ref="AJ576:AK576"/>
    <mergeCell ref="P555:S563"/>
    <mergeCell ref="T555:W563"/>
    <mergeCell ref="AJ555:AK563"/>
    <mergeCell ref="P564:AK564"/>
    <mergeCell ref="D565:G565"/>
    <mergeCell ref="P565:S565"/>
    <mergeCell ref="T565:W565"/>
    <mergeCell ref="X565:AA565"/>
    <mergeCell ref="AB565:AE565"/>
    <mergeCell ref="AF565:AI565"/>
    <mergeCell ref="AJ565:AK565"/>
    <mergeCell ref="AJ543:AK543"/>
    <mergeCell ref="AJ544:AK552"/>
    <mergeCell ref="P553:AK553"/>
    <mergeCell ref="D554:G554"/>
    <mergeCell ref="P554:S554"/>
    <mergeCell ref="T554:W554"/>
    <mergeCell ref="X554:AA554"/>
    <mergeCell ref="AB554:AE554"/>
    <mergeCell ref="AF554:AI554"/>
    <mergeCell ref="AJ554:AK554"/>
    <mergeCell ref="D543:G543"/>
    <mergeCell ref="P543:S543"/>
    <mergeCell ref="T543:W543"/>
    <mergeCell ref="X543:AA543"/>
    <mergeCell ref="AB543:AE543"/>
    <mergeCell ref="AF543:AI543"/>
    <mergeCell ref="X533:AA541"/>
    <mergeCell ref="AB533:AE541"/>
    <mergeCell ref="AJ533:AK541"/>
    <mergeCell ref="P542:AK542"/>
    <mergeCell ref="AF521:AI521"/>
    <mergeCell ref="AJ521:AK521"/>
    <mergeCell ref="P522:S530"/>
    <mergeCell ref="AJ522:AK530"/>
    <mergeCell ref="P531:AK531"/>
    <mergeCell ref="D532:G532"/>
    <mergeCell ref="P532:S532"/>
    <mergeCell ref="T532:W532"/>
    <mergeCell ref="X532:AA532"/>
    <mergeCell ref="AB532:AE532"/>
    <mergeCell ref="AF510:AI510"/>
    <mergeCell ref="AJ510:AK510"/>
    <mergeCell ref="AF511:AI519"/>
    <mergeCell ref="AJ511:AK519"/>
    <mergeCell ref="P520:AK520"/>
    <mergeCell ref="D521:G521"/>
    <mergeCell ref="P521:S521"/>
    <mergeCell ref="T521:W521"/>
    <mergeCell ref="X521:AA521"/>
    <mergeCell ref="AB521:AE521"/>
    <mergeCell ref="AF532:AI532"/>
    <mergeCell ref="AJ532:AK532"/>
    <mergeCell ref="T500:W508"/>
    <mergeCell ref="X500:AA508"/>
    <mergeCell ref="AJ500:AK508"/>
    <mergeCell ref="P509:AK509"/>
    <mergeCell ref="D510:G510"/>
    <mergeCell ref="P510:S510"/>
    <mergeCell ref="T510:W510"/>
    <mergeCell ref="X510:AA510"/>
    <mergeCell ref="AB510:AE510"/>
    <mergeCell ref="AJ488:AK488"/>
    <mergeCell ref="AJ489:AK497"/>
    <mergeCell ref="S490:S492"/>
    <mergeCell ref="P498:AK498"/>
    <mergeCell ref="D499:G499"/>
    <mergeCell ref="P499:S499"/>
    <mergeCell ref="T499:W499"/>
    <mergeCell ref="X499:AA499"/>
    <mergeCell ref="AB499:AE499"/>
    <mergeCell ref="AF499:AI499"/>
    <mergeCell ref="D488:G488"/>
    <mergeCell ref="P488:S488"/>
    <mergeCell ref="T488:W488"/>
    <mergeCell ref="X488:AA488"/>
    <mergeCell ref="AB488:AE488"/>
    <mergeCell ref="AF488:AI488"/>
    <mergeCell ref="AJ499:AK499"/>
    <mergeCell ref="AB478:AE486"/>
    <mergeCell ref="AF478:AI486"/>
    <mergeCell ref="AJ478:AK486"/>
    <mergeCell ref="S481:S482"/>
    <mergeCell ref="S484:S486"/>
    <mergeCell ref="P487:AK487"/>
    <mergeCell ref="P476:AK476"/>
    <mergeCell ref="D477:G477"/>
    <mergeCell ref="P477:S477"/>
    <mergeCell ref="T477:W477"/>
    <mergeCell ref="X477:AA477"/>
    <mergeCell ref="AB477:AE477"/>
    <mergeCell ref="AF477:AI477"/>
    <mergeCell ref="AJ477:AK477"/>
    <mergeCell ref="P467:S475"/>
    <mergeCell ref="T467:W475"/>
    <mergeCell ref="AJ467:AK475"/>
    <mergeCell ref="AA469:AA470"/>
    <mergeCell ref="AF455:AI455"/>
    <mergeCell ref="AJ455:AK455"/>
    <mergeCell ref="AJ456:AK464"/>
    <mergeCell ref="AA458:AA459"/>
    <mergeCell ref="P465:AK465"/>
    <mergeCell ref="D466:G466"/>
    <mergeCell ref="P466:S466"/>
    <mergeCell ref="T466:W466"/>
    <mergeCell ref="X466:AA466"/>
    <mergeCell ref="AB466:AE466"/>
    <mergeCell ref="AJ444:AK444"/>
    <mergeCell ref="X445:AA453"/>
    <mergeCell ref="AB445:AE453"/>
    <mergeCell ref="AJ445:AK453"/>
    <mergeCell ref="P454:AK454"/>
    <mergeCell ref="D455:G455"/>
    <mergeCell ref="P455:S455"/>
    <mergeCell ref="T455:W455"/>
    <mergeCell ref="X455:AA455"/>
    <mergeCell ref="AB455:AE455"/>
    <mergeCell ref="AF466:AI466"/>
    <mergeCell ref="AJ466:AK466"/>
    <mergeCell ref="P434:S442"/>
    <mergeCell ref="AJ434:AK442"/>
    <mergeCell ref="P443:AK443"/>
    <mergeCell ref="D444:G444"/>
    <mergeCell ref="P444:S444"/>
    <mergeCell ref="T444:W444"/>
    <mergeCell ref="X444:AA444"/>
    <mergeCell ref="AB444:AE444"/>
    <mergeCell ref="AF444:AI444"/>
    <mergeCell ref="AF423:AI431"/>
    <mergeCell ref="AJ423:AK431"/>
    <mergeCell ref="P432:AK432"/>
    <mergeCell ref="D433:G433"/>
    <mergeCell ref="P433:S433"/>
    <mergeCell ref="T433:W433"/>
    <mergeCell ref="X433:AA433"/>
    <mergeCell ref="AB433:AE433"/>
    <mergeCell ref="AF433:AI433"/>
    <mergeCell ref="AJ433:AK433"/>
    <mergeCell ref="T412:W420"/>
    <mergeCell ref="X412:AA420"/>
    <mergeCell ref="AJ412:AK420"/>
    <mergeCell ref="P421:AK421"/>
    <mergeCell ref="D422:G422"/>
    <mergeCell ref="P422:S422"/>
    <mergeCell ref="T422:W422"/>
    <mergeCell ref="X422:AA422"/>
    <mergeCell ref="AB422:AE422"/>
    <mergeCell ref="AF422:AI422"/>
    <mergeCell ref="AJ422:AK422"/>
    <mergeCell ref="AJ400:AK400"/>
    <mergeCell ref="AJ401:AK409"/>
    <mergeCell ref="P410:AK410"/>
    <mergeCell ref="D411:G411"/>
    <mergeCell ref="P411:S411"/>
    <mergeCell ref="T411:W411"/>
    <mergeCell ref="X411:AA411"/>
    <mergeCell ref="AB411:AE411"/>
    <mergeCell ref="AF411:AI411"/>
    <mergeCell ref="AJ411:AK411"/>
    <mergeCell ref="D400:G400"/>
    <mergeCell ref="P400:S400"/>
    <mergeCell ref="T400:W400"/>
    <mergeCell ref="X400:AA400"/>
    <mergeCell ref="AB400:AE400"/>
    <mergeCell ref="AF400:AI400"/>
    <mergeCell ref="AB390:AE398"/>
    <mergeCell ref="AF390:AI398"/>
    <mergeCell ref="AJ390:AK398"/>
    <mergeCell ref="P399:AK399"/>
    <mergeCell ref="P379:S387"/>
    <mergeCell ref="T379:W387"/>
    <mergeCell ref="AJ379:AK387"/>
    <mergeCell ref="AA382:AA383"/>
    <mergeCell ref="P388:AK388"/>
    <mergeCell ref="D389:G389"/>
    <mergeCell ref="P389:S389"/>
    <mergeCell ref="T389:W389"/>
    <mergeCell ref="X389:AA389"/>
    <mergeCell ref="AB389:AE389"/>
    <mergeCell ref="AJ368:AK376"/>
    <mergeCell ref="AA370:AA372"/>
    <mergeCell ref="P377:AK377"/>
    <mergeCell ref="D378:G378"/>
    <mergeCell ref="P378:S378"/>
    <mergeCell ref="T378:W378"/>
    <mergeCell ref="X378:AA378"/>
    <mergeCell ref="AB378:AE378"/>
    <mergeCell ref="AF378:AI378"/>
    <mergeCell ref="AJ378:AK378"/>
    <mergeCell ref="AF389:AI389"/>
    <mergeCell ref="AJ389:AK389"/>
    <mergeCell ref="P366:AK366"/>
    <mergeCell ref="D367:G367"/>
    <mergeCell ref="P367:S367"/>
    <mergeCell ref="T367:W367"/>
    <mergeCell ref="X367:AA367"/>
    <mergeCell ref="AB367:AE367"/>
    <mergeCell ref="AF367:AI367"/>
    <mergeCell ref="AJ367:AK367"/>
    <mergeCell ref="AF356:AI356"/>
    <mergeCell ref="AJ356:AK356"/>
    <mergeCell ref="X357:AA365"/>
    <mergeCell ref="AB357:AE365"/>
    <mergeCell ref="AJ357:AK365"/>
    <mergeCell ref="AI359:AI361"/>
    <mergeCell ref="AI362:AI365"/>
    <mergeCell ref="P346:S354"/>
    <mergeCell ref="AJ346:AK354"/>
    <mergeCell ref="W348:W349"/>
    <mergeCell ref="W353:W354"/>
    <mergeCell ref="P355:AK355"/>
    <mergeCell ref="D356:G356"/>
    <mergeCell ref="P356:S356"/>
    <mergeCell ref="T356:W356"/>
    <mergeCell ref="X356:AA356"/>
    <mergeCell ref="AB356:AE356"/>
    <mergeCell ref="P344:AK344"/>
    <mergeCell ref="D345:G345"/>
    <mergeCell ref="P345:S345"/>
    <mergeCell ref="T345:W345"/>
    <mergeCell ref="X345:AA345"/>
    <mergeCell ref="AB345:AE345"/>
    <mergeCell ref="AF345:AI345"/>
    <mergeCell ref="AJ345:AK345"/>
    <mergeCell ref="AF334:AI334"/>
    <mergeCell ref="AJ334:AK334"/>
    <mergeCell ref="AF335:AI343"/>
    <mergeCell ref="AJ335:AK343"/>
    <mergeCell ref="AJ323:AK323"/>
    <mergeCell ref="T324:W332"/>
    <mergeCell ref="X324:AA332"/>
    <mergeCell ref="AJ324:AK332"/>
    <mergeCell ref="P333:AK333"/>
    <mergeCell ref="D334:G334"/>
    <mergeCell ref="P334:S334"/>
    <mergeCell ref="T334:W334"/>
    <mergeCell ref="X334:AA334"/>
    <mergeCell ref="AB334:AE334"/>
    <mergeCell ref="D323:G323"/>
    <mergeCell ref="P323:S323"/>
    <mergeCell ref="T323:W323"/>
    <mergeCell ref="X323:AA323"/>
    <mergeCell ref="AB323:AE323"/>
    <mergeCell ref="AF323:AI323"/>
    <mergeCell ref="AJ312:AK312"/>
    <mergeCell ref="AJ313:AK321"/>
    <mergeCell ref="S314:S317"/>
    <mergeCell ref="AE316:AE317"/>
    <mergeCell ref="S320:S321"/>
    <mergeCell ref="P322:AK322"/>
    <mergeCell ref="D312:G312"/>
    <mergeCell ref="P312:S312"/>
    <mergeCell ref="T312:W312"/>
    <mergeCell ref="X312:AA312"/>
    <mergeCell ref="AB312:AE312"/>
    <mergeCell ref="AF312:AI312"/>
    <mergeCell ref="AB302:AE310"/>
    <mergeCell ref="AF302:AI310"/>
    <mergeCell ref="AJ302:AK310"/>
    <mergeCell ref="P311:AK311"/>
    <mergeCell ref="P291:S299"/>
    <mergeCell ref="T291:W299"/>
    <mergeCell ref="AJ291:AK299"/>
    <mergeCell ref="AA292:AA295"/>
    <mergeCell ref="P300:AK300"/>
    <mergeCell ref="D301:G301"/>
    <mergeCell ref="P301:S301"/>
    <mergeCell ref="T301:W301"/>
    <mergeCell ref="X301:AA301"/>
    <mergeCell ref="AB301:AE301"/>
    <mergeCell ref="P289:AK289"/>
    <mergeCell ref="D290:G290"/>
    <mergeCell ref="P290:S290"/>
    <mergeCell ref="T290:W290"/>
    <mergeCell ref="X290:AA290"/>
    <mergeCell ref="AB290:AE290"/>
    <mergeCell ref="AF290:AI290"/>
    <mergeCell ref="AJ290:AK290"/>
    <mergeCell ref="AF301:AI301"/>
    <mergeCell ref="AJ301:AK301"/>
    <mergeCell ref="AF279:AI279"/>
    <mergeCell ref="AJ279:AK279"/>
    <mergeCell ref="AJ280:AK288"/>
    <mergeCell ref="AA282:AA283"/>
    <mergeCell ref="S285:S287"/>
    <mergeCell ref="AA285:AA286"/>
    <mergeCell ref="AJ268:AK268"/>
    <mergeCell ref="X269:AA277"/>
    <mergeCell ref="AB269:AE277"/>
    <mergeCell ref="AJ269:AK277"/>
    <mergeCell ref="P278:AK278"/>
    <mergeCell ref="AF268:AI268"/>
    <mergeCell ref="D279:G279"/>
    <mergeCell ref="P279:S279"/>
    <mergeCell ref="T279:W279"/>
    <mergeCell ref="X279:AA279"/>
    <mergeCell ref="AB279:AE279"/>
    <mergeCell ref="D268:G268"/>
    <mergeCell ref="P268:S268"/>
    <mergeCell ref="T268:W268"/>
    <mergeCell ref="X268:AA268"/>
    <mergeCell ref="AB268:AE268"/>
    <mergeCell ref="AJ257:AK257"/>
    <mergeCell ref="P258:S266"/>
    <mergeCell ref="AJ258:AK266"/>
    <mergeCell ref="W260:W262"/>
    <mergeCell ref="AE265:AE266"/>
    <mergeCell ref="P267:AK267"/>
    <mergeCell ref="AJ246:AK246"/>
    <mergeCell ref="AF247:AI255"/>
    <mergeCell ref="AJ247:AK255"/>
    <mergeCell ref="P256:AK256"/>
    <mergeCell ref="D257:G257"/>
    <mergeCell ref="P257:S257"/>
    <mergeCell ref="T257:W257"/>
    <mergeCell ref="X257:AA257"/>
    <mergeCell ref="AB257:AE257"/>
    <mergeCell ref="AF257:AI257"/>
    <mergeCell ref="D246:G246"/>
    <mergeCell ref="P246:S246"/>
    <mergeCell ref="T246:W246"/>
    <mergeCell ref="X246:AA246"/>
    <mergeCell ref="AB246:AE246"/>
    <mergeCell ref="AF246:AI246"/>
    <mergeCell ref="AF235:AI235"/>
    <mergeCell ref="AJ235:AK235"/>
    <mergeCell ref="T236:W244"/>
    <mergeCell ref="X236:AA244"/>
    <mergeCell ref="AJ236:AK244"/>
    <mergeCell ref="P245:AK245"/>
    <mergeCell ref="AJ224:AK224"/>
    <mergeCell ref="AJ225:AK233"/>
    <mergeCell ref="S226:S233"/>
    <mergeCell ref="W226:W233"/>
    <mergeCell ref="P234:AK234"/>
    <mergeCell ref="AF224:AI224"/>
    <mergeCell ref="D235:G235"/>
    <mergeCell ref="P235:S235"/>
    <mergeCell ref="T235:W235"/>
    <mergeCell ref="X235:AA235"/>
    <mergeCell ref="AB235:AE235"/>
    <mergeCell ref="D224:G224"/>
    <mergeCell ref="P224:S224"/>
    <mergeCell ref="T224:W224"/>
    <mergeCell ref="X224:AA224"/>
    <mergeCell ref="AB224:AE224"/>
    <mergeCell ref="AF213:AI213"/>
    <mergeCell ref="AJ213:AK213"/>
    <mergeCell ref="AB214:AE222"/>
    <mergeCell ref="AF214:AI222"/>
    <mergeCell ref="AJ214:AK222"/>
    <mergeCell ref="P223:AK223"/>
    <mergeCell ref="AJ202:AK202"/>
    <mergeCell ref="P203:S211"/>
    <mergeCell ref="T203:W211"/>
    <mergeCell ref="AJ203:AK211"/>
    <mergeCell ref="P212:AK212"/>
    <mergeCell ref="AF202:AI202"/>
    <mergeCell ref="D213:G213"/>
    <mergeCell ref="P213:S213"/>
    <mergeCell ref="T213:W213"/>
    <mergeCell ref="X213:AA213"/>
    <mergeCell ref="AB213:AE213"/>
    <mergeCell ref="D202:G202"/>
    <mergeCell ref="P202:S202"/>
    <mergeCell ref="T202:W202"/>
    <mergeCell ref="X202:AA202"/>
    <mergeCell ref="AB202:AE202"/>
    <mergeCell ref="AJ192:AK200"/>
    <mergeCell ref="AE195:AE196"/>
    <mergeCell ref="AE198:AE199"/>
    <mergeCell ref="P201:AK201"/>
    <mergeCell ref="P181:S189"/>
    <mergeCell ref="X181:AA189"/>
    <mergeCell ref="AB181:AE189"/>
    <mergeCell ref="AJ181:AK189"/>
    <mergeCell ref="P190:AK190"/>
    <mergeCell ref="D191:G191"/>
    <mergeCell ref="P191:S191"/>
    <mergeCell ref="T191:W191"/>
    <mergeCell ref="X191:AA191"/>
    <mergeCell ref="AB191:AE191"/>
    <mergeCell ref="P179:AK179"/>
    <mergeCell ref="D180:G180"/>
    <mergeCell ref="P180:S180"/>
    <mergeCell ref="T180:W180"/>
    <mergeCell ref="X180:AA180"/>
    <mergeCell ref="AB180:AE180"/>
    <mergeCell ref="AF180:AI180"/>
    <mergeCell ref="AJ180:AK180"/>
    <mergeCell ref="AF191:AI191"/>
    <mergeCell ref="AJ191:AK191"/>
    <mergeCell ref="P170:S178"/>
    <mergeCell ref="T170:W178"/>
    <mergeCell ref="X170:AA178"/>
    <mergeCell ref="AB170:AE178"/>
    <mergeCell ref="AF170:AI178"/>
    <mergeCell ref="AJ170:AK178"/>
    <mergeCell ref="P168:AK168"/>
    <mergeCell ref="D169:G169"/>
    <mergeCell ref="P169:S169"/>
    <mergeCell ref="T169:W169"/>
    <mergeCell ref="X169:AA169"/>
    <mergeCell ref="AB169:AE169"/>
    <mergeCell ref="AF169:AI169"/>
    <mergeCell ref="AJ169:AK169"/>
    <mergeCell ref="P159:S167"/>
    <mergeCell ref="T159:W167"/>
    <mergeCell ref="X159:AA167"/>
    <mergeCell ref="AB159:AE167"/>
    <mergeCell ref="AF159:AI167"/>
    <mergeCell ref="AJ159:AK167"/>
    <mergeCell ref="P157:AK157"/>
    <mergeCell ref="D158:G158"/>
    <mergeCell ref="P158:S158"/>
    <mergeCell ref="T158:W158"/>
    <mergeCell ref="X158:AA158"/>
    <mergeCell ref="AB158:AE158"/>
    <mergeCell ref="AF158:AI158"/>
    <mergeCell ref="AJ158:AK158"/>
    <mergeCell ref="P148:S156"/>
    <mergeCell ref="T148:W156"/>
    <mergeCell ref="X148:AA156"/>
    <mergeCell ref="AB148:AE156"/>
    <mergeCell ref="AF148:AI156"/>
    <mergeCell ref="AJ148:AK156"/>
    <mergeCell ref="P146:AK146"/>
    <mergeCell ref="D147:G147"/>
    <mergeCell ref="P147:S147"/>
    <mergeCell ref="T147:W147"/>
    <mergeCell ref="X147:AA147"/>
    <mergeCell ref="AB147:AE147"/>
    <mergeCell ref="AF147:AI147"/>
    <mergeCell ref="AJ147:AK147"/>
    <mergeCell ref="P137:S145"/>
    <mergeCell ref="T137:W145"/>
    <mergeCell ref="X137:AA145"/>
    <mergeCell ref="AB137:AE145"/>
    <mergeCell ref="AF137:AI145"/>
    <mergeCell ref="AJ137:AK145"/>
    <mergeCell ref="AB126:AE134"/>
    <mergeCell ref="AF126:AI134"/>
    <mergeCell ref="AJ126:AK134"/>
    <mergeCell ref="P135:AK135"/>
    <mergeCell ref="D136:G136"/>
    <mergeCell ref="P136:S136"/>
    <mergeCell ref="T136:W136"/>
    <mergeCell ref="X136:AA136"/>
    <mergeCell ref="AB136:AE136"/>
    <mergeCell ref="AF136:AI136"/>
    <mergeCell ref="AJ115:AK123"/>
    <mergeCell ref="P124:AK124"/>
    <mergeCell ref="D125:G125"/>
    <mergeCell ref="P125:S125"/>
    <mergeCell ref="T125:W125"/>
    <mergeCell ref="X125:AA125"/>
    <mergeCell ref="AB125:AE125"/>
    <mergeCell ref="AF125:AI125"/>
    <mergeCell ref="AJ125:AK125"/>
    <mergeCell ref="AJ136:AK136"/>
    <mergeCell ref="H113:I113"/>
    <mergeCell ref="P113:AK113"/>
    <mergeCell ref="D114:G114"/>
    <mergeCell ref="P114:W114"/>
    <mergeCell ref="X114:AA114"/>
    <mergeCell ref="AB114:AE114"/>
    <mergeCell ref="AF114:AI114"/>
    <mergeCell ref="AJ114:AK114"/>
    <mergeCell ref="AJ104:AK112"/>
    <mergeCell ref="W105:W106"/>
    <mergeCell ref="AA105:AA106"/>
    <mergeCell ref="S107:S108"/>
    <mergeCell ref="W107:W108"/>
    <mergeCell ref="AA107:AA108"/>
    <mergeCell ref="S109:S110"/>
    <mergeCell ref="W109:W110"/>
    <mergeCell ref="S111:S112"/>
    <mergeCell ref="W111:W112"/>
    <mergeCell ref="AF93:AI101"/>
    <mergeCell ref="P102:AK102"/>
    <mergeCell ref="D103:G103"/>
    <mergeCell ref="P103:S103"/>
    <mergeCell ref="T103:W103"/>
    <mergeCell ref="X103:AA103"/>
    <mergeCell ref="AB103:AE103"/>
    <mergeCell ref="AF103:AI103"/>
    <mergeCell ref="AJ103:AK103"/>
    <mergeCell ref="AJ82:AK90"/>
    <mergeCell ref="P91:AK91"/>
    <mergeCell ref="D92:G92"/>
    <mergeCell ref="P92:S92"/>
    <mergeCell ref="T92:W92"/>
    <mergeCell ref="X92:AA92"/>
    <mergeCell ref="AB92:AE92"/>
    <mergeCell ref="AF92:AI92"/>
    <mergeCell ref="AJ71:AK79"/>
    <mergeCell ref="P80:AK80"/>
    <mergeCell ref="D81:G81"/>
    <mergeCell ref="P81:S81"/>
    <mergeCell ref="T81:W81"/>
    <mergeCell ref="X81:AA81"/>
    <mergeCell ref="AB81:AE81"/>
    <mergeCell ref="AF81:AI81"/>
    <mergeCell ref="AJ81:AK81"/>
    <mergeCell ref="AJ60:AK68"/>
    <mergeCell ref="P69:AK69"/>
    <mergeCell ref="D70:G70"/>
    <mergeCell ref="P70:S70"/>
    <mergeCell ref="T70:W70"/>
    <mergeCell ref="X70:AA70"/>
    <mergeCell ref="AB70:AE70"/>
    <mergeCell ref="AF70:AI70"/>
    <mergeCell ref="AJ70:AK70"/>
    <mergeCell ref="AJ49:AK57"/>
    <mergeCell ref="P58:AK58"/>
    <mergeCell ref="D59:G59"/>
    <mergeCell ref="P59:S59"/>
    <mergeCell ref="T59:W59"/>
    <mergeCell ref="X59:AA59"/>
    <mergeCell ref="AB59:AE59"/>
    <mergeCell ref="AF59:AI59"/>
    <mergeCell ref="AJ59:AK59"/>
    <mergeCell ref="AJ38:AK46"/>
    <mergeCell ref="P47:AK47"/>
    <mergeCell ref="D48:G48"/>
    <mergeCell ref="P48:S48"/>
    <mergeCell ref="T48:W48"/>
    <mergeCell ref="X48:AA48"/>
    <mergeCell ref="AB48:AE48"/>
    <mergeCell ref="AF48:AI48"/>
    <mergeCell ref="AJ48:AK48"/>
    <mergeCell ref="T26:W26"/>
    <mergeCell ref="X26:AA26"/>
    <mergeCell ref="AB26:AE26"/>
    <mergeCell ref="AF26:AI26"/>
    <mergeCell ref="AJ26:AK26"/>
    <mergeCell ref="AJ27:AK35"/>
    <mergeCell ref="P36:AK36"/>
    <mergeCell ref="D37:G37"/>
    <mergeCell ref="P37:S37"/>
    <mergeCell ref="T37:W37"/>
    <mergeCell ref="X37:AA37"/>
    <mergeCell ref="AB37:AE37"/>
    <mergeCell ref="AF37:AI37"/>
    <mergeCell ref="AJ37:AK37"/>
    <mergeCell ref="A1:B1"/>
    <mergeCell ref="O1:S1"/>
    <mergeCell ref="T1:V1"/>
    <mergeCell ref="X1:Z1"/>
    <mergeCell ref="C2:E2"/>
    <mergeCell ref="G2:M2"/>
    <mergeCell ref="AJ5:AK13"/>
    <mergeCell ref="S7:S9"/>
    <mergeCell ref="S10:S12"/>
    <mergeCell ref="AA11:AA12"/>
    <mergeCell ref="AL421:AL695"/>
    <mergeCell ref="AL58:AL79"/>
    <mergeCell ref="AM69:AM101"/>
    <mergeCell ref="P3:AK3"/>
    <mergeCell ref="D4:G4"/>
    <mergeCell ref="P4:S4"/>
    <mergeCell ref="T4:W4"/>
    <mergeCell ref="X4:AA4"/>
    <mergeCell ref="AB4:AE4"/>
    <mergeCell ref="AF4:AI4"/>
    <mergeCell ref="AJ4:AK4"/>
    <mergeCell ref="P14:AK14"/>
    <mergeCell ref="D15:G15"/>
    <mergeCell ref="P15:S15"/>
    <mergeCell ref="T15:W15"/>
    <mergeCell ref="X15:AA15"/>
    <mergeCell ref="AB15:AE15"/>
    <mergeCell ref="AF15:AI15"/>
    <mergeCell ref="AJ15:AK15"/>
    <mergeCell ref="AJ16:AK24"/>
    <mergeCell ref="W17:W18"/>
    <mergeCell ref="P25:AK25"/>
    <mergeCell ref="D26:G26"/>
    <mergeCell ref="P26:S26"/>
  </mergeCells>
  <conditionalFormatting sqref="A43:A70">
    <cfRule type="containsText" dxfId="244" priority="151" operator="containsText" text="720G3">
      <formula>NOT(ISERROR(SEARCH("720G3",A43)))</formula>
    </cfRule>
    <cfRule type="containsText" dxfId="243" priority="152" operator="containsText" text="Block 3">
      <formula>NOT(ISERROR(SEARCH("Block 3",A43)))</formula>
    </cfRule>
  </conditionalFormatting>
  <conditionalFormatting sqref="B3:B70">
    <cfRule type="expression" dxfId="242" priority="133">
      <formula>IF(A3&lt;&gt;B3,1,0)</formula>
    </cfRule>
    <cfRule type="containsText" dxfId="241" priority="134" operator="containsText" text=";Block">
      <formula>NOT(ISERROR(SEARCH(";Block",B3)))</formula>
    </cfRule>
    <cfRule type="beginsWith" dxfId="240" priority="135" operator="beginsWith" text="72001">
      <formula>LEFT(B3,LEN("72001"))="72001"</formula>
    </cfRule>
    <cfRule type="beginsWith" dxfId="239" priority="136" operator="beginsWith" text="720G1">
      <formula>LEFT(B3,LEN("720G1"))="720G1"</formula>
    </cfRule>
    <cfRule type="beginsWith" dxfId="238" priority="137" operator="beginsWith" text="70202">
      <formula>LEFT(B3,LEN("70202"))="70202"</formula>
    </cfRule>
    <cfRule type="beginsWith" dxfId="237" priority="138" operator="beginsWith" text="720G2">
      <formula>LEFT(B3,LEN("720G2"))="720G2"</formula>
    </cfRule>
    <cfRule type="beginsWith" dxfId="236" priority="139" operator="beginsWith" text="72003">
      <formula>LEFT(B3,LEN("72003"))="72003"</formula>
    </cfRule>
    <cfRule type="beginsWith" dxfId="235" priority="140" operator="beginsWith" text="720G3">
      <formula>LEFT(B3,LEN("720G3"))="720G3"</formula>
    </cfRule>
    <cfRule type="beginsWith" dxfId="234" priority="141" operator="beginsWith" text="72004">
      <formula>LEFT(B3,LEN("72004"))="72004"</formula>
    </cfRule>
    <cfRule type="beginsWith" dxfId="233" priority="142" operator="beginsWith" text="720G4">
      <formula>LEFT(B3,LEN("720G4"))="720G4"</formula>
    </cfRule>
  </conditionalFormatting>
  <conditionalFormatting sqref="Q6:Q13 Q17 U17 Y17 AC17 AG17 U402:U404">
    <cfRule type="expression" dxfId="232" priority="130">
      <formula>Q6:Q13&lt;&gt;P6:P13</formula>
    </cfRule>
  </conditionalFormatting>
  <conditionalFormatting sqref="Q18:Q24 U18:U24 Y18:Y24 AC18:AC24 AG18:AG24 AG29:AG35 AG40:AG46 AG51:AG57 AG62:AG68 AG73:AG79 AG84:AG90">
    <cfRule type="expression" dxfId="231" priority="132">
      <formula>Q18:Q113&lt;&gt;P18:P113</formula>
    </cfRule>
  </conditionalFormatting>
  <conditionalFormatting sqref="Q28 U28 Y28 AC28 AG28">
    <cfRule type="expression" dxfId="230" priority="39">
      <formula>Q28:Q35&lt;&gt;P28:P35</formula>
    </cfRule>
  </conditionalFormatting>
  <conditionalFormatting sqref="Q29:Q35 U29:U35 Y29:Y35 AC29:AC35">
    <cfRule type="expression" dxfId="229" priority="40">
      <formula>Q29:Q124&lt;&gt;P29:P124</formula>
    </cfRule>
  </conditionalFormatting>
  <conditionalFormatting sqref="Q39 U39 Y39 AC39 AG39">
    <cfRule type="expression" dxfId="228" priority="37">
      <formula>Q39:Q46&lt;&gt;P39:P46</formula>
    </cfRule>
  </conditionalFormatting>
  <conditionalFormatting sqref="Q40:Q46 U40:U46 Y40:Y46 AC40:AC46">
    <cfRule type="expression" dxfId="227" priority="38">
      <formula>Q40:Q135&lt;&gt;P40:P135</formula>
    </cfRule>
  </conditionalFormatting>
  <conditionalFormatting sqref="Q50 U50 Y50 AC50 AG50">
    <cfRule type="expression" dxfId="226" priority="35">
      <formula>Q50:Q57&lt;&gt;P50:P57</formula>
    </cfRule>
  </conditionalFormatting>
  <conditionalFormatting sqref="Q51:Q57 U51:U57 Y51:Y57 AC51:AC57">
    <cfRule type="expression" dxfId="225" priority="36">
      <formula>Q51:Q146&lt;&gt;P51:P146</formula>
    </cfRule>
  </conditionalFormatting>
  <conditionalFormatting sqref="Q61 U61 Y61 AC61 AG61">
    <cfRule type="expression" dxfId="224" priority="33">
      <formula>Q61:Q68&lt;&gt;P61:P68</formula>
    </cfRule>
  </conditionalFormatting>
  <conditionalFormatting sqref="Q62:Q68 U62:U68 Y62:Y68 AC62:AC68">
    <cfRule type="expression" dxfId="223" priority="34">
      <formula>Q62:Q157&lt;&gt;P62:P157</formula>
    </cfRule>
  </conditionalFormatting>
  <conditionalFormatting sqref="Q72 U72 Y72 AC72 AG72">
    <cfRule type="expression" dxfId="222" priority="31">
      <formula>Q72:Q79&lt;&gt;P72:P79</formula>
    </cfRule>
  </conditionalFormatting>
  <conditionalFormatting sqref="Q73:Q79 U73:U79 Y73:Y79 AC73:AC79">
    <cfRule type="expression" dxfId="221" priority="32">
      <formula>Q73:Q168&lt;&gt;P73:P168</formula>
    </cfRule>
  </conditionalFormatting>
  <conditionalFormatting sqref="Q83 U83 Y83 AC83 AG83">
    <cfRule type="expression" dxfId="220" priority="29">
      <formula>Q83:Q90&lt;&gt;P83:P90</formula>
    </cfRule>
  </conditionalFormatting>
  <conditionalFormatting sqref="Q84:Q90 U84:U90 Y84:Y90 AC84:AC90">
    <cfRule type="expression" dxfId="219" priority="30">
      <formula>Q84:Q179&lt;&gt;P84:P179</formula>
    </cfRule>
  </conditionalFormatting>
  <conditionalFormatting sqref="Q94 U94 Y94 AC94">
    <cfRule type="expression" dxfId="218" priority="27">
      <formula>Q94:Q101&lt;&gt;P94:P101</formula>
    </cfRule>
  </conditionalFormatting>
  <conditionalFormatting sqref="Q95:Q101 U95:U101 Y95:Y101 AC95:AC101">
    <cfRule type="expression" dxfId="217" priority="28">
      <formula>Q95:Q190&lt;&gt;P95:P190</formula>
    </cfRule>
  </conditionalFormatting>
  <conditionalFormatting sqref="Q105 U105 Y105 AC105 AG105">
    <cfRule type="expression" dxfId="216" priority="43">
      <formula>Q105:Q112&lt;&gt;P105:P112</formula>
    </cfRule>
  </conditionalFormatting>
  <conditionalFormatting sqref="Q106:Q112 U106:U112 Y106:Y112 AC106:AC112 AG106:AG112">
    <cfRule type="expression" dxfId="215" priority="44">
      <formula>Q106:Q124&lt;&gt;P106:P124</formula>
    </cfRule>
  </conditionalFormatting>
  <conditionalFormatting sqref="Q127:Q134">
    <cfRule type="expression" dxfId="214" priority="122">
      <formula>Q127:Q134&lt;&gt;P127:P134</formula>
    </cfRule>
  </conditionalFormatting>
  <conditionalFormatting sqref="Q193:Q200">
    <cfRule type="expression" dxfId="213" priority="117">
      <formula>Q193:Q200&lt;&gt;P193:P200</formula>
    </cfRule>
  </conditionalFormatting>
  <conditionalFormatting sqref="Q215:Q222">
    <cfRule type="expression" dxfId="212" priority="110">
      <formula>Q215:Q222&lt;&gt;P215:P222</formula>
    </cfRule>
  </conditionalFormatting>
  <conditionalFormatting sqref="Q226:Q233">
    <cfRule type="expression" dxfId="211" priority="104">
      <formula>Q226:Q233&lt;&gt;P226:P233</formula>
    </cfRule>
  </conditionalFormatting>
  <conditionalFormatting sqref="Q237:Q244">
    <cfRule type="expression" dxfId="210" priority="103">
      <formula>Q237:Q244&lt;&gt;P237:P244</formula>
    </cfRule>
  </conditionalFormatting>
  <conditionalFormatting sqref="Q248:Q255">
    <cfRule type="expression" dxfId="209" priority="97">
      <formula>Q248:Q255&lt;&gt;P248:P255</formula>
    </cfRule>
  </conditionalFormatting>
  <conditionalFormatting sqref="Q270:Q277">
    <cfRule type="expression" dxfId="208" priority="90">
      <formula>Q270:Q277&lt;&gt;P270:P277</formula>
    </cfRule>
  </conditionalFormatting>
  <conditionalFormatting sqref="Q281:Q288">
    <cfRule type="expression" dxfId="207" priority="89">
      <formula>Q281:Q288&lt;&gt;P281:P288</formula>
    </cfRule>
  </conditionalFormatting>
  <conditionalFormatting sqref="Q303:Q310">
    <cfRule type="expression" dxfId="206" priority="81">
      <formula>Q303:Q310&lt;&gt;P303:P310</formula>
    </cfRule>
  </conditionalFormatting>
  <conditionalFormatting sqref="Q314:Q321">
    <cfRule type="expression" dxfId="205" priority="74">
      <formula>Q314:Q321&lt;&gt;P314:P321</formula>
    </cfRule>
  </conditionalFormatting>
  <conditionalFormatting sqref="Q325:Q332">
    <cfRule type="expression" dxfId="204" priority="73">
      <formula>Q325:Q332&lt;&gt;P325:P332</formula>
    </cfRule>
  </conditionalFormatting>
  <conditionalFormatting sqref="Q336:Q343">
    <cfRule type="expression" dxfId="203" priority="67">
      <formula>Q336:Q343&lt;&gt;P336:P343</formula>
    </cfRule>
  </conditionalFormatting>
  <conditionalFormatting sqref="Q358:Q365">
    <cfRule type="expression" dxfId="202" priority="60">
      <formula>Q358:Q365&lt;&gt;P358:P365</formula>
    </cfRule>
  </conditionalFormatting>
  <conditionalFormatting sqref="Q369:Q376">
    <cfRule type="expression" dxfId="201" priority="59">
      <formula>Q369:Q376&lt;&gt;P369:P376</formula>
    </cfRule>
  </conditionalFormatting>
  <conditionalFormatting sqref="Q391:Q398">
    <cfRule type="expression" dxfId="200" priority="51">
      <formula>Q391:Q398&lt;&gt;P391:P398</formula>
    </cfRule>
  </conditionalFormatting>
  <conditionalFormatting sqref="Q402:Q409">
    <cfRule type="expression" dxfId="199" priority="45">
      <formula>Q402:Q409&lt;&gt;P402:P409</formula>
    </cfRule>
  </conditionalFormatting>
  <conditionalFormatting sqref="Q413:Q420">
    <cfRule type="expression" dxfId="198" priority="247">
      <formula>Q413:Q420&lt;&gt;P413:P420</formula>
    </cfRule>
  </conditionalFormatting>
  <conditionalFormatting sqref="Q424:Q431">
    <cfRule type="expression" dxfId="197" priority="244">
      <formula>Q424:Q431&lt;&gt;P424:P431</formula>
    </cfRule>
  </conditionalFormatting>
  <conditionalFormatting sqref="Q446:Q453">
    <cfRule type="expression" dxfId="196" priority="236">
      <formula>Q446:Q453&lt;&gt;P446:P453</formula>
    </cfRule>
  </conditionalFormatting>
  <conditionalFormatting sqref="Q457:Q464">
    <cfRule type="expression" dxfId="195" priority="233">
      <formula>Q457:Q464&lt;&gt;P457:P464</formula>
    </cfRule>
  </conditionalFormatting>
  <conditionalFormatting sqref="Q479:Q486">
    <cfRule type="expression" dxfId="194" priority="225">
      <formula>Q479:Q486&lt;&gt;P479:P486</formula>
    </cfRule>
  </conditionalFormatting>
  <conditionalFormatting sqref="Q490:Q497">
    <cfRule type="expression" dxfId="193" priority="222">
      <formula>Q490:Q497&lt;&gt;P490:P497</formula>
    </cfRule>
  </conditionalFormatting>
  <conditionalFormatting sqref="Q501:Q508">
    <cfRule type="expression" dxfId="192" priority="217">
      <formula>Q501:Q508&lt;&gt;P501:P508</formula>
    </cfRule>
  </conditionalFormatting>
  <conditionalFormatting sqref="Q512:Q519">
    <cfRule type="expression" dxfId="191" priority="214">
      <formula>Q512:Q519&lt;&gt;P512:P519</formula>
    </cfRule>
  </conditionalFormatting>
  <conditionalFormatting sqref="Q534:Q541">
    <cfRule type="expression" dxfId="190" priority="206">
      <formula>Q534:Q541&lt;&gt;P534:P541</formula>
    </cfRule>
  </conditionalFormatting>
  <conditionalFormatting sqref="Q545:Q552">
    <cfRule type="expression" dxfId="189" priority="203">
      <formula>Q545:Q552&lt;&gt;P545:P552</formula>
    </cfRule>
  </conditionalFormatting>
  <conditionalFormatting sqref="Q567:Q574">
    <cfRule type="expression" dxfId="188" priority="195">
      <formula>Q567:Q574&lt;&gt;P567:P574</formula>
    </cfRule>
  </conditionalFormatting>
  <conditionalFormatting sqref="Q578:Q585">
    <cfRule type="expression" dxfId="187" priority="192">
      <formula>Q578:Q585&lt;&gt;P578:P585</formula>
    </cfRule>
  </conditionalFormatting>
  <conditionalFormatting sqref="Q589:Q596">
    <cfRule type="expression" dxfId="186" priority="187">
      <formula>Q589:Q596&lt;&gt;P589:P596</formula>
    </cfRule>
  </conditionalFormatting>
  <conditionalFormatting sqref="Q600:Q607">
    <cfRule type="expression" dxfId="185" priority="184">
      <formula>Q600:Q607&lt;&gt;P600:P607</formula>
    </cfRule>
  </conditionalFormatting>
  <conditionalFormatting sqref="Q622:Q629">
    <cfRule type="expression" dxfId="184" priority="176">
      <formula>Q622:Q629&lt;&gt;P622:P629</formula>
    </cfRule>
  </conditionalFormatting>
  <conditionalFormatting sqref="Q633:Q640">
    <cfRule type="expression" dxfId="183" priority="173">
      <formula>Q633:Q640&lt;&gt;P633:P640</formula>
    </cfRule>
  </conditionalFormatting>
  <conditionalFormatting sqref="Q655:Q662">
    <cfRule type="expression" dxfId="182" priority="165">
      <formula>Q655:Q662&lt;&gt;P655:P662</formula>
    </cfRule>
  </conditionalFormatting>
  <conditionalFormatting sqref="Q666:Q673">
    <cfRule type="expression" dxfId="181" priority="162">
      <formula>Q666:Q673&lt;&gt;P666:P673</formula>
    </cfRule>
  </conditionalFormatting>
  <conditionalFormatting sqref="Q677:Q684">
    <cfRule type="expression" dxfId="180" priority="157">
      <formula>Q677:Q684&lt;&gt;P677:P684</formula>
    </cfRule>
  </conditionalFormatting>
  <conditionalFormatting sqref="Q688 U688 Y688 AC688">
    <cfRule type="expression" dxfId="179" priority="327">
      <formula>Q688:Q695&lt;&gt;P688:P695</formula>
    </cfRule>
  </conditionalFormatting>
  <conditionalFormatting sqref="Q689:Q695 U689:U695 Y689:Y695 AC689:AC695">
    <cfRule type="expression" dxfId="178" priority="329">
      <formula>#REF!&lt;&gt;#REF!</formula>
    </cfRule>
  </conditionalFormatting>
  <conditionalFormatting sqref="U6:U13">
    <cfRule type="expression" dxfId="177" priority="129">
      <formula>U6:U13&lt;&gt;T6:T13</formula>
    </cfRule>
  </conditionalFormatting>
  <conditionalFormatting sqref="U127:U134">
    <cfRule type="expression" dxfId="176" priority="121">
      <formula>U127:U134&lt;&gt;T127:T134</formula>
    </cfRule>
  </conditionalFormatting>
  <conditionalFormatting sqref="U182:U189">
    <cfRule type="expression" dxfId="175" priority="119">
      <formula>U182:U189&lt;&gt;T182:T189</formula>
    </cfRule>
  </conditionalFormatting>
  <conditionalFormatting sqref="U193:U200">
    <cfRule type="expression" dxfId="174" priority="116">
      <formula>U193:U200&lt;&gt;T193:T200</formula>
    </cfRule>
  </conditionalFormatting>
  <conditionalFormatting sqref="U215:U222">
    <cfRule type="expression" dxfId="173" priority="41">
      <formula>U215:U222&lt;&gt;T215:T222</formula>
    </cfRule>
  </conditionalFormatting>
  <conditionalFormatting sqref="U226:U233">
    <cfRule type="expression" dxfId="172" priority="105">
      <formula>U226:U233&lt;&gt;T226:T233</formula>
    </cfRule>
  </conditionalFormatting>
  <conditionalFormatting sqref="U248:U255">
    <cfRule type="expression" dxfId="171" priority="98">
      <formula>U248:U255&lt;&gt;T248:T255</formula>
    </cfRule>
  </conditionalFormatting>
  <conditionalFormatting sqref="U259:U266">
    <cfRule type="expression" dxfId="170" priority="96">
      <formula>U259:U266&lt;&gt;T259:T266</formula>
    </cfRule>
  </conditionalFormatting>
  <conditionalFormatting sqref="U270:U277">
    <cfRule type="expression" dxfId="169" priority="91">
      <formula>U270:U277&lt;&gt;T270:T277</formula>
    </cfRule>
  </conditionalFormatting>
  <conditionalFormatting sqref="U281:U288">
    <cfRule type="expression" dxfId="168" priority="88">
      <formula>U281:U288&lt;&gt;T281:T288</formula>
    </cfRule>
  </conditionalFormatting>
  <conditionalFormatting sqref="U303:U310">
    <cfRule type="expression" dxfId="167" priority="80">
      <formula>U303:U310&lt;&gt;T303:T310</formula>
    </cfRule>
  </conditionalFormatting>
  <conditionalFormatting sqref="U314:U321">
    <cfRule type="expression" dxfId="166" priority="75">
      <formula>U314:U321&lt;&gt;T314:T321</formula>
    </cfRule>
  </conditionalFormatting>
  <conditionalFormatting sqref="U336:U343">
    <cfRule type="expression" dxfId="165" priority="68">
      <formula>U336:U343&lt;&gt;T336:T343</formula>
    </cfRule>
  </conditionalFormatting>
  <conditionalFormatting sqref="U347:U354">
    <cfRule type="expression" dxfId="164" priority="66">
      <formula>U347:U354&lt;&gt;T347:T354</formula>
    </cfRule>
  </conditionalFormatting>
  <conditionalFormatting sqref="U358:U365">
    <cfRule type="expression" dxfId="163" priority="61">
      <formula>U358:U365&lt;&gt;T358:T365</formula>
    </cfRule>
  </conditionalFormatting>
  <conditionalFormatting sqref="U369:U376">
    <cfRule type="expression" dxfId="162" priority="58">
      <formula>U369:U376&lt;&gt;T369:T376</formula>
    </cfRule>
  </conditionalFormatting>
  <conditionalFormatting sqref="U391:U398">
    <cfRule type="expression" dxfId="161" priority="50">
      <formula>U391:U398&lt;&gt;T391:T398</formula>
    </cfRule>
  </conditionalFormatting>
  <conditionalFormatting sqref="U405:U409">
    <cfRule type="expression" dxfId="160" priority="131">
      <formula>U405:U411&lt;&gt;T405:T411</formula>
    </cfRule>
  </conditionalFormatting>
  <conditionalFormatting sqref="U424:U431">
    <cfRule type="expression" dxfId="159" priority="243">
      <formula>U424:U431&lt;&gt;T424:T431</formula>
    </cfRule>
  </conditionalFormatting>
  <conditionalFormatting sqref="U435:U442">
    <cfRule type="expression" dxfId="158" priority="240">
      <formula>U435:U442&lt;&gt;T435:T442</formula>
    </cfRule>
  </conditionalFormatting>
  <conditionalFormatting sqref="U446:U453">
    <cfRule type="expression" dxfId="157" priority="235">
      <formula>U446:U453&lt;&gt;T446:T453</formula>
    </cfRule>
  </conditionalFormatting>
  <conditionalFormatting sqref="U457:U464">
    <cfRule type="expression" dxfId="156" priority="232">
      <formula>U457:U464&lt;&gt;T457:T464</formula>
    </cfRule>
  </conditionalFormatting>
  <conditionalFormatting sqref="U479:U486">
    <cfRule type="expression" dxfId="155" priority="224">
      <formula>U479:U486&lt;&gt;T479:T486</formula>
    </cfRule>
  </conditionalFormatting>
  <conditionalFormatting sqref="U490:U497">
    <cfRule type="expression" dxfId="154" priority="221">
      <formula>U490:U497&lt;&gt;T490:T497</formula>
    </cfRule>
  </conditionalFormatting>
  <conditionalFormatting sqref="U512:U519">
    <cfRule type="expression" dxfId="153" priority="213">
      <formula>U512:U519&lt;&gt;T512:T519</formula>
    </cfRule>
  </conditionalFormatting>
  <conditionalFormatting sqref="U523:U530">
    <cfRule type="expression" dxfId="152" priority="210">
      <formula>U523:U530&lt;&gt;T523:T530</formula>
    </cfRule>
  </conditionalFormatting>
  <conditionalFormatting sqref="U534:U541">
    <cfRule type="expression" dxfId="151" priority="205">
      <formula>U534:U541&lt;&gt;T534:T541</formula>
    </cfRule>
  </conditionalFormatting>
  <conditionalFormatting sqref="U545:U552">
    <cfRule type="expression" dxfId="150" priority="202">
      <formula>U545:U552&lt;&gt;T545:T552</formula>
    </cfRule>
  </conditionalFormatting>
  <conditionalFormatting sqref="U567:U574">
    <cfRule type="expression" dxfId="149" priority="194">
      <formula>U567:U574&lt;&gt;T567:T574</formula>
    </cfRule>
  </conditionalFormatting>
  <conditionalFormatting sqref="U578:U585">
    <cfRule type="expression" dxfId="148" priority="191">
      <formula>U578:U585&lt;&gt;T578:T585</formula>
    </cfRule>
  </conditionalFormatting>
  <conditionalFormatting sqref="U600:U607">
    <cfRule type="expression" dxfId="147" priority="183">
      <formula>U600:U607&lt;&gt;T600:T607</formula>
    </cfRule>
  </conditionalFormatting>
  <conditionalFormatting sqref="U611:U618">
    <cfRule type="expression" dxfId="146" priority="180">
      <formula>U611:U618&lt;&gt;T611:T618</formula>
    </cfRule>
  </conditionalFormatting>
  <conditionalFormatting sqref="U622:U629">
    <cfRule type="expression" dxfId="145" priority="175">
      <formula>U622:U629&lt;&gt;T622:T629</formula>
    </cfRule>
  </conditionalFormatting>
  <conditionalFormatting sqref="U633:U640">
    <cfRule type="expression" dxfId="144" priority="172">
      <formula>U633:U640&lt;&gt;T633:T640</formula>
    </cfRule>
  </conditionalFormatting>
  <conditionalFormatting sqref="U655:U662">
    <cfRule type="expression" dxfId="143" priority="164">
      <formula>U655:U662&lt;&gt;T655:T662</formula>
    </cfRule>
  </conditionalFormatting>
  <conditionalFormatting sqref="U666:U673">
    <cfRule type="expression" dxfId="142" priority="161">
      <formula>U666:U673&lt;&gt;T666:T673</formula>
    </cfRule>
  </conditionalFormatting>
  <conditionalFormatting sqref="Y6:Y13">
    <cfRule type="expression" dxfId="141" priority="128">
      <formula>Y6:Y13&lt;&gt;X6:X13</formula>
    </cfRule>
  </conditionalFormatting>
  <conditionalFormatting sqref="Y116:Y123">
    <cfRule type="expression" dxfId="140" priority="125">
      <formula>Y116:Y123&lt;&gt;X116:X123</formula>
    </cfRule>
  </conditionalFormatting>
  <conditionalFormatting sqref="Y127:Y134">
    <cfRule type="expression" dxfId="139" priority="120">
      <formula>Y127:Y134&lt;&gt;X127:X134</formula>
    </cfRule>
  </conditionalFormatting>
  <conditionalFormatting sqref="Y193:Y200">
    <cfRule type="expression" dxfId="138" priority="115">
      <formula>Y193:Y200&lt;&gt;X193:X200</formula>
    </cfRule>
  </conditionalFormatting>
  <conditionalFormatting sqref="Y204:Y211">
    <cfRule type="expression" dxfId="137" priority="111">
      <formula>Y204:Y211&lt;&gt;X204:X211</formula>
    </cfRule>
  </conditionalFormatting>
  <conditionalFormatting sqref="Y215:Y222">
    <cfRule type="expression" dxfId="136" priority="109">
      <formula>Y215:Y222&lt;&gt;X215:X222</formula>
    </cfRule>
  </conditionalFormatting>
  <conditionalFormatting sqref="Y226:Y233">
    <cfRule type="expression" dxfId="135" priority="106">
      <formula>Y226:Y233&lt;&gt;X226:X233</formula>
    </cfRule>
  </conditionalFormatting>
  <conditionalFormatting sqref="Y248:Y255">
    <cfRule type="expression" dxfId="134" priority="99">
      <formula>Y248:Y255&lt;&gt;X248:X255</formula>
    </cfRule>
  </conditionalFormatting>
  <conditionalFormatting sqref="Y259:Y266">
    <cfRule type="expression" dxfId="133" priority="95">
      <formula>Y259:Y266&lt;&gt;X259:X266</formula>
    </cfRule>
  </conditionalFormatting>
  <conditionalFormatting sqref="Y281:Y288">
    <cfRule type="expression" dxfId="132" priority="87">
      <formula>Y281:Y288&lt;&gt;X281:X288</formula>
    </cfRule>
  </conditionalFormatting>
  <conditionalFormatting sqref="Y292:Y299">
    <cfRule type="expression" dxfId="131" priority="82">
      <formula>Y292:Y299&lt;&gt;X292:X299</formula>
    </cfRule>
  </conditionalFormatting>
  <conditionalFormatting sqref="Y303:Y310">
    <cfRule type="expression" dxfId="130" priority="79">
      <formula>Y303:Y310&lt;&gt;X303:X310</formula>
    </cfRule>
  </conditionalFormatting>
  <conditionalFormatting sqref="Y314:Y321">
    <cfRule type="expression" dxfId="129" priority="76">
      <formula>Y314:Y321&lt;&gt;X314:X321</formula>
    </cfRule>
  </conditionalFormatting>
  <conditionalFormatting sqref="Y336:Y343">
    <cfRule type="expression" dxfId="128" priority="69">
      <formula>Y336:Y343&lt;&gt;X336:X343</formula>
    </cfRule>
  </conditionalFormatting>
  <conditionalFormatting sqref="Y347:Y354">
    <cfRule type="expression" dxfId="127" priority="65">
      <formula>Y347:Y354&lt;&gt;X347:X354</formula>
    </cfRule>
  </conditionalFormatting>
  <conditionalFormatting sqref="Y369:Y376">
    <cfRule type="expression" dxfId="126" priority="57">
      <formula>Y369:Y376&lt;&gt;X369:X376</formula>
    </cfRule>
  </conditionalFormatting>
  <conditionalFormatting sqref="Y380:Y387">
    <cfRule type="expression" dxfId="125" priority="52">
      <formula>Y380:Y387&lt;&gt;X380:X387</formula>
    </cfRule>
  </conditionalFormatting>
  <conditionalFormatting sqref="Y391:Y398">
    <cfRule type="expression" dxfId="124" priority="49">
      <formula>Y391:Y398&lt;&gt;X391:X398</formula>
    </cfRule>
  </conditionalFormatting>
  <conditionalFormatting sqref="Y402:Y409">
    <cfRule type="expression" dxfId="123" priority="46">
      <formula>Y402:Y409&lt;&gt;X402:X409</formula>
    </cfRule>
  </conditionalFormatting>
  <conditionalFormatting sqref="Y424:Y431">
    <cfRule type="expression" dxfId="122" priority="242">
      <formula>Y424:Y431&lt;&gt;X424:X431</formula>
    </cfRule>
  </conditionalFormatting>
  <conditionalFormatting sqref="Y435:Y442">
    <cfRule type="expression" dxfId="121" priority="239">
      <formula>Y435:Y442&lt;&gt;X435:X442</formula>
    </cfRule>
  </conditionalFormatting>
  <conditionalFormatting sqref="Y457:Y464">
    <cfRule type="expression" dxfId="120" priority="231">
      <formula>Y457:Y464&lt;&gt;X457:X464</formula>
    </cfRule>
  </conditionalFormatting>
  <conditionalFormatting sqref="Y468:Y475">
    <cfRule type="expression" dxfId="119" priority="228">
      <formula>Y468:Y475&lt;&gt;X468:X475</formula>
    </cfRule>
  </conditionalFormatting>
  <conditionalFormatting sqref="Y479:Y486">
    <cfRule type="expression" dxfId="118" priority="223">
      <formula>Y479:Y486&lt;&gt;X479:X486</formula>
    </cfRule>
  </conditionalFormatting>
  <conditionalFormatting sqref="Y490:Y497">
    <cfRule type="expression" dxfId="117" priority="220">
      <formula>Y490:Y497&lt;&gt;X490:X497</formula>
    </cfRule>
  </conditionalFormatting>
  <conditionalFormatting sqref="Y512:Y519">
    <cfRule type="expression" dxfId="116" priority="212">
      <formula>Y512:Y519&lt;&gt;X512:X519</formula>
    </cfRule>
  </conditionalFormatting>
  <conditionalFormatting sqref="Y523:Y530">
    <cfRule type="expression" dxfId="115" priority="209">
      <formula>Y523:Y530&lt;&gt;X523:X530</formula>
    </cfRule>
  </conditionalFormatting>
  <conditionalFormatting sqref="Y545:Y552">
    <cfRule type="expression" dxfId="114" priority="201">
      <formula>Y545:Y552&lt;&gt;X545:X552</formula>
    </cfRule>
  </conditionalFormatting>
  <conditionalFormatting sqref="Y556:Y563">
    <cfRule type="expression" dxfId="113" priority="198">
      <formula>Y556:Y563&lt;&gt;X556:X563</formula>
    </cfRule>
  </conditionalFormatting>
  <conditionalFormatting sqref="Y567:Y574">
    <cfRule type="expression" dxfId="112" priority="193">
      <formula>Y567:Y574&lt;&gt;X567:X574</formula>
    </cfRule>
  </conditionalFormatting>
  <conditionalFormatting sqref="Y578:Y585">
    <cfRule type="expression" dxfId="111" priority="190">
      <formula>Y578:Y585&lt;&gt;X578:X585</formula>
    </cfRule>
  </conditionalFormatting>
  <conditionalFormatting sqref="Y600:Y607">
    <cfRule type="expression" dxfId="110" priority="182">
      <formula>Y600:Y607&lt;&gt;X600:X607</formula>
    </cfRule>
  </conditionalFormatting>
  <conditionalFormatting sqref="Y611:Y618">
    <cfRule type="expression" dxfId="109" priority="179">
      <formula>Y611:Y618&lt;&gt;X611:X618</formula>
    </cfRule>
  </conditionalFormatting>
  <conditionalFormatting sqref="Y633:Y640">
    <cfRule type="expression" dxfId="108" priority="171">
      <formula>Y633:Y640&lt;&gt;X633:X640</formula>
    </cfRule>
  </conditionalFormatting>
  <conditionalFormatting sqref="Y644:Y651">
    <cfRule type="expression" dxfId="107" priority="168">
      <formula>Y644:Y651&lt;&gt;X644:X651</formula>
    </cfRule>
  </conditionalFormatting>
  <conditionalFormatting sqref="Y655:Y662">
    <cfRule type="expression" dxfId="106" priority="163">
      <formula>Y655:Y662&lt;&gt;X655:X662</formula>
    </cfRule>
  </conditionalFormatting>
  <conditionalFormatting sqref="Y666:Y673">
    <cfRule type="expression" dxfId="105" priority="160">
      <formula>Y666:Y673&lt;&gt;X666:X673</formula>
    </cfRule>
  </conditionalFormatting>
  <conditionalFormatting sqref="AC6:AC13">
    <cfRule type="expression" dxfId="104" priority="127">
      <formula>AC6:AC13&lt;&gt;AB6:AB13</formula>
    </cfRule>
  </conditionalFormatting>
  <conditionalFormatting sqref="AC116:AC123">
    <cfRule type="expression" dxfId="103" priority="124">
      <formula>AC116:AC123&lt;&gt;AB116:AB123</formula>
    </cfRule>
  </conditionalFormatting>
  <conditionalFormatting sqref="AC193:AC200">
    <cfRule type="expression" dxfId="102" priority="114">
      <formula>AC193:AC200&lt;&gt;AB193:AB200</formula>
    </cfRule>
  </conditionalFormatting>
  <conditionalFormatting sqref="AC204:AC211">
    <cfRule type="expression" dxfId="101" priority="112">
      <formula>AC204:AC211&lt;&gt;AB204:AB211</formula>
    </cfRule>
  </conditionalFormatting>
  <conditionalFormatting sqref="AC226:AC233">
    <cfRule type="expression" dxfId="100" priority="107">
      <formula>AC226:AC233&lt;&gt;AB226:AB233</formula>
    </cfRule>
  </conditionalFormatting>
  <conditionalFormatting sqref="AC237:AC244">
    <cfRule type="expression" dxfId="99" priority="102">
      <formula>AC237:AC244&lt;&gt;AB237:AB244</formula>
    </cfRule>
  </conditionalFormatting>
  <conditionalFormatting sqref="AC248:AC255">
    <cfRule type="expression" dxfId="98" priority="100">
      <formula>AC248:AC255&lt;&gt;AB248:AB255</formula>
    </cfRule>
  </conditionalFormatting>
  <conditionalFormatting sqref="AC259:AC266">
    <cfRule type="expression" dxfId="97" priority="94">
      <formula>AC259:AC266&lt;&gt;AB259:AB266</formula>
    </cfRule>
  </conditionalFormatting>
  <conditionalFormatting sqref="AC281:AC288">
    <cfRule type="expression" dxfId="96" priority="86">
      <formula>AC281:AC288&lt;&gt;AB281:AB288</formula>
    </cfRule>
  </conditionalFormatting>
  <conditionalFormatting sqref="AC292:AC299">
    <cfRule type="expression" dxfId="95" priority="83">
      <formula>AC292:AC299&lt;&gt;AB292:AB299</formula>
    </cfRule>
  </conditionalFormatting>
  <conditionalFormatting sqref="AC314:AC321">
    <cfRule type="expression" dxfId="94" priority="77">
      <formula>AC314:AC321&lt;&gt;AB314:AB321</formula>
    </cfRule>
  </conditionalFormatting>
  <conditionalFormatting sqref="AC325:AC332">
    <cfRule type="expression" dxfId="93" priority="72">
      <formula>AC325:AC332&lt;&gt;AB325:AB332</formula>
    </cfRule>
  </conditionalFormatting>
  <conditionalFormatting sqref="AC336:AC343">
    <cfRule type="expression" dxfId="92" priority="70">
      <formula>AC336:AC343&lt;&gt;AB336:AB343</formula>
    </cfRule>
  </conditionalFormatting>
  <conditionalFormatting sqref="AC347:AC354">
    <cfRule type="expression" dxfId="91" priority="64">
      <formula>AC347:AC354&lt;&gt;AB347:AB354</formula>
    </cfRule>
  </conditionalFormatting>
  <conditionalFormatting sqref="AC369:AC376">
    <cfRule type="expression" dxfId="90" priority="56">
      <formula>AC369:AC376&lt;&gt;AB369:AB376</formula>
    </cfRule>
  </conditionalFormatting>
  <conditionalFormatting sqref="AC380:AC387">
    <cfRule type="expression" dxfId="89" priority="53">
      <formula>AC380:AC387&lt;&gt;AB380:AB387</formula>
    </cfRule>
  </conditionalFormatting>
  <conditionalFormatting sqref="AC402:AC409">
    <cfRule type="expression" dxfId="88" priority="47">
      <formula>AC402:AC409&lt;&gt;AB402:AB409</formula>
    </cfRule>
  </conditionalFormatting>
  <conditionalFormatting sqref="AC413:AC420">
    <cfRule type="expression" dxfId="87" priority="246">
      <formula>AC413:AC420&lt;&gt;AB413:AB420</formula>
    </cfRule>
  </conditionalFormatting>
  <conditionalFormatting sqref="AC424:AC431">
    <cfRule type="expression" dxfId="86" priority="241">
      <formula>AC424:AC431&lt;&gt;AB424:AB431</formula>
    </cfRule>
  </conditionalFormatting>
  <conditionalFormatting sqref="AC435:AC442">
    <cfRule type="expression" dxfId="85" priority="238">
      <formula>AC435:AC442&lt;&gt;AB435:AB442</formula>
    </cfRule>
  </conditionalFormatting>
  <conditionalFormatting sqref="AC457:AC464">
    <cfRule type="expression" dxfId="84" priority="230">
      <formula>AC457:AC464&lt;&gt;AB457:AB464</formula>
    </cfRule>
  </conditionalFormatting>
  <conditionalFormatting sqref="AC468:AC475">
    <cfRule type="expression" dxfId="83" priority="227">
      <formula>AC468:AC475&lt;&gt;AB468:AB475</formula>
    </cfRule>
  </conditionalFormatting>
  <conditionalFormatting sqref="AC490:AC497">
    <cfRule type="expression" dxfId="82" priority="219">
      <formula>AC490:AC497&lt;&gt;AB490:AB497</formula>
    </cfRule>
  </conditionalFormatting>
  <conditionalFormatting sqref="AC501:AC508">
    <cfRule type="expression" dxfId="81" priority="216">
      <formula>AC501:AC508&lt;&gt;AB501:AB508</formula>
    </cfRule>
  </conditionalFormatting>
  <conditionalFormatting sqref="AC512:AC519">
    <cfRule type="expression" dxfId="80" priority="211">
      <formula>AC512:AC519&lt;&gt;AB512:AB519</formula>
    </cfRule>
  </conditionalFormatting>
  <conditionalFormatting sqref="AC523:AC530">
    <cfRule type="expression" dxfId="79" priority="208">
      <formula>AC523:AC530&lt;&gt;AB523:AB530</formula>
    </cfRule>
  </conditionalFormatting>
  <conditionalFormatting sqref="AC545:AC552">
    <cfRule type="expression" dxfId="78" priority="200">
      <formula>AC545:AC552&lt;&gt;AB545:AB552</formula>
    </cfRule>
  </conditionalFormatting>
  <conditionalFormatting sqref="AC556:AC563">
    <cfRule type="expression" dxfId="77" priority="197">
      <formula>AC556:AC563&lt;&gt;AB556:AB563</formula>
    </cfRule>
  </conditionalFormatting>
  <conditionalFormatting sqref="AC578:AC585">
    <cfRule type="expression" dxfId="76" priority="189">
      <formula>AC578:AC585&lt;&gt;AB578:AB585</formula>
    </cfRule>
  </conditionalFormatting>
  <conditionalFormatting sqref="AC589:AC596">
    <cfRule type="expression" dxfId="75" priority="186">
      <formula>AC589:AC596&lt;&gt;AB589:AB596</formula>
    </cfRule>
  </conditionalFormatting>
  <conditionalFormatting sqref="AC600:AC607">
    <cfRule type="expression" dxfId="74" priority="181">
      <formula>AC600:AC607&lt;&gt;AB600:AB607</formula>
    </cfRule>
  </conditionalFormatting>
  <conditionalFormatting sqref="AC611:AC618">
    <cfRule type="expression" dxfId="73" priority="178">
      <formula>AC611:AC618&lt;&gt;AB611:AB618</formula>
    </cfRule>
  </conditionalFormatting>
  <conditionalFormatting sqref="AC633:AC640">
    <cfRule type="expression" dxfId="72" priority="170">
      <formula>AC633:AC640&lt;&gt;AB633:AB640</formula>
    </cfRule>
  </conditionalFormatting>
  <conditionalFormatting sqref="AC644:AC651">
    <cfRule type="expression" dxfId="71" priority="167">
      <formula>AC644:AC651&lt;&gt;AB644:AB651</formula>
    </cfRule>
  </conditionalFormatting>
  <conditionalFormatting sqref="AC666:AC673">
    <cfRule type="expression" dxfId="70" priority="159">
      <formula>AC666:AC673&lt;&gt;AB666:AB673</formula>
    </cfRule>
  </conditionalFormatting>
  <conditionalFormatting sqref="AC677:AC684">
    <cfRule type="expression" dxfId="69" priority="156">
      <formula>AC677:AC684&lt;&gt;AB677:AB684</formula>
    </cfRule>
  </conditionalFormatting>
  <conditionalFormatting sqref="AG6:AG13">
    <cfRule type="expression" dxfId="68" priority="126">
      <formula>AG6:AG13&lt;&gt;AF6:AF13</formula>
    </cfRule>
  </conditionalFormatting>
  <conditionalFormatting sqref="AG116:AG123">
    <cfRule type="expression" dxfId="67" priority="123">
      <formula>AG116:AG123&lt;&gt;AF116:AF123</formula>
    </cfRule>
  </conditionalFormatting>
  <conditionalFormatting sqref="AG182:AG189">
    <cfRule type="expression" dxfId="66" priority="118">
      <formula>AG182:AG189&lt;&gt;AF182:AF189</formula>
    </cfRule>
  </conditionalFormatting>
  <conditionalFormatting sqref="AG193:AG200">
    <cfRule type="expression" dxfId="65" priority="113">
      <formula>AG193:AG200&lt;&gt;AF193:AF200</formula>
    </cfRule>
  </conditionalFormatting>
  <conditionalFormatting sqref="AG204:AG211">
    <cfRule type="expression" dxfId="64" priority="42">
      <formula>AG204:AG211&lt;&gt;AF204:AF211</formula>
    </cfRule>
  </conditionalFormatting>
  <conditionalFormatting sqref="AG226:AG233">
    <cfRule type="expression" dxfId="63" priority="108">
      <formula>AG226:AG233&lt;&gt;AF226:AF233</formula>
    </cfRule>
  </conditionalFormatting>
  <conditionalFormatting sqref="AG237:AG244">
    <cfRule type="expression" dxfId="62" priority="101">
      <formula>AG237:AG244&lt;&gt;AF237:AF244</formula>
    </cfRule>
  </conditionalFormatting>
  <conditionalFormatting sqref="AG259:AG266">
    <cfRule type="expression" dxfId="61" priority="93">
      <formula>AG259:AG266&lt;&gt;AF259:AF266</formula>
    </cfRule>
  </conditionalFormatting>
  <conditionalFormatting sqref="AG270:AG277">
    <cfRule type="expression" dxfId="60" priority="92">
      <formula>AG270:AG277&lt;&gt;AF270:AF277</formula>
    </cfRule>
  </conditionalFormatting>
  <conditionalFormatting sqref="AG281:AG288">
    <cfRule type="expression" dxfId="59" priority="85">
      <formula>AG281:AG288&lt;&gt;AF281:AF288</formula>
    </cfRule>
  </conditionalFormatting>
  <conditionalFormatting sqref="AG292:AG299">
    <cfRule type="expression" dxfId="58" priority="84">
      <formula>AG292:AG299&lt;&gt;AF292:AF299</formula>
    </cfRule>
  </conditionalFormatting>
  <conditionalFormatting sqref="AG314:AG321">
    <cfRule type="expression" dxfId="57" priority="78">
      <formula>AG314:AG321&lt;&gt;AF314:AF321</formula>
    </cfRule>
  </conditionalFormatting>
  <conditionalFormatting sqref="AG325:AG332">
    <cfRule type="expression" dxfId="56" priority="71">
      <formula>AG325:AG332&lt;&gt;AF325:AF332</formula>
    </cfRule>
  </conditionalFormatting>
  <conditionalFormatting sqref="AG347:AG354">
    <cfRule type="expression" dxfId="55" priority="63">
      <formula>AG347:AG354&lt;&gt;AF347:AF354</formula>
    </cfRule>
  </conditionalFormatting>
  <conditionalFormatting sqref="AG358:AG365">
    <cfRule type="expression" dxfId="54" priority="62">
      <formula>AG358:AG365&lt;&gt;AF358:AF365</formula>
    </cfRule>
  </conditionalFormatting>
  <conditionalFormatting sqref="AG369:AG376">
    <cfRule type="expression" dxfId="53" priority="55">
      <formula>AG369:AG376&lt;&gt;AF369:AF376</formula>
    </cfRule>
  </conditionalFormatting>
  <conditionalFormatting sqref="AG380:AG387">
    <cfRule type="expression" dxfId="52" priority="54">
      <formula>AG380:AG387&lt;&gt;AF380:AF387</formula>
    </cfRule>
  </conditionalFormatting>
  <conditionalFormatting sqref="AG402:AG409">
    <cfRule type="expression" dxfId="51" priority="48">
      <formula>AG402:AG409&lt;&gt;AF402:AF409</formula>
    </cfRule>
  </conditionalFormatting>
  <conditionalFormatting sqref="AG413:AG420">
    <cfRule type="expression" dxfId="50" priority="245">
      <formula>AG413:AG420&lt;&gt;AF413:AF420</formula>
    </cfRule>
  </conditionalFormatting>
  <conditionalFormatting sqref="AG435:AG442">
    <cfRule type="expression" dxfId="49" priority="237">
      <formula>AG435:AG442&lt;&gt;AF435:AF442</formula>
    </cfRule>
  </conditionalFormatting>
  <conditionalFormatting sqref="AG446:AG453">
    <cfRule type="expression" dxfId="48" priority="234">
      <formula>AG446:AG453&lt;&gt;AF446:AF453</formula>
    </cfRule>
  </conditionalFormatting>
  <conditionalFormatting sqref="AG457:AG464">
    <cfRule type="expression" dxfId="47" priority="229">
      <formula>AG457:AG464&lt;&gt;AF457:AF464</formula>
    </cfRule>
  </conditionalFormatting>
  <conditionalFormatting sqref="AG468:AG475">
    <cfRule type="expression" dxfId="46" priority="226">
      <formula>AG468:AG475&lt;&gt;AF468:AF475</formula>
    </cfRule>
  </conditionalFormatting>
  <conditionalFormatting sqref="AG490:AG497">
    <cfRule type="expression" dxfId="45" priority="218">
      <formula>AG490:AG497&lt;&gt;AF490:AF497</formula>
    </cfRule>
  </conditionalFormatting>
  <conditionalFormatting sqref="AG501:AG508">
    <cfRule type="expression" dxfId="44" priority="215">
      <formula>AG501:AG508&lt;&gt;AF501:AF508</formula>
    </cfRule>
  </conditionalFormatting>
  <conditionalFormatting sqref="AG523:AG530">
    <cfRule type="expression" dxfId="43" priority="207">
      <formula>AG523:AG530&lt;&gt;AF523:AF530</formula>
    </cfRule>
  </conditionalFormatting>
  <conditionalFormatting sqref="AG534:AG541">
    <cfRule type="expression" dxfId="42" priority="204">
      <formula>AG534:AG541&lt;&gt;AF534:AF541</formula>
    </cfRule>
  </conditionalFormatting>
  <conditionalFormatting sqref="AG545:AG552">
    <cfRule type="expression" dxfId="41" priority="199">
      <formula>AG545:AG552&lt;&gt;AF545:AF552</formula>
    </cfRule>
  </conditionalFormatting>
  <conditionalFormatting sqref="AG556:AG563">
    <cfRule type="expression" dxfId="40" priority="196">
      <formula>AG556:AG563&lt;&gt;AF556:AF563</formula>
    </cfRule>
  </conditionalFormatting>
  <conditionalFormatting sqref="AG578:AG585">
    <cfRule type="expression" dxfId="39" priority="188">
      <formula>AG578:AG585&lt;&gt;AF578:AF585</formula>
    </cfRule>
  </conditionalFormatting>
  <conditionalFormatting sqref="AG589:AG596">
    <cfRule type="expression" dxfId="38" priority="185">
      <formula>AG589:AG596&lt;&gt;AF589:AF596</formula>
    </cfRule>
  </conditionalFormatting>
  <conditionalFormatting sqref="AG611:AG618">
    <cfRule type="expression" dxfId="37" priority="177">
      <formula>AG611:AG618&lt;&gt;AF611:AF618</formula>
    </cfRule>
  </conditionalFormatting>
  <conditionalFormatting sqref="AG622:AG629">
    <cfRule type="expression" dxfId="36" priority="174">
      <formula>AG622:AG629&lt;&gt;AF622:AF629</formula>
    </cfRule>
  </conditionalFormatting>
  <conditionalFormatting sqref="AG633:AG640">
    <cfRule type="expression" dxfId="35" priority="169">
      <formula>AG633:AG640&lt;&gt;AF633:AF640</formula>
    </cfRule>
  </conditionalFormatting>
  <conditionalFormatting sqref="AG644:AG651">
    <cfRule type="expression" dxfId="34" priority="166">
      <formula>AG644:AG651&lt;&gt;AF644:AF651</formula>
    </cfRule>
  </conditionalFormatting>
  <conditionalFormatting sqref="AG666:AG673">
    <cfRule type="expression" dxfId="33" priority="158">
      <formula>AG666:AG673&lt;&gt;AF666:AF673</formula>
    </cfRule>
  </conditionalFormatting>
  <conditionalFormatting sqref="AG677:AG684">
    <cfRule type="expression" dxfId="32" priority="155">
      <formula>AG677:AG684&lt;&gt;AF677:AF684</formula>
    </cfRule>
  </conditionalFormatting>
  <conditionalFormatting sqref="I417">
    <cfRule type="expression" dxfId="31" priority="25">
      <formula>$J$412=""</formula>
    </cfRule>
  </conditionalFormatting>
  <conditionalFormatting sqref="A3">
    <cfRule type="containsText" dxfId="30" priority="1" operator="containsText" text=";Block 4">
      <formula>NOT(ISERROR(SEARCH(";Block 4",A3)))</formula>
    </cfRule>
    <cfRule type="containsText" dxfId="29" priority="2" operator="containsText" text=";Block 2">
      <formula>NOT(ISERROR(SEARCH(";Block 2",A3)))</formula>
    </cfRule>
    <cfRule type="containsText" dxfId="28" priority="3" operator="containsText" text=";Block 1">
      <formula>NOT(ISERROR(SEARCH(";Block 1",A3)))</formula>
    </cfRule>
    <cfRule type="containsText" dxfId="27" priority="4" operator="containsText" text="720G1">
      <formula>NOT(ISERROR(SEARCH("720G1",A3)))</formula>
    </cfRule>
    <cfRule type="containsText" dxfId="26" priority="5" operator="containsText" text="720G2">
      <formula>NOT(ISERROR(SEARCH("720G2",A3)))</formula>
    </cfRule>
    <cfRule type="containsText" dxfId="25" priority="6" operator="containsText" text="720G4">
      <formula>NOT(ISERROR(SEARCH("720G4",A3)))</formula>
    </cfRule>
  </conditionalFormatting>
  <conditionalFormatting sqref="A4:A8">
    <cfRule type="containsText" dxfId="24" priority="11" operator="containsText" text="720G3">
      <formula>NOT(ISERROR(SEARCH("720G3",A4)))</formula>
    </cfRule>
    <cfRule type="containsText" dxfId="23" priority="12" operator="containsText" text="Block 3">
      <formula>NOT(ISERROR(SEARCH("Block 3",A4)))</formula>
    </cfRule>
  </conditionalFormatting>
  <conditionalFormatting sqref="A9:A10 A12:A14 A42">
    <cfRule type="beginsWith" dxfId="22" priority="13" operator="beginsWith" text="72003">
      <formula>LEFT(A9,LEN("72003"))="72003"</formula>
    </cfRule>
    <cfRule type="beginsWith" dxfId="21" priority="14" operator="beginsWith" text="720G3">
      <formula>LEFT(A9,LEN("720G3"))="720G3"</formula>
    </cfRule>
    <cfRule type="containsText" dxfId="20" priority="15" operator="containsText" text=";Block 3">
      <formula>NOT(ISERROR(SEARCH(";Block 3",A9)))</formula>
    </cfRule>
    <cfRule type="notContainsBlanks" dxfId="19" priority="16">
      <formula>LEN(TRIM(A9))&gt;0</formula>
    </cfRule>
  </conditionalFormatting>
  <conditionalFormatting sqref="A11">
    <cfRule type="containsText" dxfId="18" priority="9" operator="containsText" text="720G3">
      <formula>NOT(ISERROR(SEARCH("720G3",A11)))</formula>
    </cfRule>
    <cfRule type="containsText" dxfId="17" priority="10" operator="containsText" text="Block 3">
      <formula>NOT(ISERROR(SEARCH("Block 3",A11)))</formula>
    </cfRule>
  </conditionalFormatting>
  <conditionalFormatting sqref="A15:A41">
    <cfRule type="containsText" dxfId="16" priority="7" operator="containsText" text="720G3">
      <formula>NOT(ISERROR(SEARCH("720G3",A15)))</formula>
    </cfRule>
    <cfRule type="containsText" dxfId="15" priority="8" operator="containsText" text="Block 3">
      <formula>NOT(ISERROR(SEARCH("Block 3",A15)))</formula>
    </cfRule>
  </conditionalFormatting>
  <dataValidations count="3">
    <dataValidation allowBlank="1" showInputMessage="1" errorTitle="Wrong Value" error="This is a Binary value, which can be either 0 or 1." sqref="S119:S123 S115:S117 T115:W123" xr:uid="{B308B952-3B8B-4F74-A86A-6196BD97D108}"/>
    <dataValidation showInputMessage="1" errorTitle="Wrong Value" error="This is a Binary value, which can be either 0 or 1." sqref="AG204:AG211 U215:U222" xr:uid="{DB838CDA-06AD-47EC-9D64-A00DDC7E3B80}"/>
    <dataValidation type="whole" allowBlank="1" showInputMessage="1" showErrorMessage="1" errorTitle="Wrong Value" error="This is a Binary value, which can be either 0 or 1." sqref="AC545:AC552 U545:U552 Q545:Q552 AG545:AG552 Y556:Y563 AC556:AC563 U655:U662 Q655:Q662 AG556:AG563 Y567:Y574 Y655:Y662 U567:U574 Q567:Q574 AC633:AC640 Y578:Y585 AC578:AC585 U578:U585 Q578:Q585 AG578:AG585 U633:U640 AC589:AC596 AG644:AG651 Q589:Q596 AG589:AG596 Y600:Y607 AC600:AC607 U600:U607 Q600:Q607 Q633:Q640 Y611:Y618 AC611:AC618 U611:U618 AC644:AC651 AG611:AG618 Q688:Q695 AC413:AC420 U622:U629 Q413:Q420 AG413:AG420 Y424:Y431 AC424:AC431 U424:U431 Q424:Q431 U688:U695 Y435:Y442 AC435:AC442 U435:U442 AC688:AC695 AG435:AG442 Y688:Y695 AG677:AG684 U446:U453 Q446:Q453 AG446:AG453 Y457:Y464 AC457:AC464 Y644:Y651 U457:U464 Q457:Q464 AG457:AG464 Y468:Y475 AC468:AC475 Q622:Q629 Q677:Q684 AG468:AG475 Y479:Y486 AG622:AG629 U479:U486 Q479:Q486 AG633:AG640 AC677:AC684 Y490:Y497 AC490:AC497 U490:U497 Q490:Q497 AG490:AG497 Q666:Q673 AC501:AC508 AG666:AG673 Q501:Q508 AG501:AG508 Y512:Y519 AC512:AC519 U512:U519 Q512:Q519 U666:U673 Y523:Y530 AC523:AC530 U523:U530 AC666:AC673 AG523:AG530 Y666:Y673 Y633:Y640 U534:U541 Q534:Q541 AG534:AG541 Y545:Y552 AG6:AG13 U6:U13 Y17:Y24 AC17:AC24 AG17:AG24 Q6:Q13 U17:U24 AC116:AC123 AG116:AG123 AC6:AC13 AG237:AG244 AG259:AG266 AG292:AG299 Y6:Y13 Y391:Y398 U259:U266 AG182:AG189 Y281:Y288 AC281:AC288 AC193:AC200 AC259:AC266 U281:U288 Y292:Y299 AC292:AC299 Q226:Q233 Q281:Q288 Y193:Y200 AG347:AG354 U182:U189 U303:U310 Y215:Y222 Q303:Q310 Y347:Y354 AC347:AC354 Q193:Q200 U347:U354 AG270:AG277 AG402:AG409 U226:U233 U358:U365 Q402:Q409 Q358:Q365 Y402:Y409 AC402:AC409 Y336:Y343 AG281:AG288 Y259:Y266 U193:U200 Y226:Y233 U270:U277 Q270:Q277 Y303:Y310 AG325:AG332 Y314:Y321 AC314:AC321 Q325:Q332 U314:U321 Q248:Q255 AC325:AC332 Q314:Q321 AC237:AC244 AG314:AG321 AC336:AC343 U336:U343 Q336:Q343 AG193:AG200 AG358:AG365 AG380:AG387 Y369:Y376 AC369:AC376 U105:U112 U369:U376 Y380:Y387 AC380:AC387 Q369:Q376 AC226:AC233 AG369:AG376 Y127:Y134 U391:U398 Q391:Q398 Y204:Y211 Y116:Y123 U248:U255 Y248:Y255 U127:U134 Q127:Q134 AC248:AC255 AG226:AG233 AC204:AC211 Q17:Q24 Q237:Q244 Q105:Q112 Q215:Q222 U402:U409 Y105:Y112 AC105:AC112 AG105:AG112 Y28:Y35 AC28:AC35 AG28:AG35 U28:U35 Q28:Q35 Y39:Y46 AC39:AC46 AG39:AG46 U39:U46 Q39:Q46 Y50:Y57 AC50:AC57 AG50:AG57 U50:U57 Q50:Q57 Y61:Y68 AC61:AC68 AG61:AG68 U61:U68 Q61:Q68 Y72:Y79 AC72:AC79 AG72:AG79 U72:U79 Q72:Q79 Y83:Y90 AC83:AC90 AG83:AG90 U83:U90 Q83:Q90 Y94:Y101 AC94:AC101 U94:U101 Q94:Q101" xr:uid="{DEB05B0F-A3E3-4C05-A402-2BBF42CB952A}">
      <formula1>0</formula1>
      <formula2>1</formula2>
    </dataValidation>
  </dataValidations>
  <hyperlinks>
    <hyperlink ref="AB1" r:id="rId1" xr:uid="{7CA9D4E1-782F-4F74-8CB6-A84B94C2EA13}"/>
  </hyperlinks>
  <pageMargins left="0.7" right="0.7" top="0.75" bottom="0.75" header="0.3" footer="0.3"/>
  <pageSetup orientation="portrait"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24"/>
  <sheetViews>
    <sheetView zoomScaleNormal="100" workbookViewId="0">
      <selection activeCell="A3" sqref="A3"/>
    </sheetView>
  </sheetViews>
  <sheetFormatPr defaultRowHeight="14.4" x14ac:dyDescent="0.3"/>
  <cols>
    <col min="1" max="1" width="18.88671875" bestFit="1" customWidth="1"/>
    <col min="2" max="2" width="18.33203125" bestFit="1" customWidth="1"/>
    <col min="3" max="3" width="4.5546875" bestFit="1" customWidth="1"/>
    <col min="4" max="5" width="9" bestFit="1" customWidth="1"/>
    <col min="14" max="14" width="5.44140625" bestFit="1" customWidth="1"/>
    <col min="15" max="15" width="1.6640625" customWidth="1"/>
    <col min="16" max="16" width="5.44140625" bestFit="1" customWidth="1"/>
    <col min="17" max="17" width="5.33203125" bestFit="1" customWidth="1"/>
    <col min="18" max="18" width="3.44140625" bestFit="1" customWidth="1"/>
    <col min="19" max="19" width="19.44140625" customWidth="1"/>
    <col min="20" max="20" width="5.44140625" bestFit="1" customWidth="1"/>
    <col min="21" max="21" width="5.33203125" bestFit="1" customWidth="1"/>
    <col min="22" max="22" width="3.44140625" customWidth="1"/>
    <col min="23" max="23" width="20" customWidth="1"/>
    <col min="24" max="24" width="5.44140625" bestFit="1" customWidth="1"/>
    <col min="25" max="25" width="5.33203125" bestFit="1" customWidth="1"/>
    <col min="26" max="26" width="3.44140625" customWidth="1"/>
    <col min="27" max="27" width="19.33203125" customWidth="1"/>
    <col min="28" max="28" width="5.44140625" bestFit="1" customWidth="1"/>
    <col min="29" max="29" width="5.33203125" bestFit="1" customWidth="1"/>
    <col min="30" max="30" width="3.44140625" customWidth="1"/>
    <col min="31" max="31" width="19.33203125" bestFit="1" customWidth="1"/>
    <col min="32" max="32" width="5.44140625" bestFit="1" customWidth="1"/>
    <col min="33" max="33" width="5.33203125" bestFit="1" customWidth="1"/>
    <col min="34" max="34" width="3.44140625" customWidth="1"/>
    <col min="35" max="35" width="19.44140625" customWidth="1"/>
  </cols>
  <sheetData>
    <row r="1" spans="1:37" x14ac:dyDescent="0.3">
      <c r="A1" s="398" t="s">
        <v>1240</v>
      </c>
      <c r="B1" s="399"/>
      <c r="C1" s="383" t="s">
        <v>354</v>
      </c>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c r="AF1" s="390"/>
      <c r="AG1" s="390"/>
      <c r="AH1" s="390"/>
      <c r="AI1" s="390"/>
      <c r="AJ1" s="1"/>
      <c r="AK1" s="1"/>
    </row>
    <row r="2" spans="1:37" ht="15" thickBot="1" x14ac:dyDescent="0.35">
      <c r="A2" s="268" t="s">
        <v>1241</v>
      </c>
      <c r="B2" s="269" t="s">
        <v>1242</v>
      </c>
      <c r="C2" s="584" t="s">
        <v>40</v>
      </c>
      <c r="D2" s="584"/>
      <c r="E2" s="584"/>
      <c r="S2" s="1"/>
    </row>
    <row r="3" spans="1:37" ht="15" thickBot="1" x14ac:dyDescent="0.35">
      <c r="A3" s="270" t="s">
        <v>1243</v>
      </c>
      <c r="B3" s="87" t="s">
        <v>1243</v>
      </c>
      <c r="C3" s="4"/>
      <c r="D3" s="5"/>
      <c r="E3" s="5"/>
      <c r="F3" s="5"/>
      <c r="G3" s="5"/>
      <c r="H3" s="5"/>
      <c r="I3" s="5"/>
      <c r="J3" s="5"/>
      <c r="K3" s="5"/>
      <c r="L3" s="5" t="s">
        <v>41</v>
      </c>
      <c r="M3" s="5"/>
      <c r="N3" s="6"/>
      <c r="P3" s="405" t="s">
        <v>313</v>
      </c>
      <c r="Q3" s="405"/>
      <c r="R3" s="405"/>
      <c r="S3" s="405"/>
      <c r="T3" s="405"/>
      <c r="U3" s="405"/>
      <c r="V3" s="405"/>
      <c r="W3" s="405"/>
      <c r="X3" s="405"/>
      <c r="Y3" s="405"/>
      <c r="Z3" s="405"/>
      <c r="AA3" s="405"/>
      <c r="AB3" s="405"/>
      <c r="AC3" s="405"/>
      <c r="AD3" s="405"/>
      <c r="AE3" s="405"/>
      <c r="AF3" s="405"/>
      <c r="AG3" s="405"/>
      <c r="AH3" s="405"/>
      <c r="AI3" s="405"/>
      <c r="AJ3" s="405"/>
      <c r="AK3" s="405"/>
    </row>
    <row r="4" spans="1:37" ht="15" thickBot="1" x14ac:dyDescent="0.35">
      <c r="A4" s="270" t="s">
        <v>1865</v>
      </c>
      <c r="B4" s="87" t="str">
        <f>RIGHT(D13,1)&amp;E13&amp;F13&amp;G13&amp;H10&amp;I10&amp;J10&amp;K10&amp;L10</f>
        <v>726G1G1000000002F</v>
      </c>
      <c r="C4" s="7"/>
      <c r="D4" s="393" t="s">
        <v>99</v>
      </c>
      <c r="E4" s="393"/>
      <c r="F4" s="393"/>
      <c r="G4" s="393"/>
      <c r="H4" s="99" t="s">
        <v>44</v>
      </c>
      <c r="I4" s="99" t="s">
        <v>45</v>
      </c>
      <c r="J4" s="99" t="s">
        <v>46</v>
      </c>
      <c r="K4" s="99" t="s">
        <v>47</v>
      </c>
      <c r="L4" s="99" t="s">
        <v>48</v>
      </c>
      <c r="N4" s="8"/>
      <c r="P4" s="394" t="s">
        <v>50</v>
      </c>
      <c r="Q4" s="395"/>
      <c r="R4" s="395"/>
      <c r="S4" s="396"/>
      <c r="T4" s="394" t="s">
        <v>51</v>
      </c>
      <c r="U4" s="395"/>
      <c r="V4" s="395"/>
      <c r="W4" s="396"/>
      <c r="X4" s="394" t="s">
        <v>52</v>
      </c>
      <c r="Y4" s="395"/>
      <c r="Z4" s="395"/>
      <c r="AA4" s="396"/>
      <c r="AB4" s="394" t="s">
        <v>53</v>
      </c>
      <c r="AC4" s="395"/>
      <c r="AD4" s="395"/>
      <c r="AE4" s="396"/>
      <c r="AF4" s="406" t="s">
        <v>92</v>
      </c>
      <c r="AG4" s="407"/>
      <c r="AH4" s="407"/>
      <c r="AI4" s="408"/>
    </row>
    <row r="5" spans="1:37" ht="15" thickBot="1" x14ac:dyDescent="0.35">
      <c r="A5" s="270" t="s">
        <v>1244</v>
      </c>
      <c r="B5" s="87" t="s">
        <v>1244</v>
      </c>
      <c r="C5" s="7" t="s">
        <v>56</v>
      </c>
      <c r="D5" s="12" t="s">
        <v>57</v>
      </c>
      <c r="E5" s="13" t="s">
        <v>100</v>
      </c>
      <c r="F5" s="13" t="s">
        <v>59</v>
      </c>
      <c r="G5" s="14" t="s">
        <v>59</v>
      </c>
      <c r="H5" s="316" t="str">
        <f>MID($A$4,8,2)</f>
        <v>00</v>
      </c>
      <c r="I5" s="317" t="str">
        <f>MID($A$4,10,2)</f>
        <v>00</v>
      </c>
      <c r="J5" s="317" t="str">
        <f>MID($A$4,12,2)</f>
        <v>00</v>
      </c>
      <c r="K5" s="320" t="str">
        <f>MID($A$4,14,2)</f>
        <v>00</v>
      </c>
      <c r="L5" s="319" t="str">
        <f>MID($A$4,16,2)</f>
        <v>2F</v>
      </c>
      <c r="N5" s="8" t="s">
        <v>60</v>
      </c>
      <c r="P5" s="19" t="s">
        <v>60</v>
      </c>
      <c r="Q5" s="20" t="s">
        <v>61</v>
      </c>
      <c r="R5" t="s">
        <v>62</v>
      </c>
      <c r="S5" s="8"/>
      <c r="T5" s="19" t="s">
        <v>60</v>
      </c>
      <c r="U5" s="20" t="s">
        <v>61</v>
      </c>
      <c r="V5" t="s">
        <v>62</v>
      </c>
      <c r="W5" s="8"/>
      <c r="X5" s="19" t="s">
        <v>60</v>
      </c>
      <c r="Y5" s="20" t="s">
        <v>61</v>
      </c>
      <c r="Z5" t="s">
        <v>62</v>
      </c>
      <c r="AA5" s="8"/>
      <c r="AB5" s="19" t="s">
        <v>60</v>
      </c>
      <c r="AC5" s="20" t="s">
        <v>61</v>
      </c>
      <c r="AD5" t="s">
        <v>62</v>
      </c>
      <c r="AE5" s="8"/>
      <c r="AF5" s="394" t="s">
        <v>63</v>
      </c>
      <c r="AG5" s="395"/>
      <c r="AH5" s="395"/>
      <c r="AI5" s="396"/>
    </row>
    <row r="6" spans="1:37" ht="15" customHeight="1" x14ac:dyDescent="0.3">
      <c r="A6" s="272" t="s">
        <v>1259</v>
      </c>
      <c r="B6" s="87" t="str">
        <f>RIGHT(D24,1)&amp;E24&amp;F24&amp;G24&amp;H21&amp;I21&amp;J21</f>
        <v>726G2G1000030</v>
      </c>
      <c r="C6" s="7" t="s">
        <v>64</v>
      </c>
      <c r="D6" s="99" t="str">
        <f t="shared" ref="D6:E6" si="0">HEX2BIN(D5,8)</f>
        <v>00000111</v>
      </c>
      <c r="E6" s="99" t="str">
        <f t="shared" si="0"/>
        <v>00100110</v>
      </c>
      <c r="F6" s="99" t="str">
        <f>HEX2BIN(F5,8)</f>
        <v>00000001</v>
      </c>
      <c r="G6" s="99" t="str">
        <f t="shared" ref="G6:K6" si="1">HEX2BIN(G5,8)</f>
        <v>00000001</v>
      </c>
      <c r="H6" s="99" t="str">
        <f t="shared" si="1"/>
        <v>00000000</v>
      </c>
      <c r="I6" s="99" t="str">
        <f t="shared" si="1"/>
        <v>00000000</v>
      </c>
      <c r="J6" s="99" t="str">
        <f t="shared" si="1"/>
        <v>00000000</v>
      </c>
      <c r="K6" s="99" t="str">
        <f t="shared" si="1"/>
        <v>00000000</v>
      </c>
      <c r="L6" s="99"/>
      <c r="N6" s="8"/>
      <c r="P6" s="21" t="str">
        <f>MID(H6,1,1)</f>
        <v>0</v>
      </c>
      <c r="Q6" s="26" t="str">
        <f>P6</f>
        <v>0</v>
      </c>
      <c r="R6" s="7" t="s">
        <v>65</v>
      </c>
      <c r="S6" s="582" t="s">
        <v>1344</v>
      </c>
      <c r="T6" s="21" t="str">
        <f>MID(I6,1,1)</f>
        <v>0</v>
      </c>
      <c r="U6" s="26" t="str">
        <f t="shared" ref="U6:U13" si="2">T6</f>
        <v>0</v>
      </c>
      <c r="V6" s="7" t="s">
        <v>65</v>
      </c>
      <c r="W6" s="8" t="s">
        <v>66</v>
      </c>
      <c r="X6" s="21" t="str">
        <f>MID(J6,1,1)</f>
        <v>0</v>
      </c>
      <c r="Y6" s="26" t="str">
        <f>X6</f>
        <v>0</v>
      </c>
      <c r="Z6" s="7" t="s">
        <v>65</v>
      </c>
      <c r="AA6" s="581" t="s">
        <v>407</v>
      </c>
      <c r="AB6" s="21" t="str">
        <f>MID(K6,1,1)</f>
        <v>0</v>
      </c>
      <c r="AC6" s="26" t="str">
        <f>AB6</f>
        <v>0</v>
      </c>
      <c r="AD6" s="7" t="s">
        <v>65</v>
      </c>
      <c r="AE6" s="579" t="s">
        <v>409</v>
      </c>
      <c r="AF6" s="400"/>
      <c r="AG6" s="381"/>
      <c r="AH6" s="381"/>
      <c r="AI6" s="401"/>
    </row>
    <row r="7" spans="1:37" x14ac:dyDescent="0.3">
      <c r="C7" s="7" t="s">
        <v>67</v>
      </c>
      <c r="D7" s="99">
        <f>HEX2DEC(D5)</f>
        <v>7</v>
      </c>
      <c r="E7" s="99">
        <f t="shared" ref="E7:K7" si="3">HEX2DEC(E5)</f>
        <v>38</v>
      </c>
      <c r="F7" s="99">
        <f t="shared" si="3"/>
        <v>1</v>
      </c>
      <c r="G7" s="99">
        <f t="shared" si="3"/>
        <v>1</v>
      </c>
      <c r="H7" s="99">
        <f t="shared" si="3"/>
        <v>0</v>
      </c>
      <c r="I7" s="99">
        <f t="shared" si="3"/>
        <v>0</v>
      </c>
      <c r="J7" s="99">
        <f t="shared" si="3"/>
        <v>0</v>
      </c>
      <c r="K7" s="99">
        <f t="shared" si="3"/>
        <v>0</v>
      </c>
      <c r="L7" s="99">
        <f>SUM(D7:K7)</f>
        <v>47</v>
      </c>
      <c r="N7" s="8"/>
      <c r="P7" s="21" t="str">
        <f>MID(H6,2,1)</f>
        <v>0</v>
      </c>
      <c r="Q7" s="26" t="str">
        <f t="shared" ref="Q7:Q13" si="4">P7</f>
        <v>0</v>
      </c>
      <c r="R7" s="7" t="s">
        <v>68</v>
      </c>
      <c r="S7" s="583"/>
      <c r="T7" s="21" t="str">
        <f>MID(I6,2,1)</f>
        <v>0</v>
      </c>
      <c r="U7" s="26" t="str">
        <f t="shared" si="2"/>
        <v>0</v>
      </c>
      <c r="V7" s="7" t="s">
        <v>68</v>
      </c>
      <c r="W7" s="8" t="s">
        <v>66</v>
      </c>
      <c r="X7" s="21" t="str">
        <f>MID(J6,2,1)</f>
        <v>0</v>
      </c>
      <c r="Y7" s="26" t="str">
        <f t="shared" ref="Y7:Y13" si="5">X7</f>
        <v>0</v>
      </c>
      <c r="Z7" s="7" t="s">
        <v>68</v>
      </c>
      <c r="AA7" s="460"/>
      <c r="AB7" s="21" t="str">
        <f>MID(K6,2,1)</f>
        <v>0</v>
      </c>
      <c r="AC7" s="26" t="str">
        <f t="shared" ref="AC7:AC13" si="6">AB7</f>
        <v>0</v>
      </c>
      <c r="AD7" s="7" t="s">
        <v>68</v>
      </c>
      <c r="AE7" s="482"/>
      <c r="AF7" s="400"/>
      <c r="AG7" s="381"/>
      <c r="AH7" s="381"/>
      <c r="AI7" s="401"/>
    </row>
    <row r="8" spans="1:37" x14ac:dyDescent="0.3">
      <c r="C8" s="7" t="s">
        <v>1678</v>
      </c>
      <c r="D8" s="333" t="str">
        <f>D5</f>
        <v>07</v>
      </c>
      <c r="E8" s="333" t="str">
        <f>E5</f>
        <v>26</v>
      </c>
      <c r="F8" s="99" t="str">
        <f>MID($A$4,4,2)</f>
        <v>G1</v>
      </c>
      <c r="G8" s="99" t="str">
        <f>MID($A$4,6,2)</f>
        <v>G1</v>
      </c>
      <c r="N8" s="8"/>
      <c r="P8" s="21" t="str">
        <f>MID(H6,3,1)</f>
        <v>0</v>
      </c>
      <c r="Q8" s="26" t="str">
        <f t="shared" si="4"/>
        <v>0</v>
      </c>
      <c r="R8" s="7" t="s">
        <v>69</v>
      </c>
      <c r="S8" s="583"/>
      <c r="T8" s="21" t="str">
        <f>MID(I6,3,1)</f>
        <v>0</v>
      </c>
      <c r="U8" s="26" t="str">
        <f t="shared" si="2"/>
        <v>0</v>
      </c>
      <c r="V8" s="7" t="s">
        <v>69</v>
      </c>
      <c r="W8" s="8" t="s">
        <v>66</v>
      </c>
      <c r="X8" s="21" t="str">
        <f>MID(J6,3,1)</f>
        <v>0</v>
      </c>
      <c r="Y8" s="26" t="str">
        <f t="shared" si="5"/>
        <v>0</v>
      </c>
      <c r="Z8" s="7" t="s">
        <v>69</v>
      </c>
      <c r="AA8" s="479"/>
      <c r="AB8" s="21" t="str">
        <f>MID(K6,3,1)</f>
        <v>0</v>
      </c>
      <c r="AC8" s="26" t="str">
        <f t="shared" si="6"/>
        <v>0</v>
      </c>
      <c r="AD8" s="7" t="s">
        <v>69</v>
      </c>
      <c r="AE8" s="482"/>
      <c r="AF8" s="400"/>
      <c r="AG8" s="381"/>
      <c r="AH8" s="381"/>
      <c r="AI8" s="401"/>
    </row>
    <row r="9" spans="1:37" ht="15" customHeight="1" thickBot="1" x14ac:dyDescent="0.35">
      <c r="C9" s="7"/>
      <c r="N9" s="8"/>
      <c r="P9" s="21" t="str">
        <f>MID(H6,4,1)</f>
        <v>0</v>
      </c>
      <c r="Q9" s="26" t="str">
        <f t="shared" si="4"/>
        <v>0</v>
      </c>
      <c r="R9" s="7" t="s">
        <v>70</v>
      </c>
      <c r="S9" s="583"/>
      <c r="T9" s="21" t="str">
        <f>MID(I6,4,1)</f>
        <v>0</v>
      </c>
      <c r="U9" s="26" t="str">
        <f t="shared" si="2"/>
        <v>0</v>
      </c>
      <c r="V9" s="7" t="s">
        <v>70</v>
      </c>
      <c r="W9" s="579" t="s">
        <v>405</v>
      </c>
      <c r="X9" s="21" t="str">
        <f>MID(J6,4,1)</f>
        <v>0</v>
      </c>
      <c r="Y9" s="26" t="str">
        <f t="shared" si="5"/>
        <v>0</v>
      </c>
      <c r="Z9" s="7" t="s">
        <v>70</v>
      </c>
      <c r="AA9" s="581" t="s">
        <v>408</v>
      </c>
      <c r="AB9" s="21" t="str">
        <f>MID(K6,4,1)</f>
        <v>0</v>
      </c>
      <c r="AC9" s="26" t="str">
        <f t="shared" si="6"/>
        <v>0</v>
      </c>
      <c r="AD9" s="7" t="s">
        <v>70</v>
      </c>
      <c r="AE9" s="466"/>
      <c r="AF9" s="400"/>
      <c r="AG9" s="381"/>
      <c r="AH9" s="381"/>
      <c r="AI9" s="401"/>
    </row>
    <row r="10" spans="1:37" ht="15" customHeight="1" thickBot="1" x14ac:dyDescent="0.35">
      <c r="C10" s="7" t="s">
        <v>56</v>
      </c>
      <c r="D10" s="15" t="str">
        <f>D5</f>
        <v>07</v>
      </c>
      <c r="E10" s="16" t="str">
        <f>E5</f>
        <v>26</v>
      </c>
      <c r="F10" s="16" t="str">
        <f>F5</f>
        <v>01</v>
      </c>
      <c r="G10" s="17" t="str">
        <f>G5</f>
        <v>01</v>
      </c>
      <c r="H10" s="23" t="str">
        <f>BIN2HEX(H11,2)</f>
        <v>00</v>
      </c>
      <c r="I10" s="25" t="str">
        <f t="shared" ref="I10:K10" si="7">BIN2HEX(I11,2)</f>
        <v>00</v>
      </c>
      <c r="J10" s="24" t="str">
        <f t="shared" si="7"/>
        <v>00</v>
      </c>
      <c r="K10" s="2" t="str">
        <f t="shared" si="7"/>
        <v>00</v>
      </c>
      <c r="L10" s="3" t="str">
        <f>IF(LEN(L11)&gt;2,MID(L11,2,2),L11)</f>
        <v>2F</v>
      </c>
      <c r="N10" s="8" t="s">
        <v>61</v>
      </c>
      <c r="P10" s="21" t="str">
        <f>MID(H6,5,1)</f>
        <v>0</v>
      </c>
      <c r="Q10" s="26" t="str">
        <f t="shared" si="4"/>
        <v>0</v>
      </c>
      <c r="R10" s="7" t="s">
        <v>71</v>
      </c>
      <c r="S10" s="579" t="s">
        <v>404</v>
      </c>
      <c r="T10" s="21" t="str">
        <f>MID(I6,5,1)</f>
        <v>0</v>
      </c>
      <c r="U10" s="26" t="str">
        <f t="shared" si="2"/>
        <v>0</v>
      </c>
      <c r="V10" s="7" t="s">
        <v>71</v>
      </c>
      <c r="W10" s="563"/>
      <c r="X10" s="21" t="str">
        <f>MID(J6,5,1)</f>
        <v>0</v>
      </c>
      <c r="Y10" s="26" t="str">
        <f t="shared" si="5"/>
        <v>0</v>
      </c>
      <c r="Z10" s="7" t="s">
        <v>71</v>
      </c>
      <c r="AA10" s="479"/>
      <c r="AB10" s="21" t="str">
        <f>MID(K6,5,1)</f>
        <v>0</v>
      </c>
      <c r="AC10" s="26" t="str">
        <f t="shared" si="6"/>
        <v>0</v>
      </c>
      <c r="AD10" s="7" t="s">
        <v>71</v>
      </c>
      <c r="AE10" s="579" t="s">
        <v>410</v>
      </c>
      <c r="AF10" s="400"/>
      <c r="AG10" s="381"/>
      <c r="AH10" s="381"/>
      <c r="AI10" s="401"/>
    </row>
    <row r="11" spans="1:37" x14ac:dyDescent="0.3">
      <c r="C11" s="7" t="s">
        <v>64</v>
      </c>
      <c r="D11" s="99" t="str">
        <f>HEX2BIN(D10,8)</f>
        <v>00000111</v>
      </c>
      <c r="E11" s="99" t="str">
        <f t="shared" ref="E11:G11" si="8">HEX2BIN(E10,8)</f>
        <v>00100110</v>
      </c>
      <c r="F11" s="99" t="str">
        <f t="shared" si="8"/>
        <v>00000001</v>
      </c>
      <c r="G11" s="99" t="str">
        <f t="shared" si="8"/>
        <v>00000001</v>
      </c>
      <c r="H11" s="29" t="str">
        <f>Q6&amp;Q7&amp;Q8&amp;Q9&amp;Q10&amp;Q11&amp;Q12&amp;Q13</f>
        <v>00000000</v>
      </c>
      <c r="I11" s="99" t="str">
        <f>U6&amp;U7&amp;U8&amp;U9&amp;U10&amp;U11&amp;U12&amp;U13</f>
        <v>00000000</v>
      </c>
      <c r="J11" s="29" t="str">
        <f>Y6&amp;Y7&amp;Y8&amp;Y9&amp;Y10&amp;Y11&amp;Y12&amp;Y13</f>
        <v>00000000</v>
      </c>
      <c r="K11" s="29" t="str">
        <f>AC6&amp;AC7&amp;AC8&amp;AC9&amp;AC10&amp;AC11&amp;AC12&amp;AC13</f>
        <v>00000000</v>
      </c>
      <c r="L11" s="99" t="str">
        <f>DEC2HEX(L12)</f>
        <v>2F</v>
      </c>
      <c r="N11" s="8"/>
      <c r="P11" s="21" t="str">
        <f>MID(H6,6,1)</f>
        <v>0</v>
      </c>
      <c r="Q11" s="26" t="str">
        <f t="shared" si="4"/>
        <v>0</v>
      </c>
      <c r="R11" s="7" t="s">
        <v>72</v>
      </c>
      <c r="S11" s="563"/>
      <c r="T11" s="21" t="str">
        <f>MID(I6,6,1)</f>
        <v>0</v>
      </c>
      <c r="U11" s="26" t="str">
        <f t="shared" si="2"/>
        <v>0</v>
      </c>
      <c r="V11" s="7" t="s">
        <v>72</v>
      </c>
      <c r="W11" s="579" t="s">
        <v>406</v>
      </c>
      <c r="X11" s="21" t="str">
        <f>MID(J6,6,1)</f>
        <v>0</v>
      </c>
      <c r="Y11" s="26" t="str">
        <f t="shared" si="5"/>
        <v>0</v>
      </c>
      <c r="Z11" s="7" t="s">
        <v>72</v>
      </c>
      <c r="AA11" s="8" t="s">
        <v>66</v>
      </c>
      <c r="AB11" s="21" t="str">
        <f>MID(K6,6,1)</f>
        <v>0</v>
      </c>
      <c r="AC11" s="26" t="str">
        <f t="shared" si="6"/>
        <v>0</v>
      </c>
      <c r="AD11" s="7" t="s">
        <v>72</v>
      </c>
      <c r="AE11" s="563"/>
      <c r="AF11" s="400"/>
      <c r="AG11" s="381"/>
      <c r="AH11" s="381"/>
      <c r="AI11" s="401"/>
    </row>
    <row r="12" spans="1:37" x14ac:dyDescent="0.3">
      <c r="C12" s="7" t="s">
        <v>67</v>
      </c>
      <c r="D12" s="99">
        <f>HEX2DEC(D10)</f>
        <v>7</v>
      </c>
      <c r="E12" s="99">
        <f t="shared" ref="E12:K12" si="9">HEX2DEC(E10)</f>
        <v>38</v>
      </c>
      <c r="F12" s="99">
        <f t="shared" si="9"/>
        <v>1</v>
      </c>
      <c r="G12" s="99">
        <f t="shared" si="9"/>
        <v>1</v>
      </c>
      <c r="H12" s="99">
        <f t="shared" si="9"/>
        <v>0</v>
      </c>
      <c r="I12" s="99">
        <f>HEX2DEC(I10)</f>
        <v>0</v>
      </c>
      <c r="J12" s="99">
        <f t="shared" si="9"/>
        <v>0</v>
      </c>
      <c r="K12" s="99">
        <f t="shared" si="9"/>
        <v>0</v>
      </c>
      <c r="L12" s="99">
        <f>SUM(D12:K12)</f>
        <v>47</v>
      </c>
      <c r="N12" s="8"/>
      <c r="P12" s="21" t="str">
        <f>MID(H6,7,1)</f>
        <v>0</v>
      </c>
      <c r="Q12" s="26" t="str">
        <f t="shared" si="4"/>
        <v>0</v>
      </c>
      <c r="R12" s="7" t="s">
        <v>73</v>
      </c>
      <c r="S12" s="8" t="s">
        <v>66</v>
      </c>
      <c r="T12" s="21" t="str">
        <f>MID(I6,7,1)</f>
        <v>0</v>
      </c>
      <c r="U12" s="26" t="str">
        <f t="shared" si="2"/>
        <v>0</v>
      </c>
      <c r="V12" s="7" t="s">
        <v>73</v>
      </c>
      <c r="W12" s="482"/>
      <c r="X12" s="21" t="str">
        <f>MID(J6,7,1)</f>
        <v>0</v>
      </c>
      <c r="Y12" s="26" t="str">
        <f t="shared" si="5"/>
        <v>0</v>
      </c>
      <c r="Z12" s="7" t="s">
        <v>73</v>
      </c>
      <c r="AA12" s="8" t="s">
        <v>66</v>
      </c>
      <c r="AB12" s="21" t="str">
        <f>MID(K6,7,1)</f>
        <v>0</v>
      </c>
      <c r="AC12" s="26" t="str">
        <f t="shared" si="6"/>
        <v>0</v>
      </c>
      <c r="AD12" s="7" t="s">
        <v>73</v>
      </c>
      <c r="AE12" s="8" t="s">
        <v>66</v>
      </c>
      <c r="AF12" s="400"/>
      <c r="AG12" s="381"/>
      <c r="AH12" s="381"/>
      <c r="AI12" s="401"/>
    </row>
    <row r="13" spans="1:37" ht="15" thickBot="1" x14ac:dyDescent="0.35">
      <c r="C13" s="9" t="s">
        <v>1678</v>
      </c>
      <c r="D13" s="335" t="str">
        <f>D8</f>
        <v>07</v>
      </c>
      <c r="E13" s="335" t="str">
        <f t="shared" ref="E13:G13" si="10">E8</f>
        <v>26</v>
      </c>
      <c r="F13" s="335" t="str">
        <f t="shared" si="10"/>
        <v>G1</v>
      </c>
      <c r="G13" s="335" t="str">
        <f t="shared" si="10"/>
        <v>G1</v>
      </c>
      <c r="H13" s="10"/>
      <c r="I13" s="10"/>
      <c r="J13" s="10"/>
      <c r="K13" s="10"/>
      <c r="L13" s="10"/>
      <c r="M13" s="10"/>
      <c r="N13" s="11"/>
      <c r="P13" s="22" t="str">
        <f>MID(H6,8,1)</f>
        <v>0</v>
      </c>
      <c r="Q13" s="55" t="str">
        <f t="shared" si="4"/>
        <v>0</v>
      </c>
      <c r="R13" s="9" t="s">
        <v>74</v>
      </c>
      <c r="S13" s="11" t="s">
        <v>66</v>
      </c>
      <c r="T13" s="22" t="str">
        <f>MID(I6,8,1)</f>
        <v>0</v>
      </c>
      <c r="U13" s="55" t="str">
        <f t="shared" si="2"/>
        <v>0</v>
      </c>
      <c r="V13" s="9" t="s">
        <v>74</v>
      </c>
      <c r="W13" s="580"/>
      <c r="X13" s="22" t="str">
        <f>MID(J6,8,1)</f>
        <v>0</v>
      </c>
      <c r="Y13" s="55" t="str">
        <f t="shared" si="5"/>
        <v>0</v>
      </c>
      <c r="Z13" s="9" t="s">
        <v>74</v>
      </c>
      <c r="AA13" s="11" t="s">
        <v>66</v>
      </c>
      <c r="AB13" s="22" t="str">
        <f>MID(K6,8,1)</f>
        <v>0</v>
      </c>
      <c r="AC13" s="55" t="str">
        <f t="shared" si="6"/>
        <v>0</v>
      </c>
      <c r="AD13" s="9" t="s">
        <v>74</v>
      </c>
      <c r="AE13" s="11" t="s">
        <v>66</v>
      </c>
      <c r="AF13" s="402"/>
      <c r="AG13" s="403"/>
      <c r="AH13" s="403"/>
      <c r="AI13" s="404"/>
    </row>
    <row r="14" spans="1:37" ht="15" thickBot="1" x14ac:dyDescent="0.35">
      <c r="C14" s="4"/>
      <c r="D14" s="5"/>
      <c r="E14" s="5"/>
      <c r="F14" s="5"/>
      <c r="G14" s="5"/>
      <c r="H14" s="5"/>
      <c r="I14" s="5"/>
      <c r="J14" s="5" t="s">
        <v>41</v>
      </c>
      <c r="K14" s="5"/>
      <c r="L14" s="5"/>
      <c r="N14" s="6"/>
      <c r="P14" s="405" t="s">
        <v>314</v>
      </c>
      <c r="Q14" s="405"/>
      <c r="R14" s="405"/>
      <c r="S14" s="405"/>
      <c r="T14" s="405"/>
      <c r="U14" s="405"/>
      <c r="V14" s="405"/>
      <c r="W14" s="405"/>
      <c r="X14" s="405"/>
      <c r="Y14" s="405"/>
      <c r="Z14" s="405"/>
      <c r="AA14" s="405"/>
      <c r="AB14" s="405"/>
      <c r="AC14" s="405"/>
      <c r="AD14" s="405"/>
      <c r="AE14" s="405"/>
      <c r="AF14" s="405"/>
      <c r="AG14" s="405"/>
      <c r="AH14" s="405"/>
      <c r="AI14" s="405"/>
      <c r="AJ14" s="405"/>
      <c r="AK14" s="405"/>
    </row>
    <row r="15" spans="1:37" ht="15" thickBot="1" x14ac:dyDescent="0.35">
      <c r="C15" s="7"/>
      <c r="D15" s="393" t="s">
        <v>1570</v>
      </c>
      <c r="E15" s="393"/>
      <c r="F15" s="393"/>
      <c r="G15" s="393"/>
      <c r="H15" s="99" t="s">
        <v>44</v>
      </c>
      <c r="I15" s="99" t="s">
        <v>45</v>
      </c>
      <c r="J15" s="99" t="s">
        <v>46</v>
      </c>
      <c r="N15" s="8"/>
      <c r="P15" s="394" t="s">
        <v>50</v>
      </c>
      <c r="Q15" s="395"/>
      <c r="R15" s="395"/>
      <c r="S15" s="396"/>
      <c r="T15" s="394" t="s">
        <v>51</v>
      </c>
      <c r="U15" s="395"/>
      <c r="V15" s="395"/>
      <c r="W15" s="396"/>
      <c r="X15" s="406" t="s">
        <v>315</v>
      </c>
      <c r="Y15" s="407"/>
      <c r="Z15" s="407"/>
      <c r="AA15" s="408"/>
    </row>
    <row r="16" spans="1:37" ht="15" thickBot="1" x14ac:dyDescent="0.35">
      <c r="C16" s="7" t="s">
        <v>56</v>
      </c>
      <c r="D16" s="12" t="s">
        <v>57</v>
      </c>
      <c r="E16" s="13" t="s">
        <v>100</v>
      </c>
      <c r="F16" s="13" t="s">
        <v>77</v>
      </c>
      <c r="G16" s="14" t="s">
        <v>59</v>
      </c>
      <c r="H16" s="316" t="str">
        <f>MID($A$6,8,2)</f>
        <v>00</v>
      </c>
      <c r="I16" s="320" t="str">
        <f>MID($A$6,10,2)</f>
        <v>00</v>
      </c>
      <c r="J16" s="319" t="str">
        <f>MID($A$6,12,2)</f>
        <v>30</v>
      </c>
      <c r="N16" s="8" t="s">
        <v>60</v>
      </c>
      <c r="P16" s="19" t="s">
        <v>60</v>
      </c>
      <c r="Q16" s="20" t="s">
        <v>61</v>
      </c>
      <c r="R16" t="s">
        <v>62</v>
      </c>
      <c r="S16" s="8"/>
      <c r="T16" s="19" t="s">
        <v>60</v>
      </c>
      <c r="U16" s="20" t="s">
        <v>61</v>
      </c>
      <c r="V16" t="s">
        <v>62</v>
      </c>
      <c r="W16" s="8"/>
      <c r="X16" s="394" t="s">
        <v>63</v>
      </c>
      <c r="Y16" s="395"/>
      <c r="Z16" s="395"/>
      <c r="AA16" s="396"/>
    </row>
    <row r="17" spans="3:27" x14ac:dyDescent="0.3">
      <c r="C17" s="7" t="s">
        <v>64</v>
      </c>
      <c r="D17" s="99" t="str">
        <f>HEX2BIN(D16,8)</f>
        <v>00000111</v>
      </c>
      <c r="E17" s="99" t="str">
        <f t="shared" ref="E17:I17" si="11">HEX2BIN(E16,8)</f>
        <v>00100110</v>
      </c>
      <c r="F17" s="99" t="str">
        <f t="shared" si="11"/>
        <v>00000010</v>
      </c>
      <c r="G17" s="99" t="str">
        <f t="shared" si="11"/>
        <v>00000001</v>
      </c>
      <c r="H17" s="99" t="str">
        <f t="shared" si="11"/>
        <v>00000000</v>
      </c>
      <c r="I17" s="99" t="str">
        <f t="shared" si="11"/>
        <v>00000000</v>
      </c>
      <c r="N17" s="8"/>
      <c r="P17" s="21" t="str">
        <f>MID(H17,1,1)</f>
        <v>0</v>
      </c>
      <c r="Q17" s="26" t="str">
        <f>P17</f>
        <v>0</v>
      </c>
      <c r="R17" s="7" t="s">
        <v>65</v>
      </c>
      <c r="S17" s="95" t="s">
        <v>403</v>
      </c>
      <c r="T17" s="21" t="str">
        <f>MID(I17,1,1)</f>
        <v>0</v>
      </c>
      <c r="U17" s="26" t="str">
        <f>T17</f>
        <v>0</v>
      </c>
      <c r="V17" s="7" t="s">
        <v>65</v>
      </c>
      <c r="W17" s="8" t="s">
        <v>66</v>
      </c>
      <c r="X17" s="400"/>
      <c r="Y17" s="381"/>
      <c r="Z17" s="381"/>
      <c r="AA17" s="401"/>
    </row>
    <row r="18" spans="3:27" x14ac:dyDescent="0.3">
      <c r="C18" s="7" t="s">
        <v>67</v>
      </c>
      <c r="D18" s="99">
        <f>HEX2DEC(D16)</f>
        <v>7</v>
      </c>
      <c r="E18" s="99">
        <f t="shared" ref="E18:I18" si="12">HEX2DEC(E16)</f>
        <v>38</v>
      </c>
      <c r="F18" s="99">
        <f t="shared" si="12"/>
        <v>2</v>
      </c>
      <c r="G18" s="99">
        <f t="shared" si="12"/>
        <v>1</v>
      </c>
      <c r="H18" s="99">
        <f t="shared" si="12"/>
        <v>0</v>
      </c>
      <c r="I18" s="99">
        <f t="shared" si="12"/>
        <v>0</v>
      </c>
      <c r="J18" s="99">
        <f>SUM(D18:I18)</f>
        <v>48</v>
      </c>
      <c r="N18" s="8"/>
      <c r="P18" s="21" t="str">
        <f>MID(H17,2,1)</f>
        <v>0</v>
      </c>
      <c r="Q18" s="26" t="str">
        <f t="shared" ref="Q18:Q24" si="13">P18</f>
        <v>0</v>
      </c>
      <c r="R18" s="7" t="s">
        <v>68</v>
      </c>
      <c r="S18" s="8" t="s">
        <v>66</v>
      </c>
      <c r="T18" s="21" t="str">
        <f>MID(I17,2,1)</f>
        <v>0</v>
      </c>
      <c r="U18" s="26" t="str">
        <f t="shared" ref="U18:U24" si="14">T18</f>
        <v>0</v>
      </c>
      <c r="V18" s="7" t="s">
        <v>68</v>
      </c>
      <c r="W18" s="8" t="s">
        <v>66</v>
      </c>
      <c r="X18" s="400"/>
      <c r="Y18" s="381"/>
      <c r="Z18" s="381"/>
      <c r="AA18" s="401"/>
    </row>
    <row r="19" spans="3:27" x14ac:dyDescent="0.3">
      <c r="C19" s="7" t="s">
        <v>1678</v>
      </c>
      <c r="D19" s="333" t="str">
        <f>D16</f>
        <v>07</v>
      </c>
      <c r="E19" s="333" t="str">
        <f>E16</f>
        <v>26</v>
      </c>
      <c r="F19" s="99" t="str">
        <f>MID($A$6,4,2)</f>
        <v>G2</v>
      </c>
      <c r="G19" s="99" t="str">
        <f>MID($A$6,6,2)</f>
        <v>G1</v>
      </c>
      <c r="N19" s="8"/>
      <c r="P19" s="21" t="str">
        <f>MID(H17,3,1)</f>
        <v>0</v>
      </c>
      <c r="Q19" s="26" t="str">
        <f t="shared" si="13"/>
        <v>0</v>
      </c>
      <c r="R19" s="7" t="s">
        <v>69</v>
      </c>
      <c r="S19" s="8" t="s">
        <v>66</v>
      </c>
      <c r="T19" s="21" t="str">
        <f>MID(I17,3,1)</f>
        <v>0</v>
      </c>
      <c r="U19" s="26" t="str">
        <f t="shared" si="14"/>
        <v>0</v>
      </c>
      <c r="V19" s="7" t="s">
        <v>69</v>
      </c>
      <c r="W19" s="8" t="s">
        <v>66</v>
      </c>
      <c r="X19" s="400"/>
      <c r="Y19" s="381"/>
      <c r="Z19" s="381"/>
      <c r="AA19" s="401"/>
    </row>
    <row r="20" spans="3:27" ht="15" thickBot="1" x14ac:dyDescent="0.35">
      <c r="C20" s="7"/>
      <c r="N20" s="8"/>
      <c r="P20" s="21" t="str">
        <f>MID(H17,4,1)</f>
        <v>0</v>
      </c>
      <c r="Q20" s="26" t="str">
        <f t="shared" si="13"/>
        <v>0</v>
      </c>
      <c r="R20" s="7" t="s">
        <v>70</v>
      </c>
      <c r="S20" s="8" t="s">
        <v>66</v>
      </c>
      <c r="T20" s="21" t="str">
        <f>MID(I17,4,1)</f>
        <v>0</v>
      </c>
      <c r="U20" s="26" t="str">
        <f t="shared" si="14"/>
        <v>0</v>
      </c>
      <c r="V20" s="7" t="s">
        <v>70</v>
      </c>
      <c r="W20" s="8" t="s">
        <v>66</v>
      </c>
      <c r="X20" s="400"/>
      <c r="Y20" s="381"/>
      <c r="Z20" s="381"/>
      <c r="AA20" s="401"/>
    </row>
    <row r="21" spans="3:27" ht="15" thickBot="1" x14ac:dyDescent="0.35">
      <c r="C21" s="7" t="s">
        <v>56</v>
      </c>
      <c r="D21" s="15" t="str">
        <f t="shared" ref="D21:G21" si="15">D16</f>
        <v>07</v>
      </c>
      <c r="E21" s="16" t="str">
        <f t="shared" si="15"/>
        <v>26</v>
      </c>
      <c r="F21" s="16" t="str">
        <f t="shared" si="15"/>
        <v>02</v>
      </c>
      <c r="G21" s="17" t="str">
        <f t="shared" si="15"/>
        <v>01</v>
      </c>
      <c r="H21" s="23" t="str">
        <f>BIN2HEX(H22,2)</f>
        <v>00</v>
      </c>
      <c r="I21" s="25" t="str">
        <f t="shared" ref="I21" si="16">BIN2HEX(I22,2)</f>
        <v>00</v>
      </c>
      <c r="J21" s="44" t="str">
        <f>IF(LEN(J22)&gt;2,MID(J22,2,2),J22)</f>
        <v>30</v>
      </c>
      <c r="N21" s="8" t="s">
        <v>61</v>
      </c>
      <c r="P21" s="21" t="str">
        <f>MID(H17,5,1)</f>
        <v>0</v>
      </c>
      <c r="Q21" s="26" t="str">
        <f t="shared" si="13"/>
        <v>0</v>
      </c>
      <c r="R21" s="7" t="s">
        <v>71</v>
      </c>
      <c r="S21" s="8" t="s">
        <v>66</v>
      </c>
      <c r="T21" s="21" t="str">
        <f>MID(I17,5,1)</f>
        <v>0</v>
      </c>
      <c r="U21" s="26" t="str">
        <f t="shared" si="14"/>
        <v>0</v>
      </c>
      <c r="V21" s="7" t="s">
        <v>71</v>
      </c>
      <c r="W21" s="8" t="s">
        <v>66</v>
      </c>
      <c r="X21" s="400"/>
      <c r="Y21" s="381"/>
      <c r="Z21" s="381"/>
      <c r="AA21" s="401"/>
    </row>
    <row r="22" spans="3:27" x14ac:dyDescent="0.3">
      <c r="C22" s="7" t="s">
        <v>64</v>
      </c>
      <c r="D22" s="99" t="str">
        <f>HEX2BIN(D21,8)</f>
        <v>00000111</v>
      </c>
      <c r="E22" s="99" t="str">
        <f t="shared" ref="E22:G22" si="17">HEX2BIN(E21,8)</f>
        <v>00100110</v>
      </c>
      <c r="F22" s="99" t="str">
        <f t="shared" si="17"/>
        <v>00000010</v>
      </c>
      <c r="G22" s="99" t="str">
        <f t="shared" si="17"/>
        <v>00000001</v>
      </c>
      <c r="H22" s="29" t="str">
        <f>Q17&amp;Q18&amp;Q19&amp;Q20&amp;Q21&amp;Q22&amp;Q23&amp;Q24</f>
        <v>00000000</v>
      </c>
      <c r="I22" s="99" t="str">
        <f>U17&amp;U18&amp;U19&amp;U20&amp;U21&amp;U22&amp;U23&amp;U24</f>
        <v>00000000</v>
      </c>
      <c r="J22" s="99" t="str">
        <f>DEC2HEX(J23)</f>
        <v>30</v>
      </c>
      <c r="N22" s="8"/>
      <c r="P22" s="21" t="str">
        <f>MID(H17,6,1)</f>
        <v>0</v>
      </c>
      <c r="Q22" s="26" t="str">
        <f t="shared" si="13"/>
        <v>0</v>
      </c>
      <c r="R22" s="7" t="s">
        <v>72</v>
      </c>
      <c r="S22" s="8" t="s">
        <v>66</v>
      </c>
      <c r="T22" s="21" t="str">
        <f>MID(I17,6,1)</f>
        <v>0</v>
      </c>
      <c r="U22" s="26" t="str">
        <f t="shared" si="14"/>
        <v>0</v>
      </c>
      <c r="V22" s="7" t="s">
        <v>72</v>
      </c>
      <c r="W22" s="8" t="s">
        <v>66</v>
      </c>
      <c r="X22" s="400"/>
      <c r="Y22" s="381"/>
      <c r="Z22" s="381"/>
      <c r="AA22" s="401"/>
    </row>
    <row r="23" spans="3:27" x14ac:dyDescent="0.3">
      <c r="C23" s="7" t="s">
        <v>67</v>
      </c>
      <c r="D23" s="99">
        <f>HEX2DEC(D21)</f>
        <v>7</v>
      </c>
      <c r="E23" s="99">
        <f t="shared" ref="E23:I23" si="18">HEX2DEC(E21)</f>
        <v>38</v>
      </c>
      <c r="F23" s="99">
        <f t="shared" si="18"/>
        <v>2</v>
      </c>
      <c r="G23" s="99">
        <f t="shared" si="18"/>
        <v>1</v>
      </c>
      <c r="H23" s="99">
        <f t="shared" si="18"/>
        <v>0</v>
      </c>
      <c r="I23" s="99">
        <f t="shared" si="18"/>
        <v>0</v>
      </c>
      <c r="J23" s="99">
        <f>SUM(D23:I23)</f>
        <v>48</v>
      </c>
      <c r="N23" s="8"/>
      <c r="P23" s="21" t="str">
        <f>MID(H17,7,1)</f>
        <v>0</v>
      </c>
      <c r="Q23" s="26" t="str">
        <f t="shared" si="13"/>
        <v>0</v>
      </c>
      <c r="R23" s="7" t="s">
        <v>73</v>
      </c>
      <c r="S23" s="8" t="s">
        <v>66</v>
      </c>
      <c r="T23" s="21" t="str">
        <f>MID(I17,7,1)</f>
        <v>0</v>
      </c>
      <c r="U23" s="26" t="str">
        <f t="shared" si="14"/>
        <v>0</v>
      </c>
      <c r="V23" s="7" t="s">
        <v>73</v>
      </c>
      <c r="W23" s="8" t="s">
        <v>66</v>
      </c>
      <c r="X23" s="400"/>
      <c r="Y23" s="381"/>
      <c r="Z23" s="381"/>
      <c r="AA23" s="401"/>
    </row>
    <row r="24" spans="3:27" ht="15" thickBot="1" x14ac:dyDescent="0.35">
      <c r="C24" s="9" t="s">
        <v>1678</v>
      </c>
      <c r="D24" s="335" t="str">
        <f>D19</f>
        <v>07</v>
      </c>
      <c r="E24" s="335" t="str">
        <f t="shared" ref="E24:G24" si="19">E19</f>
        <v>26</v>
      </c>
      <c r="F24" s="335" t="str">
        <f t="shared" si="19"/>
        <v>G2</v>
      </c>
      <c r="G24" s="335" t="str">
        <f t="shared" si="19"/>
        <v>G1</v>
      </c>
      <c r="H24" s="10"/>
      <c r="I24" s="10"/>
      <c r="J24" s="10"/>
      <c r="K24" s="10"/>
      <c r="L24" s="10"/>
      <c r="M24" s="10"/>
      <c r="N24" s="11"/>
      <c r="P24" s="22" t="str">
        <f>MID(H17,8,1)</f>
        <v>0</v>
      </c>
      <c r="Q24" s="55" t="str">
        <f t="shared" si="13"/>
        <v>0</v>
      </c>
      <c r="R24" s="9" t="s">
        <v>74</v>
      </c>
      <c r="S24" s="11" t="s">
        <v>66</v>
      </c>
      <c r="T24" s="22" t="str">
        <f>MID(I17,8,1)</f>
        <v>0</v>
      </c>
      <c r="U24" s="55" t="str">
        <f t="shared" si="14"/>
        <v>0</v>
      </c>
      <c r="V24" s="9" t="s">
        <v>74</v>
      </c>
      <c r="W24" s="11" t="s">
        <v>66</v>
      </c>
      <c r="X24" s="402"/>
      <c r="Y24" s="403"/>
      <c r="Z24" s="403"/>
      <c r="AA24" s="404"/>
    </row>
  </sheetData>
  <mergeCells count="25">
    <mergeCell ref="A1:B1"/>
    <mergeCell ref="P3:AK3"/>
    <mergeCell ref="S10:S11"/>
    <mergeCell ref="W9:W10"/>
    <mergeCell ref="AE10:AE11"/>
    <mergeCell ref="P4:S4"/>
    <mergeCell ref="T4:W4"/>
    <mergeCell ref="X4:AA4"/>
    <mergeCell ref="AB4:AE4"/>
    <mergeCell ref="D4:G4"/>
    <mergeCell ref="AF4:AI4"/>
    <mergeCell ref="C1:AI1"/>
    <mergeCell ref="AF5:AI13"/>
    <mergeCell ref="C2:E2"/>
    <mergeCell ref="X16:AA24"/>
    <mergeCell ref="AA6:AA8"/>
    <mergeCell ref="AA9:AA10"/>
    <mergeCell ref="P14:AK14"/>
    <mergeCell ref="S6:S9"/>
    <mergeCell ref="AE6:AE9"/>
    <mergeCell ref="D15:G15"/>
    <mergeCell ref="P15:S15"/>
    <mergeCell ref="T15:W15"/>
    <mergeCell ref="X15:AA15"/>
    <mergeCell ref="W11:W13"/>
  </mergeCells>
  <conditionalFormatting sqref="B3:B6">
    <cfRule type="expression" dxfId="14" priority="1">
      <formula>IF(A3&lt;&gt;B3,1,0)</formula>
    </cfRule>
    <cfRule type="containsText" dxfId="13" priority="2" operator="containsText" text=";Block">
      <formula>NOT(ISERROR(SEARCH(";Block",B3)))</formula>
    </cfRule>
    <cfRule type="beginsWith" dxfId="12" priority="3" operator="beginsWith" text="72601">
      <formula>LEFT(B3,LEN("72601"))="72601"</formula>
    </cfRule>
    <cfRule type="beginsWith" dxfId="11" priority="4" operator="beginsWith" text="726G1">
      <formula>LEFT(B3,LEN("726G1"))="726G1"</formula>
    </cfRule>
    <cfRule type="beginsWith" dxfId="10" priority="5" operator="beginsWith" text="72602">
      <formula>LEFT(B3,LEN("72602"))="72602"</formula>
    </cfRule>
    <cfRule type="beginsWith" dxfId="9" priority="6" operator="beginsWith" text="726G2">
      <formula>LEFT(B3,LEN("726G2"))="726G2"</formula>
    </cfRule>
  </conditionalFormatting>
  <conditionalFormatting sqref="Q6:Q13">
    <cfRule type="expression" dxfId="8" priority="25">
      <formula>Q6:Q13&lt;&gt;P6:P13</formula>
    </cfRule>
  </conditionalFormatting>
  <conditionalFormatting sqref="Q17:Q24">
    <cfRule type="expression" dxfId="7" priority="20">
      <formula>Q17:Q24&lt;&gt;P17:P24</formula>
    </cfRule>
  </conditionalFormatting>
  <conditionalFormatting sqref="U6:U13">
    <cfRule type="expression" dxfId="6" priority="24">
      <formula>U6:U13&lt;&gt;T6:T13</formula>
    </cfRule>
  </conditionalFormatting>
  <conditionalFormatting sqref="U17:U24">
    <cfRule type="expression" dxfId="5" priority="19">
      <formula>U17:U24&lt;&gt;T17:T24</formula>
    </cfRule>
  </conditionalFormatting>
  <conditionalFormatting sqref="Y6:Y13">
    <cfRule type="expression" dxfId="4" priority="23">
      <formula>Y6:Y13&lt;&gt;X6:X13</formula>
    </cfRule>
  </conditionalFormatting>
  <conditionalFormatting sqref="AC6:AC13">
    <cfRule type="expression" dxfId="3" priority="22">
      <formula>AC6:AC13&lt;&gt;AB6:AB13</formula>
    </cfRule>
  </conditionalFormatting>
  <dataValidations disablePrompts="1" count="1">
    <dataValidation type="whole" allowBlank="1" showInputMessage="1" showErrorMessage="1" errorTitle="Wrong Value" error="This is a Binary value, which can be either 0 or 1." sqref="AC6:AC13 Q17:Q24 Q6:Q13 U17:U24 U6:U13 Y6:Y13" xr:uid="{00000000-0002-0000-0A00-000000000000}">
      <formula1>0</formula1>
      <formula2>1</formula2>
    </dataValidation>
  </dataValidations>
  <hyperlinks>
    <hyperlink ref="C1" r:id="rId1" xr:uid="{00000000-0004-0000-0A00-000000000000}"/>
  </hyperlinks>
  <pageMargins left="0.7" right="0.7" top="0.75" bottom="0.75" header="0.3" footer="0.3"/>
  <pageSetup paperSize="9" orientation="portrait" horizontalDpi="4294967293"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56"/>
  <sheetViews>
    <sheetView workbookViewId="0">
      <selection activeCell="B1" sqref="B1"/>
    </sheetView>
  </sheetViews>
  <sheetFormatPr defaultRowHeight="14.4" x14ac:dyDescent="0.3"/>
  <cols>
    <col min="1" max="1" width="9.44140625" bestFit="1" customWidth="1"/>
    <col min="2" max="2" width="10.33203125" bestFit="1" customWidth="1"/>
    <col min="4" max="5" width="5.6640625" customWidth="1"/>
    <col min="6" max="6" width="22.33203125" bestFit="1" customWidth="1"/>
    <col min="7" max="8" width="5.6640625" customWidth="1"/>
    <col min="9" max="9" width="71.6640625" bestFit="1" customWidth="1"/>
    <col min="12" max="12" width="24.44140625" customWidth="1"/>
    <col min="13" max="14" width="5.6640625" customWidth="1"/>
    <col min="15" max="15" width="33.6640625" customWidth="1"/>
    <col min="16" max="16" width="5.6640625" customWidth="1"/>
    <col min="17" max="17" width="21" bestFit="1" customWidth="1"/>
    <col min="18" max="18" width="5.6640625" customWidth="1"/>
    <col min="19" max="19" width="69.6640625" bestFit="1" customWidth="1"/>
  </cols>
  <sheetData>
    <row r="1" spans="1:31" x14ac:dyDescent="0.3">
      <c r="A1" t="s">
        <v>316</v>
      </c>
      <c r="B1" s="265" t="s">
        <v>317</v>
      </c>
      <c r="C1" s="83"/>
      <c r="D1" s="83"/>
      <c r="E1" s="83"/>
      <c r="F1" s="83"/>
      <c r="G1" s="83"/>
      <c r="H1" s="83"/>
      <c r="I1" s="83"/>
      <c r="J1" s="83"/>
      <c r="K1" s="83"/>
      <c r="L1" s="83"/>
      <c r="M1" s="83"/>
      <c r="N1" s="92"/>
      <c r="O1" s="83"/>
      <c r="P1" s="83"/>
      <c r="Q1" s="83"/>
      <c r="R1" s="83"/>
      <c r="S1" s="83"/>
      <c r="T1" s="83"/>
      <c r="U1" s="83"/>
      <c r="V1" s="83"/>
      <c r="W1" s="83"/>
      <c r="X1" s="83"/>
      <c r="Y1" s="83"/>
      <c r="Z1" s="83"/>
      <c r="AA1" s="83"/>
      <c r="AB1" s="83"/>
      <c r="AC1" s="83"/>
      <c r="AD1" s="83"/>
      <c r="AE1" s="83"/>
    </row>
    <row r="2" spans="1:31" ht="15" thickBot="1" x14ac:dyDescent="0.35">
      <c r="F2" t="s">
        <v>318</v>
      </c>
      <c r="I2" s="84" t="s">
        <v>319</v>
      </c>
      <c r="J2" s="124"/>
      <c r="O2" t="s">
        <v>514</v>
      </c>
      <c r="S2" s="84" t="s">
        <v>319</v>
      </c>
    </row>
    <row r="3" spans="1:31" ht="15" customHeight="1" x14ac:dyDescent="0.3">
      <c r="A3">
        <v>720</v>
      </c>
      <c r="B3" s="36" t="s">
        <v>111</v>
      </c>
      <c r="C3" s="35" t="s">
        <v>59</v>
      </c>
      <c r="D3" t="str">
        <f>IF(MID(B1,1,10)="Paste here","",MID(B1,1,10))</f>
        <v/>
      </c>
      <c r="F3" s="35" t="str">
        <f>A3&amp;B3&amp;C3&amp;D3</f>
        <v>7200401</v>
      </c>
      <c r="I3" s="109" t="s">
        <v>1780</v>
      </c>
      <c r="J3" s="124"/>
      <c r="K3" s="114" t="s">
        <v>449</v>
      </c>
      <c r="L3" s="115" t="str">
        <f>IF(MID(B1,1,96)="Paste here","",MID(B1,1,96))</f>
        <v/>
      </c>
      <c r="M3" t="s">
        <v>63</v>
      </c>
      <c r="N3" t="s">
        <v>63</v>
      </c>
      <c r="O3" s="267"/>
      <c r="Q3" s="119" t="s">
        <v>491</v>
      </c>
      <c r="S3" s="109" t="s">
        <v>1780</v>
      </c>
    </row>
    <row r="4" spans="1:31" x14ac:dyDescent="0.3">
      <c r="A4">
        <v>720</v>
      </c>
      <c r="B4" s="35" t="str">
        <f>$B$3</f>
        <v>04</v>
      </c>
      <c r="C4" s="35" t="s">
        <v>77</v>
      </c>
      <c r="D4" t="str">
        <f>MID(B1,11,10)</f>
        <v/>
      </c>
      <c r="F4" s="35" t="str">
        <f t="shared" ref="F4:F30" si="0">A4&amp;B4&amp;C4&amp;D4</f>
        <v>7200402</v>
      </c>
      <c r="I4" s="264" t="s">
        <v>1781</v>
      </c>
      <c r="J4" s="124"/>
      <c r="K4" s="114" t="s">
        <v>450</v>
      </c>
      <c r="L4" s="116" t="str">
        <f>MID(B1,69,12)</f>
        <v/>
      </c>
      <c r="O4" s="166"/>
      <c r="Q4" s="120" t="s">
        <v>492</v>
      </c>
      <c r="S4" s="264" t="s">
        <v>1781</v>
      </c>
    </row>
    <row r="5" spans="1:31" x14ac:dyDescent="0.3">
      <c r="A5">
        <v>720</v>
      </c>
      <c r="B5" s="35" t="str">
        <f t="shared" ref="B5:B55" si="1">$B$3</f>
        <v>04</v>
      </c>
      <c r="C5" s="35" t="s">
        <v>93</v>
      </c>
      <c r="D5" t="str">
        <f>MID(B1,21,10)</f>
        <v/>
      </c>
      <c r="F5" s="35" t="str">
        <f t="shared" si="0"/>
        <v>7200403</v>
      </c>
      <c r="I5" s="108" t="s">
        <v>348</v>
      </c>
      <c r="J5" s="124"/>
      <c r="K5" s="114" t="s">
        <v>452</v>
      </c>
      <c r="L5" s="116" t="str">
        <f>MID(B1,85,12)</f>
        <v/>
      </c>
      <c r="O5" s="166"/>
      <c r="Q5" s="120" t="s">
        <v>493</v>
      </c>
      <c r="S5" s="108" t="s">
        <v>348</v>
      </c>
    </row>
    <row r="6" spans="1:31" x14ac:dyDescent="0.3">
      <c r="A6">
        <v>720</v>
      </c>
      <c r="B6" s="35" t="str">
        <f t="shared" si="1"/>
        <v>04</v>
      </c>
      <c r="C6" s="35" t="s">
        <v>111</v>
      </c>
      <c r="D6" t="str">
        <f>MID(B1,31,10)</f>
        <v/>
      </c>
      <c r="F6" s="35" t="str">
        <f t="shared" si="0"/>
        <v>7200404</v>
      </c>
      <c r="I6" s="108" t="s">
        <v>320</v>
      </c>
      <c r="J6" s="124"/>
      <c r="K6" s="114" t="s">
        <v>454</v>
      </c>
      <c r="L6" s="116" t="str">
        <f>MID(B1,101,12)</f>
        <v/>
      </c>
      <c r="O6" s="166"/>
      <c r="Q6" s="120" t="s">
        <v>494</v>
      </c>
      <c r="S6" s="108" t="s">
        <v>320</v>
      </c>
    </row>
    <row r="7" spans="1:31" x14ac:dyDescent="0.3">
      <c r="A7">
        <v>720</v>
      </c>
      <c r="B7" s="35" t="str">
        <f t="shared" si="1"/>
        <v>04</v>
      </c>
      <c r="C7" s="35" t="s">
        <v>113</v>
      </c>
      <c r="D7" t="str">
        <f>MID(B1,41,10)</f>
        <v/>
      </c>
      <c r="F7" s="35" t="str">
        <f t="shared" si="0"/>
        <v>7200405</v>
      </c>
      <c r="I7" s="108" t="s">
        <v>321</v>
      </c>
      <c r="J7" s="124"/>
      <c r="K7" s="114" t="s">
        <v>455</v>
      </c>
      <c r="L7" s="116" t="str">
        <f>MID(B1,117,12)</f>
        <v/>
      </c>
      <c r="O7" s="166"/>
      <c r="Q7" s="121" t="s">
        <v>495</v>
      </c>
      <c r="S7" s="108" t="s">
        <v>321</v>
      </c>
    </row>
    <row r="8" spans="1:31" x14ac:dyDescent="0.3">
      <c r="A8">
        <v>720</v>
      </c>
      <c r="B8" s="35" t="str">
        <f t="shared" si="1"/>
        <v>04</v>
      </c>
      <c r="C8" s="35" t="s">
        <v>227</v>
      </c>
      <c r="D8" t="str">
        <f>MID(B1,51,10)</f>
        <v/>
      </c>
      <c r="F8" s="35" t="str">
        <f t="shared" si="0"/>
        <v>7200406</v>
      </c>
      <c r="I8" s="108" t="s">
        <v>322</v>
      </c>
      <c r="J8" s="124"/>
      <c r="K8" s="114" t="s">
        <v>457</v>
      </c>
      <c r="L8" s="116" t="str">
        <f>MID(B1,133,12)</f>
        <v/>
      </c>
      <c r="O8" s="166"/>
      <c r="Q8" s="121" t="s">
        <v>496</v>
      </c>
      <c r="S8" s="108" t="s">
        <v>322</v>
      </c>
    </row>
    <row r="9" spans="1:31" x14ac:dyDescent="0.3">
      <c r="A9">
        <v>720</v>
      </c>
      <c r="B9" s="35" t="str">
        <f t="shared" si="1"/>
        <v>04</v>
      </c>
      <c r="C9" s="35" t="s">
        <v>57</v>
      </c>
      <c r="D9" t="str">
        <f>MID(B1,61,10)</f>
        <v/>
      </c>
      <c r="F9" s="35" t="str">
        <f t="shared" si="0"/>
        <v>7200407</v>
      </c>
      <c r="I9" s="108" t="s">
        <v>323</v>
      </c>
      <c r="J9" s="124"/>
      <c r="K9" s="114" t="s">
        <v>458</v>
      </c>
      <c r="L9" s="116" t="str">
        <f>MID(B1,149,12)</f>
        <v/>
      </c>
      <c r="O9" s="166"/>
      <c r="Q9" s="121" t="s">
        <v>497</v>
      </c>
      <c r="S9" s="108" t="s">
        <v>323</v>
      </c>
    </row>
    <row r="10" spans="1:31" x14ac:dyDescent="0.3">
      <c r="A10">
        <v>720</v>
      </c>
      <c r="B10" s="35" t="str">
        <f t="shared" si="1"/>
        <v>04</v>
      </c>
      <c r="C10" s="35" t="s">
        <v>231</v>
      </c>
      <c r="D10" t="str">
        <f>MID(B1,71,10)</f>
        <v/>
      </c>
      <c r="F10" s="35" t="str">
        <f t="shared" si="0"/>
        <v>7200408</v>
      </c>
      <c r="I10" s="108" t="s">
        <v>324</v>
      </c>
      <c r="J10" s="124"/>
      <c r="K10" s="114" t="s">
        <v>460</v>
      </c>
      <c r="L10" s="116" t="str">
        <f>MID(B1,165,12)</f>
        <v/>
      </c>
      <c r="O10" s="166"/>
      <c r="Q10" s="121" t="s">
        <v>498</v>
      </c>
      <c r="S10" s="108" t="s">
        <v>324</v>
      </c>
    </row>
    <row r="11" spans="1:31" x14ac:dyDescent="0.3">
      <c r="A11">
        <v>720</v>
      </c>
      <c r="B11" s="35" t="str">
        <f t="shared" si="1"/>
        <v>04</v>
      </c>
      <c r="C11" s="35" t="s">
        <v>234</v>
      </c>
      <c r="D11" t="str">
        <f>MID(B1,81,10)</f>
        <v/>
      </c>
      <c r="F11" s="35" t="str">
        <f t="shared" si="0"/>
        <v>7200409</v>
      </c>
      <c r="I11" s="109" t="s">
        <v>1237</v>
      </c>
      <c r="J11" s="124"/>
      <c r="K11" s="114" t="s">
        <v>462</v>
      </c>
      <c r="L11" s="116" t="str">
        <f>MID(B1,181,12)</f>
        <v/>
      </c>
      <c r="O11" s="166"/>
      <c r="Q11" s="121" t="s">
        <v>499</v>
      </c>
      <c r="S11" s="109" t="s">
        <v>1237</v>
      </c>
    </row>
    <row r="12" spans="1:31" x14ac:dyDescent="0.3">
      <c r="A12">
        <v>720</v>
      </c>
      <c r="B12" s="35" t="str">
        <f t="shared" si="1"/>
        <v>04</v>
      </c>
      <c r="C12" s="35" t="s">
        <v>241</v>
      </c>
      <c r="D12" t="str">
        <f>MID(B1,91,10)</f>
        <v/>
      </c>
      <c r="F12" s="35" t="str">
        <f t="shared" si="0"/>
        <v>7200410</v>
      </c>
      <c r="I12" s="108" t="s">
        <v>325</v>
      </c>
      <c r="J12" s="124"/>
      <c r="K12" s="114" t="s">
        <v>464</v>
      </c>
      <c r="L12" s="116" t="str">
        <f>MID(B1,197,12)</f>
        <v/>
      </c>
      <c r="O12" s="166"/>
      <c r="Q12" s="121" t="s">
        <v>500</v>
      </c>
      <c r="S12" s="263" t="s">
        <v>1234</v>
      </c>
    </row>
    <row r="13" spans="1:31" x14ac:dyDescent="0.3">
      <c r="A13">
        <v>720</v>
      </c>
      <c r="B13" s="35" t="str">
        <f t="shared" si="1"/>
        <v>04</v>
      </c>
      <c r="C13" s="35" t="s">
        <v>246</v>
      </c>
      <c r="D13" t="str">
        <f>MID(B1,101,10)</f>
        <v/>
      </c>
      <c r="F13" s="35" t="str">
        <f t="shared" si="0"/>
        <v>7200411</v>
      </c>
      <c r="I13" s="109" t="s">
        <v>1603</v>
      </c>
      <c r="J13" s="124"/>
      <c r="K13" s="114" t="s">
        <v>466</v>
      </c>
      <c r="L13" s="116" t="str">
        <f>MID(B1,213,12)</f>
        <v/>
      </c>
      <c r="O13" s="166"/>
      <c r="Q13" s="121" t="s">
        <v>501</v>
      </c>
      <c r="S13" s="263" t="s">
        <v>1235</v>
      </c>
    </row>
    <row r="14" spans="1:31" x14ac:dyDescent="0.3">
      <c r="A14">
        <v>720</v>
      </c>
      <c r="B14" s="35" t="str">
        <f t="shared" si="1"/>
        <v>04</v>
      </c>
      <c r="C14" s="35" t="s">
        <v>249</v>
      </c>
      <c r="D14" t="str">
        <f>MID(B1,111,10)</f>
        <v/>
      </c>
      <c r="F14" s="35" t="str">
        <f t="shared" si="0"/>
        <v>7200412</v>
      </c>
      <c r="J14" s="124"/>
      <c r="K14" s="114" t="s">
        <v>468</v>
      </c>
      <c r="L14" s="116" t="str">
        <f>MID(B1,229,12)</f>
        <v/>
      </c>
      <c r="O14" s="166"/>
      <c r="Q14" s="121" t="s">
        <v>502</v>
      </c>
      <c r="S14" s="263" t="s">
        <v>1236</v>
      </c>
    </row>
    <row r="15" spans="1:31" x14ac:dyDescent="0.3">
      <c r="A15">
        <v>720</v>
      </c>
      <c r="B15" s="35" t="str">
        <f t="shared" si="1"/>
        <v>04</v>
      </c>
      <c r="C15" s="35" t="s">
        <v>251</v>
      </c>
      <c r="D15" t="str">
        <f>MID(B1,121,10)</f>
        <v/>
      </c>
      <c r="F15" s="35" t="str">
        <f t="shared" si="0"/>
        <v>7200413</v>
      </c>
      <c r="J15" s="124"/>
      <c r="K15" s="114" t="s">
        <v>470</v>
      </c>
      <c r="L15" s="116" t="str">
        <f>MID(B1,245,12)</f>
        <v/>
      </c>
      <c r="O15" s="166"/>
      <c r="Q15" s="121" t="s">
        <v>503</v>
      </c>
      <c r="S15" s="109" t="s">
        <v>1238</v>
      </c>
    </row>
    <row r="16" spans="1:31" x14ac:dyDescent="0.3">
      <c r="A16">
        <v>720</v>
      </c>
      <c r="B16" s="35" t="str">
        <f t="shared" si="1"/>
        <v>04</v>
      </c>
      <c r="C16" s="35" t="s">
        <v>254</v>
      </c>
      <c r="D16" t="str">
        <f>MID(B1,131,10)</f>
        <v/>
      </c>
      <c r="F16" s="35" t="str">
        <f t="shared" si="0"/>
        <v>7200414</v>
      </c>
      <c r="J16" s="124"/>
      <c r="K16" s="114" t="s">
        <v>472</v>
      </c>
      <c r="L16" s="116" t="str">
        <f>MID(B1,261,12)</f>
        <v/>
      </c>
      <c r="O16" s="166"/>
      <c r="Q16" s="121" t="s">
        <v>504</v>
      </c>
    </row>
    <row r="17" spans="1:19" x14ac:dyDescent="0.3">
      <c r="A17">
        <v>720</v>
      </c>
      <c r="B17" s="35" t="str">
        <f t="shared" si="1"/>
        <v>04</v>
      </c>
      <c r="C17" s="35" t="s">
        <v>257</v>
      </c>
      <c r="D17" t="str">
        <f>MID(B1,141,10)</f>
        <v/>
      </c>
      <c r="F17" s="35" t="str">
        <f t="shared" si="0"/>
        <v>7200415</v>
      </c>
      <c r="J17" s="124"/>
      <c r="K17" s="114" t="s">
        <v>474</v>
      </c>
      <c r="L17" s="117" t="str">
        <f>MID(B1,277,12)</f>
        <v/>
      </c>
      <c r="O17" s="181" t="s">
        <v>475</v>
      </c>
      <c r="Q17" s="122" t="s">
        <v>505</v>
      </c>
      <c r="S17" s="264" t="s">
        <v>1239</v>
      </c>
    </row>
    <row r="18" spans="1:19" x14ac:dyDescent="0.3">
      <c r="A18">
        <v>720</v>
      </c>
      <c r="B18" s="35" t="str">
        <f t="shared" si="1"/>
        <v>04</v>
      </c>
      <c r="C18" s="35" t="s">
        <v>258</v>
      </c>
      <c r="D18" t="str">
        <f>MID(B1,151,10)</f>
        <v/>
      </c>
      <c r="F18" s="35" t="str">
        <f t="shared" si="0"/>
        <v>7200416</v>
      </c>
      <c r="J18" s="124"/>
      <c r="K18" s="114" t="s">
        <v>476</v>
      </c>
      <c r="L18" s="116" t="str">
        <f>MID(B1,293,12)</f>
        <v/>
      </c>
      <c r="O18" s="166" t="s">
        <v>475</v>
      </c>
      <c r="Q18" s="121" t="s">
        <v>506</v>
      </c>
    </row>
    <row r="19" spans="1:19" x14ac:dyDescent="0.3">
      <c r="A19">
        <v>720</v>
      </c>
      <c r="B19" s="35" t="str">
        <f t="shared" si="1"/>
        <v>04</v>
      </c>
      <c r="C19" s="35" t="s">
        <v>262</v>
      </c>
      <c r="D19" t="str">
        <f>MID(B1,161,10)</f>
        <v/>
      </c>
      <c r="F19" s="35" t="str">
        <f t="shared" si="0"/>
        <v>7200417</v>
      </c>
      <c r="J19" s="124"/>
      <c r="K19" s="114" t="s">
        <v>477</v>
      </c>
      <c r="L19" s="116" t="str">
        <f>MID(B1,309,12)</f>
        <v/>
      </c>
      <c r="O19" s="166" t="s">
        <v>475</v>
      </c>
      <c r="Q19" s="121" t="s">
        <v>507</v>
      </c>
    </row>
    <row r="20" spans="1:19" x14ac:dyDescent="0.3">
      <c r="A20">
        <v>720</v>
      </c>
      <c r="B20" s="35" t="str">
        <f t="shared" si="1"/>
        <v>04</v>
      </c>
      <c r="C20" s="35" t="s">
        <v>264</v>
      </c>
      <c r="D20" t="str">
        <f>MID(B1,171,10)</f>
        <v/>
      </c>
      <c r="F20" s="35" t="str">
        <f t="shared" si="0"/>
        <v>7200418</v>
      </c>
      <c r="J20" s="124"/>
      <c r="K20" s="114" t="s">
        <v>478</v>
      </c>
      <c r="L20" s="116" t="str">
        <f>MID(B1,325,12)</f>
        <v/>
      </c>
      <c r="O20" s="166" t="s">
        <v>475</v>
      </c>
      <c r="Q20" s="121" t="s">
        <v>508</v>
      </c>
    </row>
    <row r="21" spans="1:19" x14ac:dyDescent="0.3">
      <c r="A21">
        <v>720</v>
      </c>
      <c r="B21" s="35" t="str">
        <f t="shared" si="1"/>
        <v>04</v>
      </c>
      <c r="C21" s="35" t="s">
        <v>265</v>
      </c>
      <c r="D21" t="str">
        <f>MID(B1,181,10)</f>
        <v/>
      </c>
      <c r="F21" s="35" t="str">
        <f t="shared" si="0"/>
        <v>7200419</v>
      </c>
      <c r="J21" s="124"/>
      <c r="K21" s="114" t="s">
        <v>479</v>
      </c>
      <c r="L21" s="116" t="str">
        <f>MID(B1,341,12)</f>
        <v/>
      </c>
      <c r="O21" s="166" t="s">
        <v>475</v>
      </c>
      <c r="Q21" s="121" t="s">
        <v>509</v>
      </c>
    </row>
    <row r="22" spans="1:19" x14ac:dyDescent="0.3">
      <c r="A22">
        <v>720</v>
      </c>
      <c r="B22" s="35" t="str">
        <f t="shared" si="1"/>
        <v>04</v>
      </c>
      <c r="C22" s="35" t="s">
        <v>130</v>
      </c>
      <c r="D22" t="str">
        <f>MID(B1,191,10)</f>
        <v/>
      </c>
      <c r="F22" s="35" t="str">
        <f t="shared" si="0"/>
        <v>7200420</v>
      </c>
      <c r="J22" s="124"/>
      <c r="K22" s="114" t="s">
        <v>480</v>
      </c>
      <c r="L22" s="118" t="str">
        <f>MID(B1,357,12)</f>
        <v/>
      </c>
      <c r="O22" s="266" t="s">
        <v>475</v>
      </c>
      <c r="Q22" s="121" t="s">
        <v>510</v>
      </c>
    </row>
    <row r="23" spans="1:19" x14ac:dyDescent="0.3">
      <c r="A23">
        <v>720</v>
      </c>
      <c r="B23" s="35" t="str">
        <f t="shared" si="1"/>
        <v>04</v>
      </c>
      <c r="C23" s="35" t="s">
        <v>268</v>
      </c>
      <c r="D23" t="str">
        <f>MID(B1,201,10)</f>
        <v/>
      </c>
      <c r="F23" s="35" t="str">
        <f t="shared" si="0"/>
        <v>7200421</v>
      </c>
      <c r="J23" s="124"/>
      <c r="K23" s="114" t="s">
        <v>481</v>
      </c>
      <c r="L23" s="116" t="str">
        <f>MID(B1,373,12)</f>
        <v/>
      </c>
      <c r="O23" s="166" t="s">
        <v>475</v>
      </c>
      <c r="Q23" s="121" t="s">
        <v>511</v>
      </c>
    </row>
    <row r="24" spans="1:19" x14ac:dyDescent="0.3">
      <c r="A24">
        <v>720</v>
      </c>
      <c r="B24" s="35" t="str">
        <f t="shared" si="1"/>
        <v>04</v>
      </c>
      <c r="C24" s="35" t="s">
        <v>270</v>
      </c>
      <c r="D24" t="str">
        <f>MID(B1,211,10)</f>
        <v/>
      </c>
      <c r="F24" s="35" t="str">
        <f t="shared" si="0"/>
        <v>7200422</v>
      </c>
      <c r="J24" s="124"/>
      <c r="K24" s="114" t="s">
        <v>482</v>
      </c>
      <c r="L24" s="116" t="str">
        <f>MID(B1,389,12)</f>
        <v/>
      </c>
      <c r="O24" s="166" t="s">
        <v>475</v>
      </c>
      <c r="Q24" s="121" t="s">
        <v>512</v>
      </c>
    </row>
    <row r="25" spans="1:19" x14ac:dyDescent="0.3">
      <c r="A25">
        <v>720</v>
      </c>
      <c r="B25" s="35" t="str">
        <f t="shared" si="1"/>
        <v>04</v>
      </c>
      <c r="C25" s="35" t="s">
        <v>273</v>
      </c>
      <c r="D25" t="str">
        <f>MID(B1,221,10)</f>
        <v/>
      </c>
      <c r="F25" s="35" t="str">
        <f t="shared" si="0"/>
        <v>7200423</v>
      </c>
      <c r="J25" s="124"/>
      <c r="K25" s="114" t="s">
        <v>483</v>
      </c>
      <c r="L25" s="116" t="str">
        <f>MID(B1,405,12)</f>
        <v/>
      </c>
      <c r="O25" s="166" t="s">
        <v>475</v>
      </c>
      <c r="Q25" s="121" t="s">
        <v>513</v>
      </c>
    </row>
    <row r="26" spans="1:19" x14ac:dyDescent="0.3">
      <c r="A26">
        <v>720</v>
      </c>
      <c r="B26" s="35" t="str">
        <f t="shared" si="1"/>
        <v>04</v>
      </c>
      <c r="C26" s="35" t="s">
        <v>274</v>
      </c>
      <c r="D26" t="str">
        <f>MID(B1,231,10)</f>
        <v/>
      </c>
      <c r="F26" s="35" t="str">
        <f t="shared" si="0"/>
        <v>7200424</v>
      </c>
      <c r="J26" s="124"/>
      <c r="K26" s="114" t="s">
        <v>484</v>
      </c>
      <c r="L26" s="116" t="str">
        <f>MID(B1,421,12)</f>
        <v/>
      </c>
      <c r="O26" s="166" t="s">
        <v>475</v>
      </c>
      <c r="Q26" s="123"/>
    </row>
    <row r="27" spans="1:19" x14ac:dyDescent="0.3">
      <c r="A27">
        <v>720</v>
      </c>
      <c r="B27" s="35" t="str">
        <f t="shared" si="1"/>
        <v>04</v>
      </c>
      <c r="C27" s="35" t="s">
        <v>276</v>
      </c>
      <c r="D27" t="str">
        <f>MID(B1,241,10)</f>
        <v/>
      </c>
      <c r="F27" s="35" t="str">
        <f t="shared" si="0"/>
        <v>7200425</v>
      </c>
      <c r="J27" s="124"/>
      <c r="K27" s="114" t="s">
        <v>485</v>
      </c>
      <c r="L27" s="116" t="str">
        <f>MID(B1,437,12)</f>
        <v/>
      </c>
      <c r="O27" s="166" t="s">
        <v>475</v>
      </c>
    </row>
    <row r="28" spans="1:19" x14ac:dyDescent="0.3">
      <c r="A28">
        <v>720</v>
      </c>
      <c r="B28" s="35" t="str">
        <f t="shared" si="1"/>
        <v>04</v>
      </c>
      <c r="C28" s="35" t="s">
        <v>100</v>
      </c>
      <c r="D28" t="str">
        <f>MID(B1,251,10)</f>
        <v/>
      </c>
      <c r="F28" s="35" t="str">
        <f t="shared" si="0"/>
        <v>7200426</v>
      </c>
      <c r="J28" s="124"/>
      <c r="K28" s="114" t="s">
        <v>486</v>
      </c>
      <c r="L28" s="116" t="str">
        <f>MID(B1,453,12)</f>
        <v/>
      </c>
      <c r="O28" s="166" t="s">
        <v>475</v>
      </c>
    </row>
    <row r="29" spans="1:19" x14ac:dyDescent="0.3">
      <c r="A29">
        <v>720</v>
      </c>
      <c r="B29" s="35" t="str">
        <f t="shared" si="1"/>
        <v>04</v>
      </c>
      <c r="C29" s="35" t="s">
        <v>278</v>
      </c>
      <c r="D29" t="str">
        <f>MID(B1,261,10)</f>
        <v/>
      </c>
      <c r="F29" s="35" t="str">
        <f t="shared" si="0"/>
        <v>7200427</v>
      </c>
      <c r="J29" s="124"/>
      <c r="K29" s="114" t="s">
        <v>487</v>
      </c>
      <c r="L29" s="116" t="str">
        <f>MID(B1,469,12)</f>
        <v/>
      </c>
      <c r="O29" s="166" t="s">
        <v>475</v>
      </c>
    </row>
    <row r="30" spans="1:19" x14ac:dyDescent="0.3">
      <c r="A30">
        <v>720</v>
      </c>
      <c r="B30" s="35" t="str">
        <f t="shared" si="1"/>
        <v>04</v>
      </c>
      <c r="C30" s="35" t="s">
        <v>279</v>
      </c>
      <c r="D30" t="str">
        <f>MID(B1,271,10)</f>
        <v/>
      </c>
      <c r="F30" s="35" t="str">
        <f t="shared" si="0"/>
        <v>7200428</v>
      </c>
      <c r="J30" s="124"/>
      <c r="K30" s="114" t="s">
        <v>488</v>
      </c>
      <c r="L30" s="116" t="str">
        <f>MID(B1,485,12)</f>
        <v/>
      </c>
      <c r="O30" s="166" t="s">
        <v>475</v>
      </c>
    </row>
    <row r="31" spans="1:19" x14ac:dyDescent="0.3">
      <c r="A31">
        <v>720</v>
      </c>
      <c r="B31" s="35" t="str">
        <f t="shared" si="1"/>
        <v>04</v>
      </c>
      <c r="C31" s="35" t="s">
        <v>295</v>
      </c>
      <c r="D31" t="str">
        <f>MID(B1,281,10)</f>
        <v/>
      </c>
      <c r="F31" t="str">
        <f t="shared" ref="F31:F55" si="2">IF(D31="","",A31&amp;B31&amp;C31&amp;D31)</f>
        <v/>
      </c>
      <c r="J31" s="124"/>
      <c r="K31" s="114" t="s">
        <v>489</v>
      </c>
      <c r="L31" s="116" t="str">
        <f>MID(B1,501,12)</f>
        <v/>
      </c>
      <c r="O31" s="166" t="s">
        <v>475</v>
      </c>
    </row>
    <row r="32" spans="1:19" x14ac:dyDescent="0.3">
      <c r="A32">
        <v>720</v>
      </c>
      <c r="B32" s="35" t="str">
        <f t="shared" si="1"/>
        <v>04</v>
      </c>
      <c r="C32" s="35" t="s">
        <v>143</v>
      </c>
      <c r="D32" t="str">
        <f>MID(B1,291,10)</f>
        <v/>
      </c>
      <c r="F32" t="str">
        <f t="shared" si="2"/>
        <v/>
      </c>
      <c r="J32" s="124"/>
      <c r="K32" s="114" t="s">
        <v>490</v>
      </c>
      <c r="L32" s="116" t="str">
        <f>MID(B1,421,12)</f>
        <v/>
      </c>
      <c r="O32" s="166" t="s">
        <v>475</v>
      </c>
    </row>
    <row r="33" spans="1:11" x14ac:dyDescent="0.3">
      <c r="A33">
        <v>720</v>
      </c>
      <c r="B33" s="35" t="str">
        <f t="shared" si="1"/>
        <v>04</v>
      </c>
      <c r="C33" s="35" t="s">
        <v>116</v>
      </c>
      <c r="D33" t="str">
        <f>MID(B1,301,10)</f>
        <v/>
      </c>
      <c r="F33" t="str">
        <f t="shared" si="2"/>
        <v/>
      </c>
      <c r="J33" s="124"/>
      <c r="K33" s="35"/>
    </row>
    <row r="34" spans="1:11" x14ac:dyDescent="0.3">
      <c r="A34">
        <v>720</v>
      </c>
      <c r="B34" s="35" t="str">
        <f t="shared" si="1"/>
        <v>04</v>
      </c>
      <c r="C34" s="35" t="s">
        <v>145</v>
      </c>
      <c r="D34" t="str">
        <f>MID(B1,311,10)</f>
        <v/>
      </c>
      <c r="F34" t="str">
        <f t="shared" si="2"/>
        <v/>
      </c>
      <c r="J34" s="124"/>
      <c r="K34" s="35"/>
    </row>
    <row r="35" spans="1:11" x14ac:dyDescent="0.3">
      <c r="A35">
        <v>720</v>
      </c>
      <c r="B35" s="35" t="str">
        <f t="shared" si="1"/>
        <v>04</v>
      </c>
      <c r="C35" s="35" t="s">
        <v>146</v>
      </c>
      <c r="D35" t="str">
        <f>MID(B1,321,10)</f>
        <v/>
      </c>
      <c r="F35" t="str">
        <f t="shared" si="2"/>
        <v/>
      </c>
      <c r="J35" s="124"/>
      <c r="K35" s="35"/>
    </row>
    <row r="36" spans="1:11" x14ac:dyDescent="0.3">
      <c r="A36">
        <v>720</v>
      </c>
      <c r="B36" s="35" t="str">
        <f t="shared" si="1"/>
        <v>04</v>
      </c>
      <c r="C36" s="35" t="s">
        <v>148</v>
      </c>
      <c r="D36" t="str">
        <f>MID(B1,331,10)</f>
        <v/>
      </c>
      <c r="F36" t="str">
        <f t="shared" si="2"/>
        <v/>
      </c>
      <c r="J36" s="124"/>
      <c r="K36" s="35"/>
    </row>
    <row r="37" spans="1:11" x14ac:dyDescent="0.3">
      <c r="A37">
        <v>720</v>
      </c>
      <c r="B37" s="35" t="str">
        <f t="shared" si="1"/>
        <v>04</v>
      </c>
      <c r="C37" s="35" t="s">
        <v>149</v>
      </c>
      <c r="D37" t="str">
        <f>MID(B1,341,10)</f>
        <v/>
      </c>
      <c r="F37" t="str">
        <f t="shared" si="2"/>
        <v/>
      </c>
      <c r="J37" s="124"/>
      <c r="K37" s="35"/>
    </row>
    <row r="38" spans="1:11" x14ac:dyDescent="0.3">
      <c r="A38">
        <v>720</v>
      </c>
      <c r="B38" s="35" t="str">
        <f t="shared" si="1"/>
        <v>04</v>
      </c>
      <c r="C38" s="35" t="s">
        <v>150</v>
      </c>
      <c r="D38" t="str">
        <f>MID(B1,351,10)</f>
        <v/>
      </c>
      <c r="F38" t="str">
        <f t="shared" si="2"/>
        <v/>
      </c>
      <c r="J38" s="124"/>
      <c r="K38" s="35"/>
    </row>
    <row r="39" spans="1:11" x14ac:dyDescent="0.3">
      <c r="A39">
        <v>720</v>
      </c>
      <c r="B39" s="35" t="str">
        <f t="shared" si="1"/>
        <v>04</v>
      </c>
      <c r="C39" s="35" t="s">
        <v>58</v>
      </c>
      <c r="D39" t="str">
        <f>MID(B1,361,10)</f>
        <v/>
      </c>
      <c r="F39" t="str">
        <f t="shared" si="2"/>
        <v/>
      </c>
      <c r="J39" s="124"/>
      <c r="K39" s="35"/>
    </row>
    <row r="40" spans="1:11" x14ac:dyDescent="0.3">
      <c r="A40">
        <v>720</v>
      </c>
      <c r="B40" s="35" t="str">
        <f t="shared" si="1"/>
        <v>04</v>
      </c>
      <c r="C40" s="35" t="s">
        <v>151</v>
      </c>
      <c r="D40" t="str">
        <f>MID(B1,371,10)</f>
        <v/>
      </c>
      <c r="F40" t="str">
        <f t="shared" si="2"/>
        <v/>
      </c>
      <c r="J40" s="124"/>
      <c r="K40" s="35"/>
    </row>
    <row r="41" spans="1:11" x14ac:dyDescent="0.3">
      <c r="A41">
        <v>720</v>
      </c>
      <c r="B41" s="35" t="str">
        <f t="shared" si="1"/>
        <v>04</v>
      </c>
      <c r="C41" s="35" t="s">
        <v>152</v>
      </c>
      <c r="D41" t="str">
        <f>MID(B1,381,10)</f>
        <v/>
      </c>
      <c r="F41" t="str">
        <f t="shared" si="2"/>
        <v/>
      </c>
      <c r="J41" s="124"/>
      <c r="K41" s="35"/>
    </row>
    <row r="42" spans="1:11" x14ac:dyDescent="0.3">
      <c r="A42">
        <v>720</v>
      </c>
      <c r="B42" s="35" t="str">
        <f t="shared" si="1"/>
        <v>04</v>
      </c>
      <c r="C42" s="35" t="s">
        <v>303</v>
      </c>
      <c r="D42" t="str">
        <f>MID(B1,391,10)</f>
        <v/>
      </c>
      <c r="F42" t="str">
        <f t="shared" si="2"/>
        <v/>
      </c>
      <c r="J42" s="124"/>
      <c r="K42" s="35"/>
    </row>
    <row r="43" spans="1:11" x14ac:dyDescent="0.3">
      <c r="A43">
        <v>720</v>
      </c>
      <c r="B43" s="35" t="str">
        <f t="shared" si="1"/>
        <v>04</v>
      </c>
      <c r="C43" s="35" t="s">
        <v>153</v>
      </c>
      <c r="D43" t="str">
        <f>MID(B1,401,10)</f>
        <v/>
      </c>
      <c r="F43" t="str">
        <f t="shared" si="2"/>
        <v/>
      </c>
      <c r="J43" s="124"/>
      <c r="K43" s="35"/>
    </row>
    <row r="44" spans="1:11" x14ac:dyDescent="0.3">
      <c r="A44">
        <v>720</v>
      </c>
      <c r="B44" s="35" t="str">
        <f t="shared" si="1"/>
        <v>04</v>
      </c>
      <c r="C44" s="35" t="s">
        <v>155</v>
      </c>
      <c r="D44" t="str">
        <f>MID(B1,411,10)</f>
        <v/>
      </c>
      <c r="F44" t="str">
        <f t="shared" si="2"/>
        <v/>
      </c>
      <c r="J44" s="124"/>
      <c r="K44" s="35"/>
    </row>
    <row r="45" spans="1:11" x14ac:dyDescent="0.3">
      <c r="A45">
        <v>720</v>
      </c>
      <c r="B45" s="35" t="str">
        <f t="shared" si="1"/>
        <v>04</v>
      </c>
      <c r="C45" s="35" t="s">
        <v>159</v>
      </c>
      <c r="D45" t="str">
        <f>MID(B1,421,10)</f>
        <v/>
      </c>
      <c r="F45" t="str">
        <f t="shared" si="2"/>
        <v/>
      </c>
      <c r="J45" s="124"/>
      <c r="K45" s="35"/>
    </row>
    <row r="46" spans="1:11" x14ac:dyDescent="0.3">
      <c r="A46">
        <v>720</v>
      </c>
      <c r="B46" s="35" t="str">
        <f t="shared" si="1"/>
        <v>04</v>
      </c>
      <c r="C46" s="35" t="s">
        <v>161</v>
      </c>
      <c r="D46" t="str">
        <f>MID(B1,431,10)</f>
        <v/>
      </c>
      <c r="F46" t="str">
        <f t="shared" si="2"/>
        <v/>
      </c>
      <c r="J46" s="124"/>
      <c r="K46" s="35"/>
    </row>
    <row r="47" spans="1:11" x14ac:dyDescent="0.3">
      <c r="A47">
        <v>720</v>
      </c>
      <c r="B47" s="35" t="str">
        <f t="shared" si="1"/>
        <v>04</v>
      </c>
      <c r="C47" s="35" t="s">
        <v>163</v>
      </c>
      <c r="D47" t="str">
        <f>MID(B1,441,10)</f>
        <v/>
      </c>
      <c r="F47" t="str">
        <f t="shared" si="2"/>
        <v/>
      </c>
      <c r="J47" s="124"/>
      <c r="K47" s="35"/>
    </row>
    <row r="48" spans="1:11" x14ac:dyDescent="0.3">
      <c r="A48">
        <v>720</v>
      </c>
      <c r="B48" s="35" t="str">
        <f t="shared" si="1"/>
        <v>04</v>
      </c>
      <c r="C48" s="35" t="s">
        <v>165</v>
      </c>
      <c r="D48" t="str">
        <f>MID(B1,451,10)</f>
        <v/>
      </c>
      <c r="F48" t="str">
        <f t="shared" si="2"/>
        <v/>
      </c>
      <c r="J48" s="124"/>
      <c r="K48" s="35"/>
    </row>
    <row r="49" spans="1:11" x14ac:dyDescent="0.3">
      <c r="A49">
        <v>720</v>
      </c>
      <c r="B49" s="35" t="str">
        <f t="shared" si="1"/>
        <v>04</v>
      </c>
      <c r="C49" s="35" t="s">
        <v>167</v>
      </c>
      <c r="D49" t="str">
        <f>MID(B1,461,10)</f>
        <v/>
      </c>
      <c r="F49" t="str">
        <f t="shared" si="2"/>
        <v/>
      </c>
      <c r="J49" s="124"/>
      <c r="K49" s="35"/>
    </row>
    <row r="50" spans="1:11" x14ac:dyDescent="0.3">
      <c r="A50">
        <v>720</v>
      </c>
      <c r="B50" s="35" t="str">
        <f t="shared" si="1"/>
        <v>04</v>
      </c>
      <c r="C50" s="35" t="s">
        <v>169</v>
      </c>
      <c r="D50" t="str">
        <f>MID(B1,471,10)</f>
        <v/>
      </c>
      <c r="F50" t="str">
        <f t="shared" si="2"/>
        <v/>
      </c>
      <c r="J50" s="124"/>
      <c r="K50" s="35"/>
    </row>
    <row r="51" spans="1:11" x14ac:dyDescent="0.3">
      <c r="A51">
        <v>720</v>
      </c>
      <c r="B51" s="35" t="str">
        <f t="shared" si="1"/>
        <v>04</v>
      </c>
      <c r="C51" s="35" t="s">
        <v>171</v>
      </c>
      <c r="D51" t="str">
        <f>MID(B1,481,10)</f>
        <v/>
      </c>
      <c r="F51" t="str">
        <f t="shared" si="2"/>
        <v/>
      </c>
      <c r="J51" s="124"/>
      <c r="K51" s="35"/>
    </row>
    <row r="52" spans="1:11" x14ac:dyDescent="0.3">
      <c r="A52">
        <v>720</v>
      </c>
      <c r="B52" s="35" t="str">
        <f t="shared" si="1"/>
        <v>04</v>
      </c>
      <c r="C52" s="35" t="s">
        <v>190</v>
      </c>
      <c r="D52" t="str">
        <f>MID(B1,491,10)</f>
        <v/>
      </c>
      <c r="F52" t="str">
        <f t="shared" si="2"/>
        <v/>
      </c>
      <c r="J52" s="124"/>
      <c r="K52" s="35"/>
    </row>
    <row r="53" spans="1:11" x14ac:dyDescent="0.3">
      <c r="A53">
        <v>720</v>
      </c>
      <c r="B53" s="35" t="str">
        <f t="shared" si="1"/>
        <v>04</v>
      </c>
      <c r="C53" s="35" t="s">
        <v>192</v>
      </c>
      <c r="D53" t="str">
        <f>MID(B1,501,10)</f>
        <v/>
      </c>
      <c r="F53" t="str">
        <f t="shared" si="2"/>
        <v/>
      </c>
      <c r="J53" s="124"/>
      <c r="K53" s="35"/>
    </row>
    <row r="54" spans="1:11" x14ac:dyDescent="0.3">
      <c r="A54">
        <v>720</v>
      </c>
      <c r="B54" s="35" t="str">
        <f t="shared" si="1"/>
        <v>04</v>
      </c>
      <c r="C54" s="35" t="s">
        <v>194</v>
      </c>
      <c r="D54" t="str">
        <f>MID(B1,511,10)</f>
        <v/>
      </c>
      <c r="F54" t="str">
        <f t="shared" si="2"/>
        <v/>
      </c>
      <c r="J54" s="124"/>
      <c r="K54" s="35"/>
    </row>
    <row r="55" spans="1:11" x14ac:dyDescent="0.3">
      <c r="A55">
        <v>720</v>
      </c>
      <c r="B55" s="35" t="str">
        <f t="shared" si="1"/>
        <v>04</v>
      </c>
      <c r="C55" s="35" t="s">
        <v>196</v>
      </c>
      <c r="D55" t="str">
        <f>MID(B1,521,10)</f>
        <v/>
      </c>
      <c r="F55" t="str">
        <f t="shared" si="2"/>
        <v/>
      </c>
      <c r="J55" s="124"/>
      <c r="K55" s="35"/>
    </row>
    <row r="56" spans="1:11" x14ac:dyDescent="0.3">
      <c r="J56" s="124"/>
    </row>
  </sheetData>
  <hyperlinks>
    <hyperlink ref="I11" location="'CCC Converter'!B1" display="Insert copied data in B1 cell" xr:uid="{00000000-0004-0000-0B00-000000000000}"/>
    <hyperlink ref="I3" r:id="rId1" xr:uid="{00000000-0004-0000-0B00-000001000000}"/>
    <hyperlink ref="I13" location="IC!A15" display="Paste data into IC sheet in A15 cell as Values" xr:uid="{00000000-0004-0000-0B00-000002000000}"/>
    <hyperlink ref="S11" location="'CCC Converter'!B1" display="Insert copied data in B1 cell" xr:uid="{00000000-0004-0000-0B00-000003000000}"/>
    <hyperlink ref="S15" location="'CCC Research'!C1" display="Paste data into CCC Research sheet in column C (first empty line)" xr:uid="{00000000-0004-0000-0B00-000005000000}"/>
    <hyperlink ref="S17" r:id="rId2" xr:uid="{00000000-0004-0000-0B00-000006000000}"/>
    <hyperlink ref="I4" r:id="rId3" xr:uid="{7BD022CC-8724-41C0-9179-6315A42C77C5}"/>
    <hyperlink ref="S3" r:id="rId4" xr:uid="{87B7AC3E-AB26-4B48-AB09-CD41325C4D72}"/>
    <hyperlink ref="S4" r:id="rId5" xr:uid="{17E76A78-BDBE-4C54-ABC4-EE5EE8398005}"/>
  </hyperlinks>
  <pageMargins left="0.7" right="0.7" top="0.75" bottom="0.75" header="0.3" footer="0.3"/>
  <pageSetup paperSize="9" orientation="portrait" horizontalDpi="300" verticalDpi="300" r:id="rId6"/>
  <legacyDrawing r:id="rId7"/>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V681"/>
  <sheetViews>
    <sheetView workbookViewId="0">
      <pane xSplit="2" ySplit="2" topLeftCell="C45" activePane="bottomRight" state="frozen"/>
      <selection pane="topRight" activeCell="C1" sqref="C1"/>
      <selection pane="bottomLeft" activeCell="A3" sqref="A3"/>
      <selection pane="bottomRight" activeCell="B3" sqref="B3"/>
    </sheetView>
  </sheetViews>
  <sheetFormatPr defaultRowHeight="14.4" x14ac:dyDescent="0.3"/>
  <cols>
    <col min="1" max="1" width="30.5546875" style="261" customWidth="1"/>
    <col min="2" max="2" width="18.6640625" style="261" customWidth="1"/>
    <col min="3" max="3" width="25.44140625" style="259" customWidth="1"/>
    <col min="4" max="4" width="16.33203125" style="177" customWidth="1"/>
    <col min="5" max="5" width="16.33203125" style="178" customWidth="1"/>
    <col min="6" max="6" width="16.33203125" style="33" customWidth="1"/>
    <col min="7" max="15" width="16.33203125" style="257" customWidth="1"/>
    <col min="16" max="16" width="16.33203125" style="260" customWidth="1"/>
    <col min="17" max="17" width="16.33203125" style="21" customWidth="1"/>
    <col min="18" max="18" width="16.33203125" style="257" hidden="1" customWidth="1"/>
    <col min="19" max="21" width="16.33203125" style="257" customWidth="1"/>
    <col min="22" max="22" width="16.33203125" style="258" customWidth="1"/>
    <col min="23" max="32" width="6.6640625" hidden="1" customWidth="1"/>
    <col min="33" max="33" width="2.33203125" style="172" customWidth="1"/>
    <col min="34" max="34" width="15.6640625" style="173" customWidth="1"/>
    <col min="35" max="35" width="15.6640625" style="174" customWidth="1"/>
    <col min="36" max="36" width="12" style="175" customWidth="1"/>
    <col min="37" max="37" width="2.33203125" style="83" customWidth="1"/>
    <col min="38" max="38" width="15.6640625" style="173" customWidth="1"/>
    <col min="39" max="39" width="15.6640625" style="175" customWidth="1"/>
    <col min="40" max="40" width="2.33203125" style="83" customWidth="1"/>
    <col min="41" max="41" width="15.109375" style="177" customWidth="1"/>
    <col min="42" max="42" width="15.109375" style="47" customWidth="1"/>
    <col min="43" max="43" width="14.44140625" style="178" customWidth="1"/>
    <col min="44" max="44" width="2.33203125" style="83" customWidth="1"/>
    <col min="45" max="45" width="15.109375" style="177" customWidth="1"/>
    <col min="46" max="46" width="15.109375" style="50" customWidth="1"/>
    <col min="47" max="47" width="12.88671875" style="178" customWidth="1"/>
    <col min="48" max="48" width="2.33203125" style="179" customWidth="1"/>
  </cols>
  <sheetData>
    <row r="1" spans="1:48" ht="15" thickBot="1" x14ac:dyDescent="0.35">
      <c r="A1" s="125" t="s">
        <v>515</v>
      </c>
      <c r="B1" s="126" t="s">
        <v>127</v>
      </c>
      <c r="C1" s="127"/>
      <c r="D1" s="128" t="s">
        <v>516</v>
      </c>
      <c r="E1" s="129"/>
      <c r="F1" s="130" t="s">
        <v>517</v>
      </c>
      <c r="G1" s="131" t="s">
        <v>518</v>
      </c>
      <c r="H1" s="131" t="s">
        <v>519</v>
      </c>
      <c r="I1" s="131" t="s">
        <v>520</v>
      </c>
      <c r="J1" s="131" t="s">
        <v>521</v>
      </c>
      <c r="K1" s="131" t="s">
        <v>522</v>
      </c>
      <c r="L1" s="131" t="s">
        <v>523</v>
      </c>
      <c r="M1" s="131"/>
      <c r="N1" s="131" t="s">
        <v>524</v>
      </c>
      <c r="O1" s="132" t="s">
        <v>525</v>
      </c>
      <c r="P1" s="133" t="s">
        <v>526</v>
      </c>
      <c r="Q1" s="134" t="s">
        <v>527</v>
      </c>
      <c r="R1" s="132"/>
      <c r="S1" s="131"/>
      <c r="T1" s="131"/>
      <c r="U1" s="131" t="s">
        <v>528</v>
      </c>
      <c r="V1" s="135" t="s">
        <v>529</v>
      </c>
      <c r="W1" s="99"/>
      <c r="X1" s="99"/>
      <c r="Y1" s="99"/>
      <c r="Z1" s="99"/>
      <c r="AA1" s="99"/>
      <c r="AB1" s="99"/>
      <c r="AC1" s="99"/>
      <c r="AD1" s="99"/>
      <c r="AE1" s="99"/>
      <c r="AF1" s="99"/>
      <c r="AG1" s="136"/>
      <c r="AH1" s="585" t="s">
        <v>530</v>
      </c>
      <c r="AI1" s="586"/>
      <c r="AJ1" s="587"/>
      <c r="AK1" s="92"/>
      <c r="AL1" s="588" t="s">
        <v>531</v>
      </c>
      <c r="AM1" s="589"/>
      <c r="AN1" s="92"/>
      <c r="AO1" s="590" t="s">
        <v>532</v>
      </c>
      <c r="AP1" s="591"/>
      <c r="AQ1" s="592"/>
      <c r="AR1" s="92"/>
      <c r="AS1" s="593" t="s">
        <v>533</v>
      </c>
      <c r="AT1" s="594"/>
      <c r="AU1" s="595"/>
      <c r="AV1" s="137"/>
    </row>
    <row r="2" spans="1:48" ht="16.2" thickBot="1" x14ac:dyDescent="0.35">
      <c r="A2" s="138" t="s">
        <v>534</v>
      </c>
      <c r="B2" s="138" t="s">
        <v>127</v>
      </c>
      <c r="C2" s="262" t="s">
        <v>1233</v>
      </c>
      <c r="D2" s="139" t="s">
        <v>450</v>
      </c>
      <c r="E2" s="140" t="s">
        <v>452</v>
      </c>
      <c r="F2" s="141" t="s">
        <v>535</v>
      </c>
      <c r="G2" s="142" t="s">
        <v>536</v>
      </c>
      <c r="H2" s="142" t="s">
        <v>537</v>
      </c>
      <c r="I2" s="142" t="s">
        <v>538</v>
      </c>
      <c r="J2" s="142" t="s">
        <v>460</v>
      </c>
      <c r="K2" s="142" t="s">
        <v>539</v>
      </c>
      <c r="L2" s="142" t="s">
        <v>540</v>
      </c>
      <c r="M2" s="142" t="s">
        <v>541</v>
      </c>
      <c r="N2" s="142" t="s">
        <v>542</v>
      </c>
      <c r="O2" s="142" t="s">
        <v>470</v>
      </c>
      <c r="P2" s="143" t="s">
        <v>472</v>
      </c>
      <c r="Q2" s="144" t="s">
        <v>474</v>
      </c>
      <c r="R2" s="142" t="s">
        <v>476</v>
      </c>
      <c r="S2" s="142" t="s">
        <v>477</v>
      </c>
      <c r="T2" s="142" t="s">
        <v>478</v>
      </c>
      <c r="U2" s="142" t="s">
        <v>479</v>
      </c>
      <c r="V2" s="145" t="s">
        <v>480</v>
      </c>
      <c r="W2" s="146" t="s">
        <v>481</v>
      </c>
      <c r="X2" s="147" t="s">
        <v>482</v>
      </c>
      <c r="Y2" s="147" t="s">
        <v>483</v>
      </c>
      <c r="Z2" s="147" t="s">
        <v>484</v>
      </c>
      <c r="AA2" s="147" t="s">
        <v>485</v>
      </c>
      <c r="AB2" s="147" t="s">
        <v>486</v>
      </c>
      <c r="AC2" s="147" t="s">
        <v>487</v>
      </c>
      <c r="AD2" s="147" t="s">
        <v>488</v>
      </c>
      <c r="AE2" s="147" t="s">
        <v>489</v>
      </c>
      <c r="AF2" s="147" t="s">
        <v>490</v>
      </c>
      <c r="AG2" s="148"/>
      <c r="AH2" s="149" t="s">
        <v>543</v>
      </c>
      <c r="AI2" s="150" t="s">
        <v>544</v>
      </c>
      <c r="AJ2" s="151" t="s">
        <v>545</v>
      </c>
      <c r="AK2" s="152"/>
      <c r="AL2" s="153" t="s">
        <v>546</v>
      </c>
      <c r="AM2" s="154" t="s">
        <v>547</v>
      </c>
      <c r="AN2" s="152"/>
      <c r="AO2" s="155" t="s">
        <v>548</v>
      </c>
      <c r="AP2" s="156" t="s">
        <v>549</v>
      </c>
      <c r="AQ2" s="157" t="s">
        <v>550</v>
      </c>
      <c r="AR2" s="152"/>
      <c r="AS2" s="155" t="s">
        <v>551</v>
      </c>
      <c r="AT2" s="158" t="s">
        <v>552</v>
      </c>
      <c r="AU2" s="157" t="s">
        <v>553</v>
      </c>
      <c r="AV2" s="159"/>
    </row>
    <row r="3" spans="1:48" ht="15" customHeight="1" x14ac:dyDescent="0.3">
      <c r="A3" s="160" t="s">
        <v>554</v>
      </c>
      <c r="B3" s="161" t="s">
        <v>555</v>
      </c>
      <c r="C3" s="162" t="s">
        <v>556</v>
      </c>
      <c r="D3" s="163" t="s">
        <v>557</v>
      </c>
      <c r="E3" s="164" t="s">
        <v>558</v>
      </c>
      <c r="F3" s="165" t="s">
        <v>559</v>
      </c>
      <c r="G3" s="166" t="s">
        <v>560</v>
      </c>
      <c r="H3" s="166" t="s">
        <v>461</v>
      </c>
      <c r="I3" s="166" t="s">
        <v>561</v>
      </c>
      <c r="J3" s="166" t="s">
        <v>461</v>
      </c>
      <c r="K3" s="166" t="s">
        <v>562</v>
      </c>
      <c r="L3" s="166" t="s">
        <v>465</v>
      </c>
      <c r="M3" s="166" t="s">
        <v>563</v>
      </c>
      <c r="N3" s="166" t="s">
        <v>564</v>
      </c>
      <c r="O3" s="166" t="s">
        <v>461</v>
      </c>
      <c r="P3" s="167" t="s">
        <v>565</v>
      </c>
      <c r="Q3" s="168" t="s">
        <v>566</v>
      </c>
      <c r="R3" s="166" t="s">
        <v>567</v>
      </c>
      <c r="S3" s="166" t="s">
        <v>568</v>
      </c>
      <c r="T3" s="166" t="s">
        <v>569</v>
      </c>
      <c r="U3" s="166" t="s">
        <v>570</v>
      </c>
      <c r="V3" s="169" t="s">
        <v>571</v>
      </c>
      <c r="W3" s="170" t="s">
        <v>567</v>
      </c>
      <c r="X3" s="171" t="s">
        <v>567</v>
      </c>
      <c r="Y3" s="171" t="s">
        <v>567</v>
      </c>
      <c r="Z3" s="171" t="s">
        <v>567</v>
      </c>
      <c r="AA3" s="171" t="s">
        <v>567</v>
      </c>
      <c r="AB3" s="171" t="s">
        <v>567</v>
      </c>
      <c r="AC3" s="171" t="s">
        <v>567</v>
      </c>
      <c r="AD3" s="171" t="s">
        <v>567</v>
      </c>
      <c r="AE3" s="171" t="s">
        <v>567</v>
      </c>
      <c r="AF3" s="171" t="s">
        <v>567</v>
      </c>
      <c r="AH3" s="173" t="s">
        <v>572</v>
      </c>
      <c r="AI3" s="174" t="s">
        <v>573</v>
      </c>
      <c r="AJ3" s="175" t="s">
        <v>574</v>
      </c>
      <c r="AL3" s="173" t="s">
        <v>575</v>
      </c>
      <c r="AM3" s="175" t="s">
        <v>576</v>
      </c>
      <c r="AO3" s="173" t="s">
        <v>577</v>
      </c>
      <c r="AP3" s="174" t="s">
        <v>578</v>
      </c>
      <c r="AQ3" s="176"/>
    </row>
    <row r="4" spans="1:48" ht="15" customHeight="1" x14ac:dyDescent="0.3">
      <c r="A4" s="160" t="s">
        <v>579</v>
      </c>
      <c r="B4" s="161" t="s">
        <v>580</v>
      </c>
      <c r="C4" s="162" t="s">
        <v>581</v>
      </c>
      <c r="D4" s="180" t="s">
        <v>557</v>
      </c>
      <c r="E4" s="164" t="s">
        <v>582</v>
      </c>
      <c r="F4" s="165" t="s">
        <v>559</v>
      </c>
      <c r="G4" s="166" t="s">
        <v>560</v>
      </c>
      <c r="H4" s="166" t="s">
        <v>583</v>
      </c>
      <c r="I4" s="166" t="s">
        <v>584</v>
      </c>
      <c r="J4" s="166" t="s">
        <v>461</v>
      </c>
      <c r="K4" s="166" t="s">
        <v>585</v>
      </c>
      <c r="L4" s="166" t="s">
        <v>586</v>
      </c>
      <c r="M4" s="166" t="s">
        <v>587</v>
      </c>
      <c r="N4" s="166" t="s">
        <v>588</v>
      </c>
      <c r="O4" s="166" t="s">
        <v>461</v>
      </c>
      <c r="P4" s="167" t="s">
        <v>565</v>
      </c>
      <c r="Q4" s="168" t="s">
        <v>566</v>
      </c>
      <c r="R4" s="166" t="s">
        <v>567</v>
      </c>
      <c r="S4" s="166" t="s">
        <v>568</v>
      </c>
      <c r="T4" s="181" t="s">
        <v>589</v>
      </c>
      <c r="U4" s="166" t="s">
        <v>570</v>
      </c>
      <c r="V4" s="169" t="s">
        <v>571</v>
      </c>
      <c r="W4" s="165" t="s">
        <v>567</v>
      </c>
      <c r="X4" s="166" t="s">
        <v>567</v>
      </c>
      <c r="Y4" s="166" t="s">
        <v>567</v>
      </c>
      <c r="Z4" s="166" t="s">
        <v>567</v>
      </c>
      <c r="AA4" s="166" t="s">
        <v>567</v>
      </c>
      <c r="AB4" s="166" t="s">
        <v>567</v>
      </c>
      <c r="AC4" s="166" t="s">
        <v>567</v>
      </c>
      <c r="AD4" s="166" t="s">
        <v>567</v>
      </c>
      <c r="AE4" s="166" t="s">
        <v>567</v>
      </c>
      <c r="AF4" s="166" t="s">
        <v>567</v>
      </c>
      <c r="AH4" s="173" t="s">
        <v>590</v>
      </c>
      <c r="AI4" s="174" t="s">
        <v>591</v>
      </c>
      <c r="AJ4" s="175" t="s">
        <v>592</v>
      </c>
      <c r="AL4" s="173" t="s">
        <v>593</v>
      </c>
      <c r="AM4" s="175" t="s">
        <v>594</v>
      </c>
      <c r="AQ4" s="176"/>
    </row>
    <row r="5" spans="1:48" ht="15" customHeight="1" x14ac:dyDescent="0.3">
      <c r="A5" s="182" t="s">
        <v>595</v>
      </c>
      <c r="B5" s="183" t="s">
        <v>596</v>
      </c>
      <c r="C5" s="184" t="s">
        <v>597</v>
      </c>
      <c r="D5" s="185" t="s">
        <v>598</v>
      </c>
      <c r="E5" s="186" t="s">
        <v>599</v>
      </c>
      <c r="F5" s="187" t="s">
        <v>600</v>
      </c>
      <c r="G5" s="188" t="s">
        <v>601</v>
      </c>
      <c r="H5" s="188" t="s">
        <v>602</v>
      </c>
      <c r="I5" s="188" t="s">
        <v>603</v>
      </c>
      <c r="J5" s="188" t="s">
        <v>461</v>
      </c>
      <c r="K5" s="188" t="s">
        <v>604</v>
      </c>
      <c r="L5" s="188" t="s">
        <v>465</v>
      </c>
      <c r="M5" s="188" t="s">
        <v>587</v>
      </c>
      <c r="N5" s="188" t="s">
        <v>463</v>
      </c>
      <c r="O5" s="188" t="s">
        <v>605</v>
      </c>
      <c r="P5" s="189" t="s">
        <v>606</v>
      </c>
      <c r="Q5" s="190" t="s">
        <v>566</v>
      </c>
      <c r="R5" s="188" t="s">
        <v>567</v>
      </c>
      <c r="S5" s="188" t="s">
        <v>607</v>
      </c>
      <c r="T5" s="191" t="s">
        <v>608</v>
      </c>
      <c r="U5" s="188" t="s">
        <v>609</v>
      </c>
      <c r="V5" s="192" t="s">
        <v>610</v>
      </c>
      <c r="W5" s="187" t="s">
        <v>567</v>
      </c>
      <c r="X5" s="188" t="s">
        <v>567</v>
      </c>
      <c r="Y5" s="188" t="s">
        <v>567</v>
      </c>
      <c r="Z5" s="188" t="s">
        <v>567</v>
      </c>
      <c r="AA5" s="188" t="s">
        <v>567</v>
      </c>
      <c r="AB5" s="188" t="s">
        <v>567</v>
      </c>
      <c r="AC5" s="188" t="s">
        <v>567</v>
      </c>
      <c r="AD5" s="188" t="s">
        <v>567</v>
      </c>
      <c r="AE5" s="188" t="s">
        <v>567</v>
      </c>
      <c r="AF5" s="188" t="s">
        <v>567</v>
      </c>
      <c r="AG5" s="193"/>
      <c r="AH5" s="194" t="s">
        <v>611</v>
      </c>
      <c r="AI5" s="195" t="s">
        <v>612</v>
      </c>
      <c r="AJ5" s="196" t="s">
        <v>613</v>
      </c>
      <c r="AK5" s="197"/>
      <c r="AQ5" s="176"/>
    </row>
    <row r="6" spans="1:48" ht="15" customHeight="1" x14ac:dyDescent="0.3">
      <c r="A6" s="182" t="s">
        <v>614</v>
      </c>
      <c r="B6" s="183" t="s">
        <v>615</v>
      </c>
      <c r="C6" s="184" t="s">
        <v>616</v>
      </c>
      <c r="D6" s="198" t="s">
        <v>557</v>
      </c>
      <c r="E6" s="186" t="s">
        <v>582</v>
      </c>
      <c r="F6" s="187" t="s">
        <v>617</v>
      </c>
      <c r="G6" s="188" t="s">
        <v>618</v>
      </c>
      <c r="H6" s="188" t="s">
        <v>583</v>
      </c>
      <c r="I6" s="188" t="s">
        <v>584</v>
      </c>
      <c r="J6" s="188" t="s">
        <v>461</v>
      </c>
      <c r="K6" s="188" t="s">
        <v>604</v>
      </c>
      <c r="L6" s="188" t="s">
        <v>465</v>
      </c>
      <c r="M6" s="188" t="s">
        <v>587</v>
      </c>
      <c r="N6" s="188" t="s">
        <v>463</v>
      </c>
      <c r="O6" s="188" t="s">
        <v>461</v>
      </c>
      <c r="P6" s="189" t="s">
        <v>619</v>
      </c>
      <c r="Q6" s="190" t="s">
        <v>566</v>
      </c>
      <c r="R6" s="188" t="s">
        <v>567</v>
      </c>
      <c r="S6" s="188" t="s">
        <v>607</v>
      </c>
      <c r="T6" s="191" t="s">
        <v>608</v>
      </c>
      <c r="U6" s="188" t="s">
        <v>620</v>
      </c>
      <c r="V6" s="192" t="s">
        <v>571</v>
      </c>
      <c r="W6" s="187" t="s">
        <v>567</v>
      </c>
      <c r="X6" s="188" t="s">
        <v>567</v>
      </c>
      <c r="Y6" s="188" t="s">
        <v>567</v>
      </c>
      <c r="Z6" s="188" t="s">
        <v>567</v>
      </c>
      <c r="AA6" s="188" t="s">
        <v>567</v>
      </c>
      <c r="AB6" s="188" t="s">
        <v>567</v>
      </c>
      <c r="AC6" s="188" t="s">
        <v>567</v>
      </c>
      <c r="AD6" s="188" t="s">
        <v>567</v>
      </c>
      <c r="AE6" s="188" t="s">
        <v>567</v>
      </c>
      <c r="AF6" s="188" t="s">
        <v>567</v>
      </c>
      <c r="AG6" s="193"/>
      <c r="AH6" s="194" t="s">
        <v>621</v>
      </c>
      <c r="AI6" s="195" t="s">
        <v>591</v>
      </c>
      <c r="AJ6" s="196" t="s">
        <v>613</v>
      </c>
      <c r="AK6" s="197"/>
      <c r="AO6" s="194" t="s">
        <v>622</v>
      </c>
      <c r="AP6" s="195" t="s">
        <v>578</v>
      </c>
      <c r="AQ6" s="176"/>
    </row>
    <row r="7" spans="1:48" ht="15" customHeight="1" x14ac:dyDescent="0.3">
      <c r="A7" s="182" t="s">
        <v>623</v>
      </c>
      <c r="B7" s="183" t="s">
        <v>624</v>
      </c>
      <c r="C7" s="184" t="s">
        <v>625</v>
      </c>
      <c r="D7" s="198" t="s">
        <v>626</v>
      </c>
      <c r="E7" s="186" t="s">
        <v>627</v>
      </c>
      <c r="F7" s="187" t="s">
        <v>628</v>
      </c>
      <c r="G7" s="188" t="s">
        <v>629</v>
      </c>
      <c r="H7" s="188" t="s">
        <v>630</v>
      </c>
      <c r="I7" s="188" t="s">
        <v>631</v>
      </c>
      <c r="J7" s="188" t="s">
        <v>632</v>
      </c>
      <c r="K7" s="188" t="s">
        <v>633</v>
      </c>
      <c r="L7" s="188" t="s">
        <v>634</v>
      </c>
      <c r="M7" s="188" t="s">
        <v>467</v>
      </c>
      <c r="N7" s="188" t="s">
        <v>635</v>
      </c>
      <c r="O7" s="188" t="s">
        <v>636</v>
      </c>
      <c r="P7" s="189" t="s">
        <v>637</v>
      </c>
      <c r="Q7" s="199"/>
      <c r="R7" s="200"/>
      <c r="S7" s="200"/>
      <c r="T7" s="200"/>
      <c r="U7" s="200"/>
      <c r="V7" s="201"/>
      <c r="W7" s="202"/>
      <c r="X7" s="202"/>
      <c r="Y7" s="202"/>
      <c r="Z7" s="202"/>
      <c r="AA7" s="202"/>
      <c r="AB7" s="202"/>
      <c r="AC7" s="202"/>
      <c r="AD7" s="202"/>
      <c r="AE7" s="202"/>
      <c r="AF7" s="202"/>
      <c r="AG7" s="193"/>
      <c r="AH7" s="194" t="s">
        <v>638</v>
      </c>
      <c r="AI7" s="195" t="s">
        <v>639</v>
      </c>
      <c r="AJ7" s="196" t="s">
        <v>640</v>
      </c>
      <c r="AK7" s="197"/>
      <c r="AL7" s="194" t="s">
        <v>641</v>
      </c>
      <c r="AM7" s="196" t="s">
        <v>642</v>
      </c>
      <c r="AN7" s="197"/>
      <c r="AO7" s="203" t="s">
        <v>643</v>
      </c>
      <c r="AP7" s="200" t="s">
        <v>644</v>
      </c>
      <c r="AQ7" s="201" t="s">
        <v>645</v>
      </c>
      <c r="AR7" s="197"/>
      <c r="AS7" s="203" t="s">
        <v>646</v>
      </c>
      <c r="AT7" s="204" t="s">
        <v>647</v>
      </c>
      <c r="AU7" s="201" t="s">
        <v>648</v>
      </c>
      <c r="AV7" s="205"/>
    </row>
    <row r="8" spans="1:48" ht="15" customHeight="1" x14ac:dyDescent="0.3">
      <c r="A8" s="160" t="s">
        <v>649</v>
      </c>
      <c r="B8" s="161" t="s">
        <v>650</v>
      </c>
      <c r="C8" s="162" t="s">
        <v>651</v>
      </c>
      <c r="D8" s="163" t="s">
        <v>652</v>
      </c>
      <c r="E8" s="164" t="s">
        <v>653</v>
      </c>
      <c r="F8" s="165" t="s">
        <v>559</v>
      </c>
      <c r="G8" s="166" t="s">
        <v>654</v>
      </c>
      <c r="H8" s="166" t="s">
        <v>655</v>
      </c>
      <c r="I8" s="166" t="s">
        <v>459</v>
      </c>
      <c r="J8" s="166" t="s">
        <v>461</v>
      </c>
      <c r="K8" s="166" t="s">
        <v>463</v>
      </c>
      <c r="L8" s="166" t="s">
        <v>465</v>
      </c>
      <c r="M8" s="166" t="s">
        <v>656</v>
      </c>
      <c r="N8" s="166" t="s">
        <v>604</v>
      </c>
      <c r="O8" s="166" t="s">
        <v>463</v>
      </c>
      <c r="P8" s="167" t="s">
        <v>657</v>
      </c>
      <c r="Q8" s="206"/>
      <c r="R8" s="47"/>
      <c r="S8" s="47"/>
      <c r="T8" s="47"/>
      <c r="U8" s="47"/>
      <c r="V8" s="178"/>
      <c r="W8" s="99"/>
      <c r="X8" s="99"/>
      <c r="Y8" s="99"/>
      <c r="Z8" s="99"/>
      <c r="AA8" s="99"/>
      <c r="AB8" s="99"/>
      <c r="AC8" s="99"/>
      <c r="AD8" s="99"/>
      <c r="AE8" s="99"/>
      <c r="AF8" s="99"/>
      <c r="AH8" s="173" t="s">
        <v>658</v>
      </c>
      <c r="AI8" s="174" t="s">
        <v>659</v>
      </c>
      <c r="AJ8" s="175" t="s">
        <v>574</v>
      </c>
      <c r="AO8" s="177" t="s">
        <v>660</v>
      </c>
      <c r="AP8" s="47" t="s">
        <v>644</v>
      </c>
      <c r="AQ8" s="178" t="s">
        <v>661</v>
      </c>
      <c r="AS8" s="177" t="s">
        <v>662</v>
      </c>
      <c r="AT8" s="50" t="s">
        <v>663</v>
      </c>
      <c r="AU8" s="178" t="s">
        <v>664</v>
      </c>
    </row>
    <row r="9" spans="1:48" ht="15" customHeight="1" x14ac:dyDescent="0.3">
      <c r="A9" s="160" t="s">
        <v>665</v>
      </c>
      <c r="B9" s="161" t="s">
        <v>666</v>
      </c>
      <c r="C9" s="162" t="s">
        <v>667</v>
      </c>
      <c r="D9" s="163" t="s">
        <v>652</v>
      </c>
      <c r="E9" s="164" t="s">
        <v>653</v>
      </c>
      <c r="F9" s="165" t="s">
        <v>559</v>
      </c>
      <c r="G9" s="166" t="s">
        <v>668</v>
      </c>
      <c r="H9" s="166" t="s">
        <v>669</v>
      </c>
      <c r="I9" s="166" t="s">
        <v>670</v>
      </c>
      <c r="J9" s="166" t="s">
        <v>461</v>
      </c>
      <c r="K9" s="166" t="s">
        <v>671</v>
      </c>
      <c r="L9" s="166" t="s">
        <v>586</v>
      </c>
      <c r="M9" s="166" t="s">
        <v>656</v>
      </c>
      <c r="N9" s="166" t="s">
        <v>469</v>
      </c>
      <c r="O9" s="166" t="s">
        <v>463</v>
      </c>
      <c r="P9" s="167" t="s">
        <v>657</v>
      </c>
      <c r="Q9" s="206"/>
      <c r="R9" s="47"/>
      <c r="S9" s="47"/>
      <c r="T9" s="47"/>
      <c r="U9" s="47"/>
      <c r="V9" s="178"/>
      <c r="W9" s="99"/>
      <c r="X9" s="99"/>
      <c r="Y9" s="99"/>
      <c r="Z9" s="99"/>
      <c r="AA9" s="99"/>
      <c r="AB9" s="99"/>
      <c r="AC9" s="99"/>
      <c r="AD9" s="99"/>
      <c r="AE9" s="99"/>
      <c r="AF9" s="99"/>
      <c r="AH9" s="173" t="s">
        <v>672</v>
      </c>
      <c r="AI9" s="174" t="s">
        <v>673</v>
      </c>
      <c r="AJ9" s="175" t="s">
        <v>574</v>
      </c>
      <c r="AL9" s="173" t="s">
        <v>641</v>
      </c>
      <c r="AM9" s="175" t="s">
        <v>674</v>
      </c>
      <c r="AO9" s="177" t="s">
        <v>660</v>
      </c>
      <c r="AP9" s="47" t="s">
        <v>644</v>
      </c>
      <c r="AQ9" s="178" t="s">
        <v>661</v>
      </c>
      <c r="AS9" s="177" t="s">
        <v>675</v>
      </c>
      <c r="AT9" s="50" t="s">
        <v>663</v>
      </c>
      <c r="AU9" s="178" t="s">
        <v>664</v>
      </c>
    </row>
    <row r="10" spans="1:48" ht="15" customHeight="1" x14ac:dyDescent="0.3">
      <c r="A10" s="182" t="s">
        <v>676</v>
      </c>
      <c r="B10" s="183" t="s">
        <v>677</v>
      </c>
      <c r="C10" s="184" t="s">
        <v>678</v>
      </c>
      <c r="D10" s="198" t="s">
        <v>679</v>
      </c>
      <c r="E10" s="186" t="s">
        <v>680</v>
      </c>
      <c r="F10" s="187" t="s">
        <v>628</v>
      </c>
      <c r="G10" s="188" t="s">
        <v>681</v>
      </c>
      <c r="H10" s="188" t="s">
        <v>682</v>
      </c>
      <c r="I10" s="188" t="s">
        <v>683</v>
      </c>
      <c r="J10" s="188" t="s">
        <v>684</v>
      </c>
      <c r="K10" s="188" t="s">
        <v>633</v>
      </c>
      <c r="L10" s="188" t="s">
        <v>685</v>
      </c>
      <c r="M10" s="188" t="s">
        <v>656</v>
      </c>
      <c r="N10" s="188" t="s">
        <v>635</v>
      </c>
      <c r="O10" s="188" t="s">
        <v>686</v>
      </c>
      <c r="P10" s="189" t="s">
        <v>687</v>
      </c>
      <c r="Q10" s="199"/>
      <c r="R10" s="200"/>
      <c r="S10" s="200"/>
      <c r="T10" s="200"/>
      <c r="U10" s="200"/>
      <c r="V10" s="201"/>
      <c r="W10" s="202"/>
      <c r="X10" s="202"/>
      <c r="Y10" s="202"/>
      <c r="Z10" s="202"/>
      <c r="AA10" s="202"/>
      <c r="AB10" s="202"/>
      <c r="AC10" s="202"/>
      <c r="AD10" s="202"/>
      <c r="AE10" s="202"/>
      <c r="AF10" s="202"/>
      <c r="AG10" s="193"/>
      <c r="AH10" s="194" t="s">
        <v>688</v>
      </c>
      <c r="AI10" s="195" t="s">
        <v>689</v>
      </c>
      <c r="AJ10" s="196" t="s">
        <v>640</v>
      </c>
      <c r="AK10" s="197"/>
      <c r="AL10" s="194" t="s">
        <v>641</v>
      </c>
      <c r="AM10" s="196" t="s">
        <v>690</v>
      </c>
      <c r="AN10" s="197"/>
      <c r="AO10" s="203" t="s">
        <v>691</v>
      </c>
      <c r="AP10" s="200" t="s">
        <v>692</v>
      </c>
      <c r="AQ10" s="201" t="s">
        <v>693</v>
      </c>
      <c r="AR10" s="197"/>
      <c r="AS10" s="203" t="s">
        <v>694</v>
      </c>
      <c r="AT10" s="204" t="s">
        <v>695</v>
      </c>
      <c r="AU10" s="201" t="s">
        <v>696</v>
      </c>
      <c r="AV10" s="205"/>
    </row>
    <row r="11" spans="1:48" ht="15" customHeight="1" x14ac:dyDescent="0.3">
      <c r="A11" s="160" t="s">
        <v>697</v>
      </c>
      <c r="B11" s="161" t="s">
        <v>698</v>
      </c>
      <c r="C11" s="162" t="s">
        <v>699</v>
      </c>
      <c r="D11" s="163" t="s">
        <v>598</v>
      </c>
      <c r="E11" s="164" t="s">
        <v>599</v>
      </c>
      <c r="F11" s="165" t="s">
        <v>700</v>
      </c>
      <c r="G11" s="166" t="s">
        <v>560</v>
      </c>
      <c r="H11" s="166" t="s">
        <v>701</v>
      </c>
      <c r="I11" s="166" t="s">
        <v>702</v>
      </c>
      <c r="J11" s="166" t="s">
        <v>632</v>
      </c>
      <c r="K11" s="166" t="s">
        <v>585</v>
      </c>
      <c r="L11" s="166" t="s">
        <v>586</v>
      </c>
      <c r="M11" s="166" t="s">
        <v>587</v>
      </c>
      <c r="N11" s="166" t="s">
        <v>703</v>
      </c>
      <c r="O11" s="166" t="s">
        <v>605</v>
      </c>
      <c r="P11" s="167" t="s">
        <v>606</v>
      </c>
      <c r="Q11" s="168" t="s">
        <v>704</v>
      </c>
      <c r="R11" s="166" t="s">
        <v>567</v>
      </c>
      <c r="S11" s="166" t="s">
        <v>705</v>
      </c>
      <c r="T11" s="166" t="s">
        <v>706</v>
      </c>
      <c r="U11" s="166" t="s">
        <v>707</v>
      </c>
      <c r="V11" s="169" t="s">
        <v>571</v>
      </c>
      <c r="W11" s="165" t="s">
        <v>567</v>
      </c>
      <c r="X11" s="166" t="s">
        <v>567</v>
      </c>
      <c r="Y11" s="166" t="s">
        <v>567</v>
      </c>
      <c r="Z11" s="166" t="s">
        <v>567</v>
      </c>
      <c r="AA11" s="166" t="s">
        <v>567</v>
      </c>
      <c r="AB11" s="166" t="s">
        <v>567</v>
      </c>
      <c r="AC11" s="166" t="s">
        <v>567</v>
      </c>
      <c r="AD11" s="166" t="s">
        <v>567</v>
      </c>
      <c r="AE11" s="166" t="s">
        <v>567</v>
      </c>
      <c r="AF11" s="166" t="s">
        <v>567</v>
      </c>
      <c r="AH11" s="173" t="s">
        <v>708</v>
      </c>
      <c r="AI11" s="174" t="s">
        <v>709</v>
      </c>
      <c r="AJ11" s="175" t="s">
        <v>640</v>
      </c>
      <c r="AL11" s="173" t="s">
        <v>710</v>
      </c>
      <c r="AM11" s="175" t="s">
        <v>711</v>
      </c>
    </row>
    <row r="12" spans="1:48" x14ac:dyDescent="0.3">
      <c r="A12" s="160" t="s">
        <v>712</v>
      </c>
      <c r="B12" s="161" t="s">
        <v>713</v>
      </c>
      <c r="C12" s="207" t="s">
        <v>714</v>
      </c>
      <c r="D12" s="163" t="s">
        <v>598</v>
      </c>
      <c r="E12" s="164" t="s">
        <v>715</v>
      </c>
      <c r="F12" s="165" t="s">
        <v>628</v>
      </c>
      <c r="G12" s="116" t="s">
        <v>716</v>
      </c>
      <c r="H12" s="166" t="s">
        <v>717</v>
      </c>
      <c r="I12" s="166" t="s">
        <v>718</v>
      </c>
      <c r="J12" s="166" t="s">
        <v>684</v>
      </c>
      <c r="K12" s="166" t="s">
        <v>719</v>
      </c>
      <c r="L12" s="166" t="s">
        <v>586</v>
      </c>
      <c r="M12" s="166" t="s">
        <v>587</v>
      </c>
      <c r="N12" s="166" t="s">
        <v>635</v>
      </c>
      <c r="O12" s="166" t="s">
        <v>463</v>
      </c>
      <c r="P12" s="167" t="s">
        <v>720</v>
      </c>
      <c r="Q12" s="168" t="s">
        <v>704</v>
      </c>
      <c r="R12" s="166" t="s">
        <v>567</v>
      </c>
      <c r="S12" s="166" t="s">
        <v>721</v>
      </c>
      <c r="T12" s="166" t="s">
        <v>722</v>
      </c>
      <c r="U12" s="166" t="s">
        <v>707</v>
      </c>
      <c r="V12" s="169" t="s">
        <v>571</v>
      </c>
      <c r="W12" s="165" t="s">
        <v>567</v>
      </c>
      <c r="X12" s="166" t="s">
        <v>567</v>
      </c>
      <c r="Y12" s="166" t="s">
        <v>567</v>
      </c>
      <c r="Z12" s="166" t="s">
        <v>567</v>
      </c>
      <c r="AA12" s="166" t="s">
        <v>567</v>
      </c>
      <c r="AB12" s="166" t="s">
        <v>567</v>
      </c>
      <c r="AC12" s="166" t="s">
        <v>567</v>
      </c>
      <c r="AD12" s="166" t="s">
        <v>567</v>
      </c>
      <c r="AE12" s="166" t="s">
        <v>567</v>
      </c>
      <c r="AF12" s="166" t="s">
        <v>567</v>
      </c>
      <c r="AG12" s="208"/>
      <c r="AH12" s="173" t="s">
        <v>723</v>
      </c>
      <c r="AI12" s="174" t="s">
        <v>724</v>
      </c>
      <c r="AJ12" s="175" t="s">
        <v>725</v>
      </c>
      <c r="AK12" s="209"/>
      <c r="AL12" s="173" t="s">
        <v>726</v>
      </c>
      <c r="AM12" s="175" t="s">
        <v>727</v>
      </c>
      <c r="AN12" s="209"/>
      <c r="AO12" s="173"/>
      <c r="AP12" s="174"/>
      <c r="AQ12" s="175"/>
      <c r="AR12" s="209"/>
      <c r="AS12" s="173"/>
      <c r="AT12" s="210"/>
      <c r="AU12" s="175"/>
      <c r="AV12" s="211"/>
    </row>
    <row r="13" spans="1:48" x14ac:dyDescent="0.3">
      <c r="A13" s="212" t="s">
        <v>728</v>
      </c>
      <c r="B13" s="161" t="s">
        <v>729</v>
      </c>
      <c r="C13" s="207" t="s">
        <v>730</v>
      </c>
      <c r="D13" s="213" t="s">
        <v>731</v>
      </c>
      <c r="E13" s="214" t="s">
        <v>582</v>
      </c>
      <c r="F13" s="165" t="s">
        <v>732</v>
      </c>
      <c r="G13" s="166" t="s">
        <v>601</v>
      </c>
      <c r="H13" s="166" t="s">
        <v>655</v>
      </c>
      <c r="I13" s="166" t="s">
        <v>584</v>
      </c>
      <c r="J13" s="166" t="s">
        <v>461</v>
      </c>
      <c r="K13" s="166" t="s">
        <v>604</v>
      </c>
      <c r="L13" s="166" t="s">
        <v>465</v>
      </c>
      <c r="M13" s="166" t="s">
        <v>587</v>
      </c>
      <c r="N13" s="166" t="s">
        <v>588</v>
      </c>
      <c r="O13" s="166" t="s">
        <v>461</v>
      </c>
      <c r="P13" s="167" t="s">
        <v>619</v>
      </c>
      <c r="Q13" s="168" t="s">
        <v>566</v>
      </c>
      <c r="R13" s="166" t="s">
        <v>567</v>
      </c>
      <c r="S13" s="166" t="s">
        <v>733</v>
      </c>
      <c r="T13" s="166" t="s">
        <v>608</v>
      </c>
      <c r="U13" s="166" t="s">
        <v>734</v>
      </c>
      <c r="V13" s="169" t="s">
        <v>610</v>
      </c>
      <c r="W13" s="165" t="s">
        <v>567</v>
      </c>
      <c r="X13" s="166" t="s">
        <v>567</v>
      </c>
      <c r="Y13" s="166" t="s">
        <v>567</v>
      </c>
      <c r="Z13" s="166" t="s">
        <v>567</v>
      </c>
      <c r="AA13" s="166" t="s">
        <v>567</v>
      </c>
      <c r="AB13" s="166" t="s">
        <v>567</v>
      </c>
      <c r="AC13" s="166" t="s">
        <v>567</v>
      </c>
      <c r="AD13" s="166" t="s">
        <v>567</v>
      </c>
      <c r="AE13" s="166" t="s">
        <v>567</v>
      </c>
      <c r="AF13" s="166" t="s">
        <v>567</v>
      </c>
      <c r="AH13" s="173" t="s">
        <v>735</v>
      </c>
      <c r="AI13" s="174" t="s">
        <v>736</v>
      </c>
      <c r="AJ13" s="175" t="s">
        <v>574</v>
      </c>
    </row>
    <row r="14" spans="1:48" ht="15.75" customHeight="1" x14ac:dyDescent="0.3">
      <c r="A14" s="212" t="s">
        <v>737</v>
      </c>
      <c r="B14" s="161" t="s">
        <v>738</v>
      </c>
      <c r="C14" s="207" t="s">
        <v>739</v>
      </c>
      <c r="D14" s="213" t="s">
        <v>731</v>
      </c>
      <c r="E14" s="214" t="s">
        <v>582</v>
      </c>
      <c r="F14" s="165" t="s">
        <v>732</v>
      </c>
      <c r="G14" s="166" t="s">
        <v>560</v>
      </c>
      <c r="H14" s="166" t="s">
        <v>655</v>
      </c>
      <c r="I14" s="166" t="s">
        <v>740</v>
      </c>
      <c r="J14" s="166" t="s">
        <v>461</v>
      </c>
      <c r="K14" s="166" t="s">
        <v>741</v>
      </c>
      <c r="L14" s="166" t="s">
        <v>586</v>
      </c>
      <c r="M14" s="166" t="s">
        <v>587</v>
      </c>
      <c r="N14" s="166" t="s">
        <v>742</v>
      </c>
      <c r="O14" s="166" t="s">
        <v>461</v>
      </c>
      <c r="P14" s="167" t="s">
        <v>743</v>
      </c>
      <c r="Q14" s="168" t="s">
        <v>566</v>
      </c>
      <c r="R14" s="166" t="s">
        <v>567</v>
      </c>
      <c r="S14" s="166" t="s">
        <v>744</v>
      </c>
      <c r="T14" s="166" t="s">
        <v>745</v>
      </c>
      <c r="U14" s="166" t="s">
        <v>734</v>
      </c>
      <c r="V14" s="169" t="s">
        <v>610</v>
      </c>
      <c r="W14" s="165" t="s">
        <v>567</v>
      </c>
      <c r="X14" s="166" t="s">
        <v>567</v>
      </c>
      <c r="Y14" s="166" t="s">
        <v>567</v>
      </c>
      <c r="Z14" s="166" t="s">
        <v>567</v>
      </c>
      <c r="AA14" s="166" t="s">
        <v>567</v>
      </c>
      <c r="AB14" s="166" t="s">
        <v>567</v>
      </c>
      <c r="AC14" s="166" t="s">
        <v>567</v>
      </c>
      <c r="AD14" s="166" t="s">
        <v>567</v>
      </c>
      <c r="AE14" s="166" t="s">
        <v>567</v>
      </c>
      <c r="AF14" s="166" t="s">
        <v>567</v>
      </c>
      <c r="AH14" s="173" t="s">
        <v>746</v>
      </c>
      <c r="AI14" s="174" t="s">
        <v>736</v>
      </c>
      <c r="AJ14" s="175" t="s">
        <v>574</v>
      </c>
      <c r="AL14" s="173" t="s">
        <v>747</v>
      </c>
      <c r="AM14" s="175" t="s">
        <v>748</v>
      </c>
    </row>
    <row r="15" spans="1:48" x14ac:dyDescent="0.3">
      <c r="A15" s="215" t="s">
        <v>749</v>
      </c>
      <c r="B15" s="216" t="s">
        <v>750</v>
      </c>
      <c r="C15" s="217" t="s">
        <v>751</v>
      </c>
      <c r="D15" s="163" t="s">
        <v>752</v>
      </c>
      <c r="E15" s="164" t="s">
        <v>599</v>
      </c>
      <c r="F15" s="116" t="s">
        <v>753</v>
      </c>
      <c r="G15" s="116" t="s">
        <v>560</v>
      </c>
      <c r="H15" s="116" t="s">
        <v>602</v>
      </c>
      <c r="I15" s="116" t="s">
        <v>754</v>
      </c>
      <c r="J15" s="116" t="s">
        <v>461</v>
      </c>
      <c r="K15" s="116" t="s">
        <v>562</v>
      </c>
      <c r="L15" s="116" t="s">
        <v>465</v>
      </c>
      <c r="M15" s="116" t="s">
        <v>587</v>
      </c>
      <c r="N15" s="116" t="s">
        <v>755</v>
      </c>
      <c r="O15" s="116" t="s">
        <v>564</v>
      </c>
      <c r="P15" s="116" t="s">
        <v>606</v>
      </c>
      <c r="Q15" s="117" t="s">
        <v>566</v>
      </c>
      <c r="R15" s="116" t="s">
        <v>567</v>
      </c>
      <c r="S15" s="116" t="s">
        <v>733</v>
      </c>
      <c r="T15" s="116" t="s">
        <v>589</v>
      </c>
      <c r="U15" s="116" t="s">
        <v>756</v>
      </c>
      <c r="V15" s="118" t="s">
        <v>610</v>
      </c>
      <c r="W15" s="116" t="s">
        <v>567</v>
      </c>
      <c r="X15" s="116" t="s">
        <v>567</v>
      </c>
      <c r="Y15" s="116" t="s">
        <v>567</v>
      </c>
      <c r="Z15" s="116" t="s">
        <v>567</v>
      </c>
      <c r="AA15" s="116" t="s">
        <v>567</v>
      </c>
      <c r="AB15" s="116" t="s">
        <v>567</v>
      </c>
      <c r="AC15" s="116" t="s">
        <v>567</v>
      </c>
      <c r="AD15" s="116" t="s">
        <v>567</v>
      </c>
      <c r="AE15" s="116" t="s">
        <v>567</v>
      </c>
      <c r="AF15" s="116" t="s">
        <v>567</v>
      </c>
      <c r="AH15" s="173" t="s">
        <v>757</v>
      </c>
      <c r="AI15" s="174" t="s">
        <v>758</v>
      </c>
      <c r="AJ15" s="175" t="s">
        <v>592</v>
      </c>
      <c r="AL15" s="173" t="s">
        <v>759</v>
      </c>
      <c r="AM15" s="175" t="s">
        <v>760</v>
      </c>
    </row>
    <row r="16" spans="1:48" x14ac:dyDescent="0.3">
      <c r="A16" s="215" t="s">
        <v>761</v>
      </c>
      <c r="B16" s="216" t="s">
        <v>762</v>
      </c>
      <c r="C16" s="115" t="s">
        <v>763</v>
      </c>
      <c r="D16" s="163" t="s">
        <v>752</v>
      </c>
      <c r="E16" s="164" t="s">
        <v>599</v>
      </c>
      <c r="F16" s="116" t="s">
        <v>559</v>
      </c>
      <c r="G16" s="116" t="s">
        <v>560</v>
      </c>
      <c r="H16" s="116" t="s">
        <v>717</v>
      </c>
      <c r="I16" s="116" t="s">
        <v>764</v>
      </c>
      <c r="J16" s="116" t="s">
        <v>765</v>
      </c>
      <c r="K16" s="116" t="s">
        <v>719</v>
      </c>
      <c r="L16" s="116" t="s">
        <v>586</v>
      </c>
      <c r="M16" s="116" t="s">
        <v>587</v>
      </c>
      <c r="N16" s="116" t="s">
        <v>766</v>
      </c>
      <c r="O16" s="116" t="s">
        <v>605</v>
      </c>
      <c r="P16" s="116" t="s">
        <v>767</v>
      </c>
      <c r="Q16" s="117" t="s">
        <v>566</v>
      </c>
      <c r="R16" s="116" t="s">
        <v>567</v>
      </c>
      <c r="S16" s="116" t="s">
        <v>768</v>
      </c>
      <c r="T16" s="116" t="s">
        <v>769</v>
      </c>
      <c r="U16" s="116" t="s">
        <v>756</v>
      </c>
      <c r="V16" s="118" t="s">
        <v>610</v>
      </c>
      <c r="W16" s="116" t="s">
        <v>567</v>
      </c>
      <c r="X16" s="116" t="s">
        <v>567</v>
      </c>
      <c r="Y16" s="116" t="s">
        <v>567</v>
      </c>
      <c r="Z16" s="116" t="s">
        <v>567</v>
      </c>
      <c r="AA16" s="116" t="s">
        <v>567</v>
      </c>
      <c r="AB16" s="116" t="s">
        <v>567</v>
      </c>
      <c r="AC16" s="116" t="s">
        <v>567</v>
      </c>
      <c r="AD16" s="116" t="s">
        <v>567</v>
      </c>
      <c r="AE16" s="116" t="s">
        <v>567</v>
      </c>
      <c r="AF16" s="116" t="s">
        <v>567</v>
      </c>
      <c r="AH16" s="173" t="s">
        <v>770</v>
      </c>
      <c r="AI16" s="174" t="s">
        <v>758</v>
      </c>
      <c r="AJ16" s="175" t="s">
        <v>592</v>
      </c>
      <c r="AL16" s="173" t="s">
        <v>726</v>
      </c>
      <c r="AM16" s="175" t="s">
        <v>771</v>
      </c>
    </row>
    <row r="17" spans="1:48" x14ac:dyDescent="0.3">
      <c r="A17" s="215" t="s">
        <v>772</v>
      </c>
      <c r="B17" s="216" t="s">
        <v>773</v>
      </c>
      <c r="C17" s="115" t="s">
        <v>774</v>
      </c>
      <c r="D17" s="116" t="s">
        <v>775</v>
      </c>
      <c r="E17" s="116" t="s">
        <v>653</v>
      </c>
      <c r="F17" s="116" t="s">
        <v>776</v>
      </c>
      <c r="G17" s="116" t="s">
        <v>618</v>
      </c>
      <c r="H17" s="116" t="s">
        <v>777</v>
      </c>
      <c r="I17" s="116" t="s">
        <v>778</v>
      </c>
      <c r="J17" s="116" t="s">
        <v>779</v>
      </c>
      <c r="K17" s="116" t="s">
        <v>671</v>
      </c>
      <c r="L17" s="116" t="s">
        <v>586</v>
      </c>
      <c r="M17" s="116" t="s">
        <v>656</v>
      </c>
      <c r="N17" s="116" t="s">
        <v>780</v>
      </c>
      <c r="O17" s="116" t="s">
        <v>463</v>
      </c>
      <c r="P17" s="116" t="s">
        <v>781</v>
      </c>
      <c r="Q17" s="218"/>
      <c r="R17" s="116"/>
      <c r="S17" s="116"/>
      <c r="T17" s="116"/>
      <c r="U17" s="116"/>
      <c r="V17" s="164"/>
      <c r="W17" s="219"/>
      <c r="X17" s="219"/>
      <c r="Y17" s="219"/>
      <c r="Z17" s="219"/>
      <c r="AA17" s="219"/>
      <c r="AB17" s="219"/>
      <c r="AC17" s="219"/>
      <c r="AD17" s="219"/>
      <c r="AE17" s="219"/>
      <c r="AF17" s="219"/>
      <c r="AG17" s="220"/>
      <c r="AH17" s="221" t="s">
        <v>782</v>
      </c>
      <c r="AI17" s="222" t="s">
        <v>783</v>
      </c>
      <c r="AJ17" s="223" t="s">
        <v>613</v>
      </c>
      <c r="AK17" s="224"/>
      <c r="AL17" s="221" t="s">
        <v>641</v>
      </c>
      <c r="AM17" s="223" t="s">
        <v>784</v>
      </c>
      <c r="AN17" s="224"/>
      <c r="AO17" s="225" t="s">
        <v>785</v>
      </c>
      <c r="AP17" s="226" t="s">
        <v>644</v>
      </c>
      <c r="AQ17" s="227" t="s">
        <v>661</v>
      </c>
      <c r="AR17" s="224"/>
      <c r="AS17" s="225" t="s">
        <v>786</v>
      </c>
      <c r="AT17" s="228" t="s">
        <v>663</v>
      </c>
      <c r="AU17" s="227" t="s">
        <v>787</v>
      </c>
    </row>
    <row r="18" spans="1:48" x14ac:dyDescent="0.3">
      <c r="A18" s="215" t="s">
        <v>788</v>
      </c>
      <c r="B18" s="216" t="s">
        <v>789</v>
      </c>
      <c r="C18" s="115" t="s">
        <v>790</v>
      </c>
      <c r="D18" s="116" t="s">
        <v>731</v>
      </c>
      <c r="E18" s="116" t="s">
        <v>558</v>
      </c>
      <c r="F18" s="116" t="s">
        <v>791</v>
      </c>
      <c r="G18" s="116" t="s">
        <v>601</v>
      </c>
      <c r="H18" s="116" t="s">
        <v>655</v>
      </c>
      <c r="I18" s="116" t="s">
        <v>792</v>
      </c>
      <c r="J18" s="116" t="s">
        <v>461</v>
      </c>
      <c r="K18" s="116" t="s">
        <v>719</v>
      </c>
      <c r="L18" s="116" t="s">
        <v>586</v>
      </c>
      <c r="M18" s="116" t="s">
        <v>587</v>
      </c>
      <c r="N18" s="116" t="s">
        <v>793</v>
      </c>
      <c r="O18" s="116" t="s">
        <v>461</v>
      </c>
      <c r="P18" s="116" t="s">
        <v>781</v>
      </c>
      <c r="Q18" s="117" t="s">
        <v>566</v>
      </c>
      <c r="R18" s="116" t="s">
        <v>567</v>
      </c>
      <c r="S18" s="116" t="s">
        <v>794</v>
      </c>
      <c r="T18" s="116" t="s">
        <v>795</v>
      </c>
      <c r="U18" s="116" t="s">
        <v>734</v>
      </c>
      <c r="V18" s="118" t="s">
        <v>796</v>
      </c>
      <c r="W18" s="116" t="s">
        <v>567</v>
      </c>
      <c r="X18" s="116" t="s">
        <v>567</v>
      </c>
      <c r="Y18" s="116" t="s">
        <v>567</v>
      </c>
      <c r="Z18" s="116" t="s">
        <v>567</v>
      </c>
      <c r="AA18" s="116" t="s">
        <v>567</v>
      </c>
      <c r="AB18" s="116" t="s">
        <v>567</v>
      </c>
      <c r="AC18" s="116" t="s">
        <v>567</v>
      </c>
      <c r="AD18" s="116" t="s">
        <v>567</v>
      </c>
      <c r="AE18" s="116" t="s">
        <v>567</v>
      </c>
      <c r="AF18" s="116" t="s">
        <v>567</v>
      </c>
      <c r="AG18" s="220"/>
      <c r="AH18" s="221" t="s">
        <v>797</v>
      </c>
      <c r="AI18" s="222" t="s">
        <v>798</v>
      </c>
      <c r="AJ18" s="223" t="s">
        <v>613</v>
      </c>
      <c r="AK18" s="224"/>
      <c r="AL18" s="221" t="s">
        <v>726</v>
      </c>
      <c r="AM18" s="223" t="s">
        <v>799</v>
      </c>
      <c r="AN18" s="224"/>
      <c r="AO18" s="225"/>
      <c r="AP18" s="226"/>
      <c r="AQ18" s="227"/>
      <c r="AR18" s="224"/>
      <c r="AS18" s="225"/>
      <c r="AT18" s="228"/>
      <c r="AU18" s="227"/>
    </row>
    <row r="19" spans="1:48" x14ac:dyDescent="0.3">
      <c r="A19" s="215" t="s">
        <v>800</v>
      </c>
      <c r="B19" s="216" t="s">
        <v>801</v>
      </c>
      <c r="C19" s="115" t="s">
        <v>802</v>
      </c>
      <c r="D19" s="116" t="s">
        <v>731</v>
      </c>
      <c r="E19" s="116" t="s">
        <v>558</v>
      </c>
      <c r="F19" s="116" t="s">
        <v>776</v>
      </c>
      <c r="G19" s="116" t="s">
        <v>601</v>
      </c>
      <c r="H19" s="116" t="s">
        <v>655</v>
      </c>
      <c r="I19" s="116" t="s">
        <v>803</v>
      </c>
      <c r="J19" s="116" t="s">
        <v>461</v>
      </c>
      <c r="K19" s="116" t="s">
        <v>604</v>
      </c>
      <c r="L19" s="116" t="s">
        <v>586</v>
      </c>
      <c r="M19" s="116" t="s">
        <v>587</v>
      </c>
      <c r="N19" s="116" t="s">
        <v>804</v>
      </c>
      <c r="O19" s="116" t="s">
        <v>461</v>
      </c>
      <c r="P19" s="116" t="s">
        <v>805</v>
      </c>
      <c r="Q19" s="117" t="s">
        <v>566</v>
      </c>
      <c r="R19" s="116" t="s">
        <v>567</v>
      </c>
      <c r="S19" s="116" t="s">
        <v>733</v>
      </c>
      <c r="T19" s="116" t="s">
        <v>806</v>
      </c>
      <c r="U19" s="116" t="s">
        <v>734</v>
      </c>
      <c r="V19" s="118" t="s">
        <v>796</v>
      </c>
      <c r="W19" s="116" t="s">
        <v>567</v>
      </c>
      <c r="X19" s="116" t="s">
        <v>567</v>
      </c>
      <c r="Y19" s="116" t="s">
        <v>567</v>
      </c>
      <c r="Z19" s="116" t="s">
        <v>567</v>
      </c>
      <c r="AA19" s="116" t="s">
        <v>567</v>
      </c>
      <c r="AB19" s="116" t="s">
        <v>567</v>
      </c>
      <c r="AC19" s="116" t="s">
        <v>567</v>
      </c>
      <c r="AD19" s="116" t="s">
        <v>567</v>
      </c>
      <c r="AE19" s="116" t="s">
        <v>567</v>
      </c>
      <c r="AF19" s="116" t="s">
        <v>567</v>
      </c>
      <c r="AG19" s="220"/>
      <c r="AH19" s="221" t="s">
        <v>807</v>
      </c>
      <c r="AI19" s="222" t="s">
        <v>798</v>
      </c>
      <c r="AJ19" s="223" t="s">
        <v>613</v>
      </c>
      <c r="AK19" s="224"/>
      <c r="AL19" s="221"/>
      <c r="AM19" s="223"/>
      <c r="AN19" s="224"/>
      <c r="AO19" s="225"/>
      <c r="AP19" s="226"/>
      <c r="AQ19" s="227"/>
      <c r="AR19" s="224"/>
      <c r="AS19" s="225"/>
      <c r="AT19" s="228"/>
      <c r="AU19" s="227"/>
    </row>
    <row r="20" spans="1:48" x14ac:dyDescent="0.3">
      <c r="A20" s="215" t="s">
        <v>808</v>
      </c>
      <c r="B20" s="216" t="s">
        <v>809</v>
      </c>
      <c r="C20" s="115" t="s">
        <v>810</v>
      </c>
      <c r="D20" s="116" t="s">
        <v>731</v>
      </c>
      <c r="E20" s="116" t="s">
        <v>582</v>
      </c>
      <c r="F20" s="116" t="s">
        <v>811</v>
      </c>
      <c r="G20" s="116" t="s">
        <v>601</v>
      </c>
      <c r="H20" s="116" t="s">
        <v>669</v>
      </c>
      <c r="I20" s="116" t="s">
        <v>812</v>
      </c>
      <c r="J20" s="116" t="s">
        <v>813</v>
      </c>
      <c r="K20" s="116" t="s">
        <v>814</v>
      </c>
      <c r="L20" s="116" t="s">
        <v>586</v>
      </c>
      <c r="M20" s="116" t="s">
        <v>815</v>
      </c>
      <c r="N20" s="116" t="s">
        <v>780</v>
      </c>
      <c r="O20" s="116" t="s">
        <v>461</v>
      </c>
      <c r="P20" s="116" t="s">
        <v>781</v>
      </c>
      <c r="Q20" s="117" t="s">
        <v>566</v>
      </c>
      <c r="R20" s="116" t="s">
        <v>567</v>
      </c>
      <c r="S20" s="116" t="s">
        <v>768</v>
      </c>
      <c r="T20" s="116" t="s">
        <v>795</v>
      </c>
      <c r="U20" s="116" t="s">
        <v>734</v>
      </c>
      <c r="V20" s="118" t="s">
        <v>796</v>
      </c>
      <c r="W20" s="116" t="s">
        <v>567</v>
      </c>
      <c r="X20" s="116" t="s">
        <v>567</v>
      </c>
      <c r="Y20" s="116" t="s">
        <v>567</v>
      </c>
      <c r="Z20" s="116" t="s">
        <v>567</v>
      </c>
      <c r="AA20" s="116" t="s">
        <v>567</v>
      </c>
      <c r="AB20" s="116" t="s">
        <v>567</v>
      </c>
      <c r="AC20" s="116" t="s">
        <v>567</v>
      </c>
      <c r="AD20" s="116" t="s">
        <v>567</v>
      </c>
      <c r="AE20" s="116" t="s">
        <v>567</v>
      </c>
      <c r="AF20" s="116" t="s">
        <v>567</v>
      </c>
      <c r="AG20" s="220"/>
      <c r="AH20" s="221" t="s">
        <v>816</v>
      </c>
      <c r="AI20" s="222" t="s">
        <v>798</v>
      </c>
      <c r="AJ20" s="223" t="s">
        <v>613</v>
      </c>
      <c r="AK20" s="224"/>
      <c r="AL20" s="221" t="s">
        <v>726</v>
      </c>
      <c r="AM20" s="223" t="s">
        <v>817</v>
      </c>
      <c r="AN20" s="224"/>
      <c r="AO20" s="225"/>
      <c r="AP20" s="226"/>
      <c r="AQ20" s="227"/>
      <c r="AR20" s="224"/>
      <c r="AS20" s="225"/>
      <c r="AT20" s="228"/>
      <c r="AU20" s="227"/>
    </row>
    <row r="21" spans="1:48" x14ac:dyDescent="0.3">
      <c r="A21" s="215" t="s">
        <v>818</v>
      </c>
      <c r="B21" s="216" t="s">
        <v>819</v>
      </c>
      <c r="C21" s="115" t="s">
        <v>820</v>
      </c>
      <c r="D21" s="116" t="s">
        <v>821</v>
      </c>
      <c r="E21" s="116" t="s">
        <v>599</v>
      </c>
      <c r="F21" s="116" t="s">
        <v>776</v>
      </c>
      <c r="G21" s="116" t="s">
        <v>601</v>
      </c>
      <c r="H21" s="116" t="s">
        <v>701</v>
      </c>
      <c r="I21" s="116" t="s">
        <v>822</v>
      </c>
      <c r="J21" s="116" t="s">
        <v>779</v>
      </c>
      <c r="K21" s="116" t="s">
        <v>585</v>
      </c>
      <c r="L21" s="116" t="s">
        <v>586</v>
      </c>
      <c r="M21" s="116" t="s">
        <v>815</v>
      </c>
      <c r="N21" s="116" t="s">
        <v>823</v>
      </c>
      <c r="O21" s="116" t="s">
        <v>463</v>
      </c>
      <c r="P21" s="116" t="s">
        <v>824</v>
      </c>
      <c r="Q21" s="117" t="s">
        <v>566</v>
      </c>
      <c r="R21" s="116" t="s">
        <v>567</v>
      </c>
      <c r="S21" s="116" t="s">
        <v>733</v>
      </c>
      <c r="T21" s="116" t="s">
        <v>806</v>
      </c>
      <c r="U21" s="116" t="s">
        <v>825</v>
      </c>
      <c r="V21" s="118" t="s">
        <v>796</v>
      </c>
      <c r="W21" s="116" t="s">
        <v>567</v>
      </c>
      <c r="X21" s="116" t="s">
        <v>567</v>
      </c>
      <c r="Y21" s="116" t="s">
        <v>567</v>
      </c>
      <c r="Z21" s="116" t="s">
        <v>567</v>
      </c>
      <c r="AA21" s="116" t="s">
        <v>567</v>
      </c>
      <c r="AB21" s="116" t="s">
        <v>567</v>
      </c>
      <c r="AC21" s="116" t="s">
        <v>567</v>
      </c>
      <c r="AD21" s="116" t="s">
        <v>567</v>
      </c>
      <c r="AE21" s="116" t="s">
        <v>567</v>
      </c>
      <c r="AF21" s="116" t="s">
        <v>567</v>
      </c>
      <c r="AG21" s="220"/>
      <c r="AH21" s="221" t="s">
        <v>826</v>
      </c>
      <c r="AI21" s="222" t="s">
        <v>827</v>
      </c>
      <c r="AJ21" s="223" t="s">
        <v>613</v>
      </c>
      <c r="AK21" s="224"/>
      <c r="AL21" s="221" t="s">
        <v>828</v>
      </c>
      <c r="AM21" s="223" t="s">
        <v>829</v>
      </c>
      <c r="AN21" s="224"/>
      <c r="AO21" s="225"/>
      <c r="AP21" s="226"/>
      <c r="AQ21" s="227"/>
      <c r="AR21" s="224"/>
      <c r="AS21" s="225"/>
      <c r="AT21" s="228"/>
      <c r="AU21" s="227"/>
    </row>
    <row r="22" spans="1:48" x14ac:dyDescent="0.3">
      <c r="A22" s="215" t="s">
        <v>830</v>
      </c>
      <c r="B22" s="216" t="s">
        <v>831</v>
      </c>
      <c r="C22" s="115" t="s">
        <v>832</v>
      </c>
      <c r="D22" s="116" t="s">
        <v>821</v>
      </c>
      <c r="E22" s="116" t="s">
        <v>599</v>
      </c>
      <c r="F22" s="116" t="s">
        <v>776</v>
      </c>
      <c r="G22" s="116" t="s">
        <v>601</v>
      </c>
      <c r="H22" s="116" t="s">
        <v>701</v>
      </c>
      <c r="I22" s="116" t="s">
        <v>822</v>
      </c>
      <c r="J22" s="116" t="s">
        <v>461</v>
      </c>
      <c r="K22" s="116" t="s">
        <v>604</v>
      </c>
      <c r="L22" s="116" t="s">
        <v>586</v>
      </c>
      <c r="M22" s="116" t="s">
        <v>815</v>
      </c>
      <c r="N22" s="116" t="s">
        <v>833</v>
      </c>
      <c r="O22" s="116" t="s">
        <v>463</v>
      </c>
      <c r="P22" s="116" t="s">
        <v>824</v>
      </c>
      <c r="Q22" s="117" t="s">
        <v>566</v>
      </c>
      <c r="R22" s="116" t="s">
        <v>567</v>
      </c>
      <c r="S22" s="116" t="s">
        <v>733</v>
      </c>
      <c r="T22" s="116" t="s">
        <v>806</v>
      </c>
      <c r="U22" s="116" t="s">
        <v>825</v>
      </c>
      <c r="V22" s="118" t="s">
        <v>796</v>
      </c>
      <c r="W22" s="116" t="s">
        <v>567</v>
      </c>
      <c r="X22" s="116" t="s">
        <v>567</v>
      </c>
      <c r="Y22" s="116" t="s">
        <v>567</v>
      </c>
      <c r="Z22" s="116" t="s">
        <v>567</v>
      </c>
      <c r="AA22" s="116" t="s">
        <v>567</v>
      </c>
      <c r="AB22" s="116" t="s">
        <v>567</v>
      </c>
      <c r="AC22" s="116" t="s">
        <v>567</v>
      </c>
      <c r="AD22" s="116" t="s">
        <v>567</v>
      </c>
      <c r="AE22" s="116" t="s">
        <v>567</v>
      </c>
      <c r="AF22" s="116" t="s">
        <v>567</v>
      </c>
      <c r="AG22" s="220"/>
      <c r="AH22" s="221" t="s">
        <v>826</v>
      </c>
      <c r="AI22" s="222" t="s">
        <v>827</v>
      </c>
      <c r="AJ22" s="223" t="s">
        <v>613</v>
      </c>
      <c r="AK22" s="224"/>
      <c r="AL22" s="221"/>
      <c r="AM22" s="223"/>
      <c r="AN22" s="224"/>
      <c r="AO22" s="225"/>
      <c r="AP22" s="226"/>
      <c r="AQ22" s="227"/>
      <c r="AR22" s="224"/>
      <c r="AS22" s="225"/>
      <c r="AT22" s="228"/>
      <c r="AU22" s="227"/>
    </row>
    <row r="23" spans="1:48" x14ac:dyDescent="0.3">
      <c r="A23" s="229" t="s">
        <v>834</v>
      </c>
      <c r="B23" s="230" t="s">
        <v>835</v>
      </c>
      <c r="C23" s="231" t="s">
        <v>836</v>
      </c>
      <c r="D23" s="232" t="s">
        <v>837</v>
      </c>
      <c r="E23" s="232" t="s">
        <v>838</v>
      </c>
      <c r="F23" s="232" t="s">
        <v>839</v>
      </c>
      <c r="G23" s="232" t="s">
        <v>456</v>
      </c>
      <c r="H23" s="232" t="s">
        <v>655</v>
      </c>
      <c r="I23" s="232" t="s">
        <v>670</v>
      </c>
      <c r="J23" s="232" t="s">
        <v>684</v>
      </c>
      <c r="K23" s="232" t="s">
        <v>633</v>
      </c>
      <c r="L23" s="232" t="s">
        <v>840</v>
      </c>
      <c r="M23" s="232" t="s">
        <v>467</v>
      </c>
      <c r="N23" s="232" t="s">
        <v>766</v>
      </c>
      <c r="O23" s="232" t="s">
        <v>463</v>
      </c>
      <c r="P23" s="232" t="s">
        <v>841</v>
      </c>
      <c r="Q23" s="233"/>
      <c r="R23" s="232"/>
      <c r="S23" s="232"/>
      <c r="T23" s="232"/>
      <c r="U23" s="232"/>
      <c r="V23" s="186"/>
      <c r="W23" s="234"/>
      <c r="X23" s="234"/>
      <c r="Y23" s="234"/>
      <c r="Z23" s="234"/>
      <c r="AA23" s="234"/>
      <c r="AB23" s="234"/>
      <c r="AC23" s="234"/>
      <c r="AD23" s="234"/>
      <c r="AE23" s="234"/>
      <c r="AF23" s="234"/>
      <c r="AG23" s="235"/>
      <c r="AH23" s="236" t="s">
        <v>842</v>
      </c>
      <c r="AI23" s="237" t="s">
        <v>843</v>
      </c>
      <c r="AJ23" s="238" t="s">
        <v>613</v>
      </c>
      <c r="AK23" s="239"/>
      <c r="AL23" s="236" t="s">
        <v>641</v>
      </c>
      <c r="AM23" s="238" t="s">
        <v>844</v>
      </c>
      <c r="AN23" s="239"/>
      <c r="AO23" s="240" t="s">
        <v>845</v>
      </c>
      <c r="AP23" s="241" t="s">
        <v>846</v>
      </c>
      <c r="AQ23" s="242" t="s">
        <v>693</v>
      </c>
      <c r="AR23" s="239"/>
      <c r="AS23" s="240" t="s">
        <v>847</v>
      </c>
      <c r="AT23" s="243" t="s">
        <v>848</v>
      </c>
      <c r="AU23" s="242" t="s">
        <v>787</v>
      </c>
      <c r="AV23" s="205"/>
    </row>
    <row r="24" spans="1:48" x14ac:dyDescent="0.3">
      <c r="A24" s="229" t="s">
        <v>849</v>
      </c>
      <c r="B24" s="230" t="s">
        <v>850</v>
      </c>
      <c r="C24" s="231" t="s">
        <v>851</v>
      </c>
      <c r="D24" s="232" t="s">
        <v>837</v>
      </c>
      <c r="E24" s="232" t="s">
        <v>453</v>
      </c>
      <c r="F24" s="232" t="s">
        <v>852</v>
      </c>
      <c r="G24" s="232" t="s">
        <v>456</v>
      </c>
      <c r="H24" s="232" t="s">
        <v>853</v>
      </c>
      <c r="I24" s="232" t="s">
        <v>670</v>
      </c>
      <c r="J24" s="232" t="s">
        <v>684</v>
      </c>
      <c r="K24" s="232" t="s">
        <v>671</v>
      </c>
      <c r="L24" s="232" t="s">
        <v>840</v>
      </c>
      <c r="M24" s="232" t="s">
        <v>467</v>
      </c>
      <c r="N24" s="232" t="s">
        <v>766</v>
      </c>
      <c r="O24" s="232" t="s">
        <v>471</v>
      </c>
      <c r="P24" s="232" t="s">
        <v>854</v>
      </c>
      <c r="Q24" s="233"/>
      <c r="R24" s="232"/>
      <c r="S24" s="232"/>
      <c r="T24" s="232"/>
      <c r="U24" s="232"/>
      <c r="V24" s="186"/>
      <c r="W24" s="234"/>
      <c r="X24" s="234"/>
      <c r="Y24" s="234"/>
      <c r="Z24" s="234"/>
      <c r="AA24" s="234"/>
      <c r="AB24" s="234"/>
      <c r="AC24" s="234"/>
      <c r="AD24" s="234"/>
      <c r="AE24" s="234"/>
      <c r="AF24" s="234"/>
      <c r="AG24" s="235"/>
      <c r="AH24" s="236" t="s">
        <v>855</v>
      </c>
      <c r="AI24" s="237" t="s">
        <v>856</v>
      </c>
      <c r="AJ24" s="238" t="s">
        <v>613</v>
      </c>
      <c r="AK24" s="239"/>
      <c r="AL24" s="236" t="s">
        <v>641</v>
      </c>
      <c r="AM24" s="238" t="s">
        <v>844</v>
      </c>
      <c r="AN24" s="239"/>
      <c r="AO24" s="240" t="s">
        <v>857</v>
      </c>
      <c r="AP24" s="241" t="s">
        <v>846</v>
      </c>
      <c r="AQ24" s="242" t="s">
        <v>693</v>
      </c>
      <c r="AR24" s="239"/>
      <c r="AS24" s="240" t="s">
        <v>847</v>
      </c>
      <c r="AT24" s="243" t="s">
        <v>848</v>
      </c>
      <c r="AU24" s="242" t="s">
        <v>858</v>
      </c>
      <c r="AV24" s="205"/>
    </row>
    <row r="25" spans="1:48" x14ac:dyDescent="0.3">
      <c r="A25" s="215" t="s">
        <v>859</v>
      </c>
      <c r="B25" s="216" t="s">
        <v>860</v>
      </c>
      <c r="C25" s="115" t="s">
        <v>861</v>
      </c>
      <c r="D25" s="116" t="s">
        <v>862</v>
      </c>
      <c r="E25" s="116" t="s">
        <v>863</v>
      </c>
      <c r="F25" s="116" t="s">
        <v>628</v>
      </c>
      <c r="G25" s="116" t="s">
        <v>864</v>
      </c>
      <c r="H25" s="116" t="s">
        <v>701</v>
      </c>
      <c r="I25" s="116" t="s">
        <v>865</v>
      </c>
      <c r="J25" s="116" t="s">
        <v>461</v>
      </c>
      <c r="K25" s="116" t="s">
        <v>585</v>
      </c>
      <c r="L25" s="116" t="s">
        <v>586</v>
      </c>
      <c r="M25" s="116" t="s">
        <v>587</v>
      </c>
      <c r="N25" s="116" t="s">
        <v>866</v>
      </c>
      <c r="O25" s="116" t="s">
        <v>867</v>
      </c>
      <c r="P25" s="116" t="s">
        <v>565</v>
      </c>
      <c r="Q25" s="117" t="s">
        <v>868</v>
      </c>
      <c r="R25" s="116" t="s">
        <v>567</v>
      </c>
      <c r="S25" s="116" t="s">
        <v>869</v>
      </c>
      <c r="T25" s="116" t="s">
        <v>706</v>
      </c>
      <c r="U25" s="116" t="s">
        <v>870</v>
      </c>
      <c r="V25" s="118" t="s">
        <v>871</v>
      </c>
      <c r="W25" s="116" t="s">
        <v>567</v>
      </c>
      <c r="X25" s="116" t="s">
        <v>567</v>
      </c>
      <c r="Y25" s="116" t="s">
        <v>567</v>
      </c>
      <c r="Z25" s="116" t="s">
        <v>567</v>
      </c>
      <c r="AA25" s="116" t="s">
        <v>567</v>
      </c>
      <c r="AB25" s="116" t="s">
        <v>567</v>
      </c>
      <c r="AC25" s="116" t="s">
        <v>567</v>
      </c>
      <c r="AD25" s="116" t="s">
        <v>567</v>
      </c>
      <c r="AE25" s="116" t="s">
        <v>567</v>
      </c>
      <c r="AF25" s="116" t="s">
        <v>567</v>
      </c>
      <c r="AG25" s="244"/>
      <c r="AH25" s="221" t="s">
        <v>872</v>
      </c>
      <c r="AI25" s="222" t="s">
        <v>873</v>
      </c>
      <c r="AJ25" s="223" t="s">
        <v>640</v>
      </c>
      <c r="AK25" s="245"/>
      <c r="AL25" s="221" t="s">
        <v>874</v>
      </c>
      <c r="AM25" s="223" t="s">
        <v>711</v>
      </c>
      <c r="AN25" s="245"/>
      <c r="AO25" s="225"/>
      <c r="AP25" s="226"/>
      <c r="AQ25" s="227"/>
      <c r="AR25" s="245"/>
      <c r="AS25" s="225"/>
      <c r="AT25" s="228"/>
      <c r="AU25" s="227"/>
    </row>
    <row r="26" spans="1:48" ht="15.75" customHeight="1" x14ac:dyDescent="0.3">
      <c r="A26" s="229" t="s">
        <v>875</v>
      </c>
      <c r="B26" s="230" t="s">
        <v>876</v>
      </c>
      <c r="C26" s="231" t="s">
        <v>877</v>
      </c>
      <c r="D26" s="232" t="s">
        <v>878</v>
      </c>
      <c r="E26" s="232" t="s">
        <v>879</v>
      </c>
      <c r="F26" s="232" t="s">
        <v>628</v>
      </c>
      <c r="G26" s="232" t="s">
        <v>880</v>
      </c>
      <c r="H26" s="232" t="s">
        <v>717</v>
      </c>
      <c r="I26" s="232" t="s">
        <v>881</v>
      </c>
      <c r="J26" s="232" t="s">
        <v>632</v>
      </c>
      <c r="K26" s="232" t="s">
        <v>882</v>
      </c>
      <c r="L26" s="232" t="s">
        <v>883</v>
      </c>
      <c r="M26" s="232" t="s">
        <v>656</v>
      </c>
      <c r="N26" s="232" t="s">
        <v>703</v>
      </c>
      <c r="O26" s="232" t="s">
        <v>471</v>
      </c>
      <c r="P26" s="232" t="s">
        <v>565</v>
      </c>
      <c r="Q26" s="233"/>
      <c r="R26" s="232"/>
      <c r="S26" s="232"/>
      <c r="T26" s="232"/>
      <c r="U26" s="232"/>
      <c r="V26" s="186"/>
      <c r="W26" s="234"/>
      <c r="X26" s="234"/>
      <c r="Y26" s="234"/>
      <c r="Z26" s="234"/>
      <c r="AA26" s="234"/>
      <c r="AB26" s="234"/>
      <c r="AC26" s="234"/>
      <c r="AD26" s="234"/>
      <c r="AE26" s="234"/>
      <c r="AF26" s="234"/>
      <c r="AG26" s="235"/>
      <c r="AH26" s="236" t="s">
        <v>884</v>
      </c>
      <c r="AI26" s="237" t="s">
        <v>885</v>
      </c>
      <c r="AJ26" s="238" t="s">
        <v>640</v>
      </c>
      <c r="AK26" s="239"/>
      <c r="AL26" s="236" t="s">
        <v>886</v>
      </c>
      <c r="AM26" s="238" t="s">
        <v>887</v>
      </c>
      <c r="AN26" s="239"/>
      <c r="AO26" s="240" t="s">
        <v>888</v>
      </c>
      <c r="AP26" s="241" t="s">
        <v>889</v>
      </c>
      <c r="AQ26" s="242" t="s">
        <v>693</v>
      </c>
      <c r="AR26" s="239"/>
      <c r="AS26" s="240" t="s">
        <v>694</v>
      </c>
      <c r="AT26" s="243" t="s">
        <v>890</v>
      </c>
      <c r="AU26" s="242" t="s">
        <v>648</v>
      </c>
      <c r="AV26" s="205"/>
    </row>
    <row r="27" spans="1:48" x14ac:dyDescent="0.3">
      <c r="A27" s="229" t="s">
        <v>891</v>
      </c>
      <c r="B27" s="230" t="s">
        <v>892</v>
      </c>
      <c r="C27" s="231" t="s">
        <v>893</v>
      </c>
      <c r="D27" s="232" t="s">
        <v>679</v>
      </c>
      <c r="E27" s="232" t="s">
        <v>680</v>
      </c>
      <c r="F27" s="232" t="s">
        <v>700</v>
      </c>
      <c r="G27" s="232" t="s">
        <v>894</v>
      </c>
      <c r="H27" s="232" t="s">
        <v>682</v>
      </c>
      <c r="I27" s="232" t="s">
        <v>895</v>
      </c>
      <c r="J27" s="232" t="s">
        <v>632</v>
      </c>
      <c r="K27" s="232" t="s">
        <v>633</v>
      </c>
      <c r="L27" s="232" t="s">
        <v>685</v>
      </c>
      <c r="M27" s="232" t="s">
        <v>656</v>
      </c>
      <c r="N27" s="232" t="s">
        <v>896</v>
      </c>
      <c r="O27" s="232" t="s">
        <v>686</v>
      </c>
      <c r="P27" s="246" t="s">
        <v>897</v>
      </c>
      <c r="Q27" s="247"/>
      <c r="R27" s="248"/>
      <c r="S27" s="232"/>
      <c r="T27" s="232"/>
      <c r="U27" s="232"/>
      <c r="V27" s="186"/>
      <c r="W27" s="234"/>
      <c r="X27" s="234"/>
      <c r="Y27" s="234"/>
      <c r="Z27" s="234"/>
      <c r="AA27" s="234"/>
      <c r="AB27" s="234"/>
      <c r="AC27" s="234"/>
      <c r="AD27" s="234"/>
      <c r="AE27" s="234"/>
      <c r="AF27" s="234"/>
      <c r="AG27" s="235"/>
      <c r="AH27" s="236" t="s">
        <v>898</v>
      </c>
      <c r="AI27" s="237" t="s">
        <v>689</v>
      </c>
      <c r="AJ27" s="238" t="s">
        <v>640</v>
      </c>
      <c r="AK27" s="239"/>
      <c r="AL27" s="236" t="s">
        <v>899</v>
      </c>
      <c r="AM27" s="238" t="s">
        <v>900</v>
      </c>
      <c r="AN27" s="239"/>
      <c r="AO27" s="240" t="s">
        <v>901</v>
      </c>
      <c r="AP27" s="241" t="s">
        <v>902</v>
      </c>
      <c r="AQ27" s="242" t="s">
        <v>693</v>
      </c>
      <c r="AR27" s="239"/>
      <c r="AS27" s="240" t="s">
        <v>903</v>
      </c>
      <c r="AT27" s="243" t="s">
        <v>904</v>
      </c>
      <c r="AU27" s="242" t="s">
        <v>696</v>
      </c>
      <c r="AV27" s="205"/>
    </row>
    <row r="28" spans="1:48" x14ac:dyDescent="0.3">
      <c r="A28" s="229" t="s">
        <v>905</v>
      </c>
      <c r="B28" s="230" t="s">
        <v>906</v>
      </c>
      <c r="C28" s="231" t="s">
        <v>907</v>
      </c>
      <c r="D28" s="232" t="s">
        <v>598</v>
      </c>
      <c r="E28" s="232" t="s">
        <v>599</v>
      </c>
      <c r="F28" s="232" t="s">
        <v>600</v>
      </c>
      <c r="G28" s="232" t="s">
        <v>601</v>
      </c>
      <c r="H28" s="232" t="s">
        <v>602</v>
      </c>
      <c r="I28" s="232" t="s">
        <v>603</v>
      </c>
      <c r="J28" s="232" t="s">
        <v>461</v>
      </c>
      <c r="K28" s="232" t="s">
        <v>604</v>
      </c>
      <c r="L28" s="232" t="s">
        <v>465</v>
      </c>
      <c r="M28" s="232" t="s">
        <v>587</v>
      </c>
      <c r="N28" s="232" t="s">
        <v>463</v>
      </c>
      <c r="O28" s="232" t="s">
        <v>605</v>
      </c>
      <c r="P28" s="232" t="s">
        <v>606</v>
      </c>
      <c r="Q28" s="249" t="s">
        <v>566</v>
      </c>
      <c r="R28" s="232" t="s">
        <v>567</v>
      </c>
      <c r="S28" s="232" t="s">
        <v>607</v>
      </c>
      <c r="T28" s="232" t="s">
        <v>608</v>
      </c>
      <c r="U28" s="232" t="s">
        <v>609</v>
      </c>
      <c r="V28" s="250" t="s">
        <v>610</v>
      </c>
      <c r="W28" s="232" t="s">
        <v>567</v>
      </c>
      <c r="X28" s="232" t="s">
        <v>567</v>
      </c>
      <c r="Y28" s="232" t="s">
        <v>567</v>
      </c>
      <c r="Z28" s="232" t="s">
        <v>567</v>
      </c>
      <c r="AA28" s="232" t="s">
        <v>567</v>
      </c>
      <c r="AB28" s="232" t="s">
        <v>567</v>
      </c>
      <c r="AC28" s="232" t="s">
        <v>567</v>
      </c>
      <c r="AD28" s="232" t="s">
        <v>567</v>
      </c>
      <c r="AE28" s="232" t="s">
        <v>567</v>
      </c>
      <c r="AF28" s="232" t="s">
        <v>567</v>
      </c>
      <c r="AG28" s="193"/>
      <c r="AH28" s="236" t="s">
        <v>611</v>
      </c>
      <c r="AI28" s="237" t="s">
        <v>612</v>
      </c>
      <c r="AJ28" s="238" t="s">
        <v>613</v>
      </c>
      <c r="AK28" s="245"/>
      <c r="AL28" s="221"/>
      <c r="AM28" s="223"/>
      <c r="AN28" s="245"/>
      <c r="AO28" s="225"/>
      <c r="AP28" s="226"/>
      <c r="AQ28" s="227"/>
      <c r="AR28" s="245"/>
      <c r="AS28" s="225"/>
      <c r="AT28" s="228"/>
      <c r="AU28" s="227"/>
    </row>
    <row r="29" spans="1:48" ht="15.75" customHeight="1" x14ac:dyDescent="0.3">
      <c r="A29" s="215" t="s">
        <v>908</v>
      </c>
      <c r="B29" s="216" t="s">
        <v>909</v>
      </c>
      <c r="C29" s="115" t="s">
        <v>910</v>
      </c>
      <c r="D29" s="163" t="s">
        <v>752</v>
      </c>
      <c r="E29" s="164" t="s">
        <v>599</v>
      </c>
      <c r="F29" s="116" t="s">
        <v>559</v>
      </c>
      <c r="G29" s="116" t="s">
        <v>560</v>
      </c>
      <c r="H29" s="116" t="s">
        <v>717</v>
      </c>
      <c r="I29" s="116" t="s">
        <v>911</v>
      </c>
      <c r="J29" s="116" t="s">
        <v>765</v>
      </c>
      <c r="K29" s="116" t="s">
        <v>719</v>
      </c>
      <c r="L29" s="116" t="s">
        <v>586</v>
      </c>
      <c r="M29" s="116" t="s">
        <v>587</v>
      </c>
      <c r="N29" s="116" t="s">
        <v>766</v>
      </c>
      <c r="O29" s="116" t="s">
        <v>605</v>
      </c>
      <c r="P29" s="116" t="s">
        <v>767</v>
      </c>
      <c r="Q29" s="117" t="s">
        <v>566</v>
      </c>
      <c r="R29" s="116" t="s">
        <v>567</v>
      </c>
      <c r="S29" s="116" t="s">
        <v>768</v>
      </c>
      <c r="T29" s="116" t="s">
        <v>769</v>
      </c>
      <c r="U29" s="116" t="s">
        <v>756</v>
      </c>
      <c r="V29" s="118" t="s">
        <v>610</v>
      </c>
      <c r="W29" s="116" t="s">
        <v>567</v>
      </c>
      <c r="X29" s="116" t="s">
        <v>567</v>
      </c>
      <c r="Y29" s="116" t="s">
        <v>567</v>
      </c>
      <c r="Z29" s="116" t="s">
        <v>567</v>
      </c>
      <c r="AA29" s="116" t="s">
        <v>567</v>
      </c>
      <c r="AB29" s="116" t="s">
        <v>567</v>
      </c>
      <c r="AC29" s="116" t="s">
        <v>567</v>
      </c>
      <c r="AD29" s="116" t="s">
        <v>567</v>
      </c>
      <c r="AE29" s="116" t="s">
        <v>567</v>
      </c>
      <c r="AF29" s="116" t="s">
        <v>567</v>
      </c>
      <c r="AH29" s="173" t="s">
        <v>770</v>
      </c>
      <c r="AI29" s="174" t="s">
        <v>758</v>
      </c>
      <c r="AJ29" s="175" t="s">
        <v>592</v>
      </c>
      <c r="AL29" s="173" t="s">
        <v>726</v>
      </c>
      <c r="AM29" s="175" t="s">
        <v>771</v>
      </c>
    </row>
    <row r="30" spans="1:48" x14ac:dyDescent="0.3">
      <c r="A30" s="215" t="s">
        <v>912</v>
      </c>
      <c r="B30" s="216" t="s">
        <v>913</v>
      </c>
      <c r="C30" s="115" t="s">
        <v>914</v>
      </c>
      <c r="D30" s="116" t="s">
        <v>915</v>
      </c>
      <c r="E30" s="116" t="s">
        <v>916</v>
      </c>
      <c r="F30" s="116" t="s">
        <v>753</v>
      </c>
      <c r="G30" s="116" t="s">
        <v>560</v>
      </c>
      <c r="H30" s="116" t="s">
        <v>630</v>
      </c>
      <c r="I30" s="116" t="s">
        <v>917</v>
      </c>
      <c r="J30" s="116" t="s">
        <v>461</v>
      </c>
      <c r="K30" s="116" t="s">
        <v>918</v>
      </c>
      <c r="L30" s="116" t="s">
        <v>465</v>
      </c>
      <c r="M30" s="116" t="s">
        <v>656</v>
      </c>
      <c r="N30" s="116" t="s">
        <v>918</v>
      </c>
      <c r="O30" s="116" t="s">
        <v>461</v>
      </c>
      <c r="P30" s="116" t="s">
        <v>567</v>
      </c>
      <c r="Q30" s="218"/>
      <c r="R30" s="116"/>
      <c r="S30" s="116"/>
      <c r="T30" s="116"/>
      <c r="U30" s="116"/>
      <c r="V30" s="164"/>
      <c r="W30" s="219"/>
      <c r="X30" s="219"/>
      <c r="Y30" s="219"/>
      <c r="Z30" s="219"/>
      <c r="AA30" s="219"/>
      <c r="AB30" s="219"/>
      <c r="AC30" s="219"/>
      <c r="AD30" s="219"/>
      <c r="AE30" s="219"/>
      <c r="AF30" s="219"/>
      <c r="AG30" s="220"/>
      <c r="AH30" s="221" t="s">
        <v>919</v>
      </c>
      <c r="AI30" s="222" t="s">
        <v>920</v>
      </c>
      <c r="AJ30" s="223" t="s">
        <v>592</v>
      </c>
      <c r="AK30" s="224"/>
      <c r="AL30" s="221" t="s">
        <v>921</v>
      </c>
      <c r="AM30" s="223" t="s">
        <v>829</v>
      </c>
      <c r="AN30" s="224"/>
      <c r="AO30" s="221" t="s">
        <v>922</v>
      </c>
      <c r="AP30" s="226" t="s">
        <v>923</v>
      </c>
      <c r="AQ30" s="227" t="s">
        <v>693</v>
      </c>
      <c r="AR30" s="224"/>
      <c r="AS30" s="225" t="s">
        <v>924</v>
      </c>
      <c r="AT30" s="228" t="s">
        <v>925</v>
      </c>
      <c r="AU30" s="227" t="s">
        <v>926</v>
      </c>
    </row>
    <row r="31" spans="1:48" x14ac:dyDescent="0.3">
      <c r="A31" s="215" t="s">
        <v>927</v>
      </c>
      <c r="B31" s="216" t="s">
        <v>928</v>
      </c>
      <c r="C31" s="115" t="s">
        <v>929</v>
      </c>
      <c r="D31" s="116" t="s">
        <v>915</v>
      </c>
      <c r="E31" s="116" t="s">
        <v>879</v>
      </c>
      <c r="F31" s="116" t="s">
        <v>753</v>
      </c>
      <c r="G31" s="116" t="s">
        <v>880</v>
      </c>
      <c r="H31" s="116" t="s">
        <v>930</v>
      </c>
      <c r="I31" s="116" t="s">
        <v>931</v>
      </c>
      <c r="J31" s="116" t="s">
        <v>461</v>
      </c>
      <c r="K31" s="116" t="s">
        <v>671</v>
      </c>
      <c r="L31" s="116" t="s">
        <v>932</v>
      </c>
      <c r="M31" s="116" t="s">
        <v>656</v>
      </c>
      <c r="N31" s="116" t="s">
        <v>755</v>
      </c>
      <c r="O31" s="116" t="s">
        <v>471</v>
      </c>
      <c r="P31" s="116" t="s">
        <v>933</v>
      </c>
      <c r="Q31" s="218"/>
      <c r="R31" s="116"/>
      <c r="S31" s="116"/>
      <c r="T31" s="116"/>
      <c r="U31" s="116"/>
      <c r="V31" s="164"/>
      <c r="W31" s="219"/>
      <c r="X31" s="219"/>
      <c r="Y31" s="219"/>
      <c r="Z31" s="219"/>
      <c r="AA31" s="219"/>
      <c r="AB31" s="219"/>
      <c r="AC31" s="219"/>
      <c r="AD31" s="219"/>
      <c r="AE31" s="219"/>
      <c r="AF31" s="219"/>
      <c r="AG31" s="220"/>
      <c r="AH31" s="221" t="s">
        <v>919</v>
      </c>
      <c r="AI31" s="222" t="s">
        <v>934</v>
      </c>
      <c r="AJ31" s="223" t="s">
        <v>592</v>
      </c>
      <c r="AK31" s="224"/>
      <c r="AL31" s="221" t="s">
        <v>935</v>
      </c>
      <c r="AM31" s="223" t="s">
        <v>936</v>
      </c>
      <c r="AN31" s="224"/>
      <c r="AO31" s="225" t="s">
        <v>937</v>
      </c>
      <c r="AP31" s="226" t="s">
        <v>889</v>
      </c>
      <c r="AQ31" s="227" t="s">
        <v>693</v>
      </c>
      <c r="AR31" s="224"/>
      <c r="AS31" s="225" t="s">
        <v>924</v>
      </c>
      <c r="AT31" s="228" t="s">
        <v>925</v>
      </c>
      <c r="AU31" s="227" t="s">
        <v>664</v>
      </c>
    </row>
    <row r="32" spans="1:48" x14ac:dyDescent="0.3">
      <c r="A32" s="229" t="s">
        <v>938</v>
      </c>
      <c r="B32" s="230" t="s">
        <v>939</v>
      </c>
      <c r="C32" s="231" t="s">
        <v>940</v>
      </c>
      <c r="D32" s="232" t="s">
        <v>941</v>
      </c>
      <c r="E32" s="232" t="s">
        <v>879</v>
      </c>
      <c r="F32" s="232" t="s">
        <v>942</v>
      </c>
      <c r="G32" s="232" t="s">
        <v>456</v>
      </c>
      <c r="H32" s="232" t="s">
        <v>853</v>
      </c>
      <c r="I32" s="232" t="s">
        <v>931</v>
      </c>
      <c r="J32" s="232" t="s">
        <v>461</v>
      </c>
      <c r="K32" s="232" t="s">
        <v>671</v>
      </c>
      <c r="L32" s="232" t="s">
        <v>840</v>
      </c>
      <c r="M32" s="232" t="s">
        <v>467</v>
      </c>
      <c r="N32" s="232" t="s">
        <v>742</v>
      </c>
      <c r="O32" s="232" t="s">
        <v>471</v>
      </c>
      <c r="P32" s="232" t="s">
        <v>657</v>
      </c>
      <c r="Q32" s="233"/>
      <c r="R32" s="232"/>
      <c r="S32" s="232"/>
      <c r="T32" s="232"/>
      <c r="U32" s="232"/>
      <c r="V32" s="186"/>
      <c r="W32" s="234"/>
      <c r="X32" s="234"/>
      <c r="Y32" s="234"/>
      <c r="Z32" s="234"/>
      <c r="AA32" s="234"/>
      <c r="AB32" s="234"/>
      <c r="AC32" s="234"/>
      <c r="AD32" s="234"/>
      <c r="AE32" s="234"/>
      <c r="AF32" s="234"/>
      <c r="AG32" s="235"/>
      <c r="AH32" s="236" t="s">
        <v>943</v>
      </c>
      <c r="AI32" s="237" t="s">
        <v>944</v>
      </c>
      <c r="AJ32" s="238" t="s">
        <v>592</v>
      </c>
      <c r="AK32" s="239"/>
      <c r="AL32" s="236" t="s">
        <v>641</v>
      </c>
      <c r="AM32" s="238" t="s">
        <v>844</v>
      </c>
      <c r="AN32" s="239"/>
      <c r="AO32" s="240" t="s">
        <v>945</v>
      </c>
      <c r="AP32" s="241" t="s">
        <v>644</v>
      </c>
      <c r="AQ32" s="242" t="s">
        <v>693</v>
      </c>
      <c r="AR32" s="239"/>
      <c r="AS32" s="240" t="s">
        <v>946</v>
      </c>
      <c r="AT32" s="243" t="s">
        <v>848</v>
      </c>
      <c r="AU32" s="242" t="s">
        <v>664</v>
      </c>
      <c r="AV32" s="205"/>
    </row>
    <row r="33" spans="1:48" x14ac:dyDescent="0.3">
      <c r="A33" s="229" t="s">
        <v>947</v>
      </c>
      <c r="B33" s="230" t="s">
        <v>948</v>
      </c>
      <c r="C33" s="231" t="s">
        <v>949</v>
      </c>
      <c r="D33" s="232" t="s">
        <v>941</v>
      </c>
      <c r="E33" s="232" t="s">
        <v>916</v>
      </c>
      <c r="F33" s="232" t="s">
        <v>942</v>
      </c>
      <c r="G33" s="232" t="s">
        <v>456</v>
      </c>
      <c r="H33" s="232" t="s">
        <v>717</v>
      </c>
      <c r="I33" s="232" t="s">
        <v>950</v>
      </c>
      <c r="J33" s="232" t="s">
        <v>461</v>
      </c>
      <c r="K33" s="232" t="s">
        <v>633</v>
      </c>
      <c r="L33" s="232" t="s">
        <v>840</v>
      </c>
      <c r="M33" s="232" t="s">
        <v>467</v>
      </c>
      <c r="N33" s="232" t="s">
        <v>742</v>
      </c>
      <c r="O33" s="232" t="s">
        <v>463</v>
      </c>
      <c r="P33" s="232" t="s">
        <v>473</v>
      </c>
      <c r="Q33" s="233"/>
      <c r="R33" s="232"/>
      <c r="S33" s="232"/>
      <c r="T33" s="232"/>
      <c r="U33" s="232"/>
      <c r="V33" s="186"/>
      <c r="W33" s="234"/>
      <c r="X33" s="234"/>
      <c r="Y33" s="234"/>
      <c r="Z33" s="234"/>
      <c r="AA33" s="234"/>
      <c r="AB33" s="234"/>
      <c r="AC33" s="234"/>
      <c r="AD33" s="234"/>
      <c r="AE33" s="234"/>
      <c r="AF33" s="234"/>
      <c r="AG33" s="235"/>
      <c r="AH33" s="236" t="s">
        <v>951</v>
      </c>
      <c r="AI33" s="237" t="s">
        <v>952</v>
      </c>
      <c r="AJ33" s="238" t="s">
        <v>574</v>
      </c>
      <c r="AK33" s="239"/>
      <c r="AL33" s="236" t="s">
        <v>641</v>
      </c>
      <c r="AM33" s="238" t="s">
        <v>844</v>
      </c>
      <c r="AN33" s="239"/>
      <c r="AO33" s="240" t="s">
        <v>945</v>
      </c>
      <c r="AP33" s="241" t="s">
        <v>644</v>
      </c>
      <c r="AQ33" s="242" t="s">
        <v>693</v>
      </c>
      <c r="AR33" s="239"/>
      <c r="AS33" s="240" t="s">
        <v>946</v>
      </c>
      <c r="AT33" s="243" t="s">
        <v>848</v>
      </c>
      <c r="AU33" s="242" t="s">
        <v>664</v>
      </c>
      <c r="AV33" s="205"/>
    </row>
    <row r="34" spans="1:48" x14ac:dyDescent="0.3">
      <c r="A34" s="215" t="s">
        <v>953</v>
      </c>
      <c r="B34" s="216" t="s">
        <v>954</v>
      </c>
      <c r="C34" s="115" t="s">
        <v>955</v>
      </c>
      <c r="D34" s="116" t="s">
        <v>956</v>
      </c>
      <c r="E34" s="116" t="s">
        <v>863</v>
      </c>
      <c r="F34" s="116" t="s">
        <v>559</v>
      </c>
      <c r="G34" s="116" t="s">
        <v>957</v>
      </c>
      <c r="H34" s="116" t="s">
        <v>669</v>
      </c>
      <c r="I34" s="116" t="s">
        <v>958</v>
      </c>
      <c r="J34" s="116" t="s">
        <v>461</v>
      </c>
      <c r="K34" s="116" t="s">
        <v>814</v>
      </c>
      <c r="L34" s="116" t="s">
        <v>586</v>
      </c>
      <c r="M34" s="116" t="s">
        <v>587</v>
      </c>
      <c r="N34" s="116" t="s">
        <v>742</v>
      </c>
      <c r="O34" s="116" t="s">
        <v>959</v>
      </c>
      <c r="P34" s="116" t="s">
        <v>657</v>
      </c>
      <c r="Q34" s="117" t="s">
        <v>960</v>
      </c>
      <c r="R34" s="116" t="s">
        <v>567</v>
      </c>
      <c r="S34" s="116" t="s">
        <v>961</v>
      </c>
      <c r="T34" s="116" t="s">
        <v>962</v>
      </c>
      <c r="U34" s="116" t="s">
        <v>963</v>
      </c>
      <c r="V34" s="118" t="s">
        <v>964</v>
      </c>
      <c r="W34" s="116" t="s">
        <v>567</v>
      </c>
      <c r="X34" s="116" t="s">
        <v>567</v>
      </c>
      <c r="Y34" s="116" t="s">
        <v>567</v>
      </c>
      <c r="Z34" s="116" t="s">
        <v>567</v>
      </c>
      <c r="AA34" s="116" t="s">
        <v>567</v>
      </c>
      <c r="AB34" s="116" t="s">
        <v>567</v>
      </c>
      <c r="AC34" s="116" t="s">
        <v>567</v>
      </c>
      <c r="AD34" s="116" t="s">
        <v>567</v>
      </c>
      <c r="AE34" s="116" t="s">
        <v>567</v>
      </c>
      <c r="AF34" s="116" t="s">
        <v>567</v>
      </c>
      <c r="AG34" s="244"/>
      <c r="AH34" s="221" t="s">
        <v>965</v>
      </c>
      <c r="AI34" s="222" t="s">
        <v>966</v>
      </c>
      <c r="AJ34" s="223" t="s">
        <v>592</v>
      </c>
      <c r="AK34" s="245"/>
      <c r="AL34" s="221" t="s">
        <v>726</v>
      </c>
      <c r="AM34" s="223" t="s">
        <v>967</v>
      </c>
      <c r="AN34" s="245"/>
      <c r="AO34" s="225"/>
      <c r="AP34" s="226"/>
      <c r="AQ34" s="227"/>
      <c r="AR34" s="245"/>
      <c r="AS34" s="225"/>
      <c r="AT34" s="228"/>
      <c r="AU34" s="227"/>
    </row>
    <row r="35" spans="1:48" x14ac:dyDescent="0.3">
      <c r="A35" s="215" t="s">
        <v>968</v>
      </c>
      <c r="B35" s="216" t="s">
        <v>969</v>
      </c>
      <c r="C35" s="115" t="s">
        <v>970</v>
      </c>
      <c r="D35" s="116" t="s">
        <v>956</v>
      </c>
      <c r="E35" s="116" t="s">
        <v>863</v>
      </c>
      <c r="F35" s="116" t="s">
        <v>559</v>
      </c>
      <c r="G35" s="116" t="s">
        <v>971</v>
      </c>
      <c r="H35" s="116" t="s">
        <v>583</v>
      </c>
      <c r="I35" s="116" t="s">
        <v>972</v>
      </c>
      <c r="J35" s="116" t="s">
        <v>461</v>
      </c>
      <c r="K35" s="116" t="s">
        <v>562</v>
      </c>
      <c r="L35" s="116" t="s">
        <v>465</v>
      </c>
      <c r="M35" s="116" t="s">
        <v>587</v>
      </c>
      <c r="N35" s="116" t="s">
        <v>562</v>
      </c>
      <c r="O35" s="116" t="s">
        <v>463</v>
      </c>
      <c r="P35" s="116" t="s">
        <v>565</v>
      </c>
      <c r="Q35" s="117" t="s">
        <v>960</v>
      </c>
      <c r="R35" s="116" t="s">
        <v>567</v>
      </c>
      <c r="S35" s="116" t="s">
        <v>869</v>
      </c>
      <c r="T35" s="116" t="s">
        <v>973</v>
      </c>
      <c r="U35" s="116" t="s">
        <v>963</v>
      </c>
      <c r="V35" s="118" t="s">
        <v>974</v>
      </c>
      <c r="W35" s="116" t="s">
        <v>567</v>
      </c>
      <c r="X35" s="116" t="s">
        <v>567</v>
      </c>
      <c r="Y35" s="116" t="s">
        <v>567</v>
      </c>
      <c r="Z35" s="116" t="s">
        <v>567</v>
      </c>
      <c r="AA35" s="116" t="s">
        <v>567</v>
      </c>
      <c r="AB35" s="116" t="s">
        <v>567</v>
      </c>
      <c r="AC35" s="116" t="s">
        <v>567</v>
      </c>
      <c r="AD35" s="116" t="s">
        <v>567</v>
      </c>
      <c r="AE35" s="116" t="s">
        <v>567</v>
      </c>
      <c r="AF35" s="116" t="s">
        <v>567</v>
      </c>
      <c r="AG35" s="244"/>
      <c r="AH35" s="221" t="s">
        <v>975</v>
      </c>
      <c r="AI35" s="222" t="s">
        <v>976</v>
      </c>
      <c r="AJ35" s="223" t="s">
        <v>574</v>
      </c>
      <c r="AK35" s="245"/>
      <c r="AL35" s="221" t="s">
        <v>977</v>
      </c>
      <c r="AM35" s="223" t="s">
        <v>760</v>
      </c>
      <c r="AN35" s="245"/>
      <c r="AO35" s="225"/>
      <c r="AP35" s="226"/>
      <c r="AQ35" s="227"/>
      <c r="AR35" s="245"/>
      <c r="AS35" s="225"/>
      <c r="AT35" s="228"/>
      <c r="AU35" s="227"/>
    </row>
    <row r="36" spans="1:48" x14ac:dyDescent="0.3">
      <c r="A36" s="215" t="s">
        <v>978</v>
      </c>
      <c r="B36" s="216" t="s">
        <v>979</v>
      </c>
      <c r="C36" s="115" t="s">
        <v>980</v>
      </c>
      <c r="D36" s="116" t="s">
        <v>956</v>
      </c>
      <c r="E36" s="116" t="s">
        <v>863</v>
      </c>
      <c r="F36" s="116" t="s">
        <v>559</v>
      </c>
      <c r="G36" s="116" t="s">
        <v>971</v>
      </c>
      <c r="H36" s="116" t="s">
        <v>630</v>
      </c>
      <c r="I36" s="116" t="s">
        <v>972</v>
      </c>
      <c r="J36" s="116" t="s">
        <v>461</v>
      </c>
      <c r="K36" s="116" t="s">
        <v>585</v>
      </c>
      <c r="L36" s="116" t="s">
        <v>586</v>
      </c>
      <c r="M36" s="116" t="s">
        <v>587</v>
      </c>
      <c r="N36" s="116" t="s">
        <v>562</v>
      </c>
      <c r="O36" s="116" t="s">
        <v>981</v>
      </c>
      <c r="P36" s="116" t="s">
        <v>565</v>
      </c>
      <c r="Q36" s="117" t="s">
        <v>960</v>
      </c>
      <c r="R36" s="116" t="s">
        <v>567</v>
      </c>
      <c r="S36" s="116" t="s">
        <v>869</v>
      </c>
      <c r="T36" s="116" t="s">
        <v>973</v>
      </c>
      <c r="U36" s="116" t="s">
        <v>963</v>
      </c>
      <c r="V36" s="118" t="s">
        <v>982</v>
      </c>
      <c r="W36" s="116" t="s">
        <v>567</v>
      </c>
      <c r="X36" s="116" t="s">
        <v>567</v>
      </c>
      <c r="Y36" s="116" t="s">
        <v>567</v>
      </c>
      <c r="Z36" s="116" t="s">
        <v>567</v>
      </c>
      <c r="AA36" s="116" t="s">
        <v>567</v>
      </c>
      <c r="AB36" s="116" t="s">
        <v>567</v>
      </c>
      <c r="AC36" s="116" t="s">
        <v>567</v>
      </c>
      <c r="AD36" s="116" t="s">
        <v>567</v>
      </c>
      <c r="AE36" s="116" t="s">
        <v>567</v>
      </c>
      <c r="AF36" s="116" t="s">
        <v>567</v>
      </c>
      <c r="AG36" s="244"/>
      <c r="AH36" s="221" t="s">
        <v>983</v>
      </c>
      <c r="AI36" s="222" t="s">
        <v>966</v>
      </c>
      <c r="AJ36" s="223" t="s">
        <v>592</v>
      </c>
      <c r="AK36" s="245"/>
      <c r="AL36" s="221" t="s">
        <v>984</v>
      </c>
      <c r="AM36" s="223" t="s">
        <v>594</v>
      </c>
      <c r="AN36" s="245"/>
      <c r="AO36" s="225"/>
      <c r="AP36" s="226"/>
      <c r="AQ36" s="227"/>
      <c r="AR36" s="245"/>
      <c r="AS36" s="225"/>
      <c r="AT36" s="228"/>
      <c r="AU36" s="227"/>
    </row>
    <row r="37" spans="1:48" x14ac:dyDescent="0.3">
      <c r="A37" s="215" t="s">
        <v>985</v>
      </c>
      <c r="B37" s="216" t="s">
        <v>986</v>
      </c>
      <c r="C37" s="115" t="s">
        <v>987</v>
      </c>
      <c r="D37" s="116" t="s">
        <v>837</v>
      </c>
      <c r="E37" s="116" t="s">
        <v>916</v>
      </c>
      <c r="F37" s="116" t="s">
        <v>988</v>
      </c>
      <c r="G37" s="116" t="s">
        <v>456</v>
      </c>
      <c r="H37" s="116" t="s">
        <v>989</v>
      </c>
      <c r="I37" s="116" t="s">
        <v>990</v>
      </c>
      <c r="J37" s="116" t="s">
        <v>991</v>
      </c>
      <c r="K37" s="116" t="s">
        <v>671</v>
      </c>
      <c r="L37" s="116" t="s">
        <v>840</v>
      </c>
      <c r="M37" s="116" t="s">
        <v>992</v>
      </c>
      <c r="N37" s="116" t="s">
        <v>780</v>
      </c>
      <c r="O37" s="116" t="s">
        <v>463</v>
      </c>
      <c r="P37" s="116" t="s">
        <v>993</v>
      </c>
      <c r="Q37" s="218"/>
      <c r="R37" s="116"/>
      <c r="S37" s="116"/>
      <c r="T37" s="116"/>
      <c r="U37" s="116"/>
      <c r="V37" s="164"/>
      <c r="W37" s="219"/>
      <c r="X37" s="219"/>
      <c r="Y37" s="219"/>
      <c r="Z37" s="219"/>
      <c r="AA37" s="219"/>
      <c r="AB37" s="219"/>
      <c r="AC37" s="219"/>
      <c r="AD37" s="219"/>
      <c r="AE37" s="219"/>
      <c r="AF37" s="219"/>
      <c r="AG37" s="220"/>
      <c r="AH37" s="221" t="s">
        <v>994</v>
      </c>
      <c r="AI37" s="222" t="s">
        <v>995</v>
      </c>
      <c r="AJ37" s="223" t="s">
        <v>613</v>
      </c>
      <c r="AK37" s="224"/>
      <c r="AL37" s="221" t="s">
        <v>641</v>
      </c>
      <c r="AM37" s="223" t="s">
        <v>844</v>
      </c>
      <c r="AN37" s="224"/>
      <c r="AO37" s="225" t="s">
        <v>845</v>
      </c>
      <c r="AP37" s="226" t="s">
        <v>644</v>
      </c>
      <c r="AQ37" s="227" t="s">
        <v>693</v>
      </c>
      <c r="AR37" s="224"/>
      <c r="AS37" s="225" t="s">
        <v>996</v>
      </c>
      <c r="AT37" s="228" t="s">
        <v>997</v>
      </c>
      <c r="AU37" s="227" t="s">
        <v>787</v>
      </c>
    </row>
    <row r="38" spans="1:48" x14ac:dyDescent="0.3">
      <c r="A38" s="215" t="s">
        <v>998</v>
      </c>
      <c r="B38" s="216" t="s">
        <v>999</v>
      </c>
      <c r="C38" s="115" t="s">
        <v>1000</v>
      </c>
      <c r="D38" s="116" t="s">
        <v>731</v>
      </c>
      <c r="E38" s="116" t="s">
        <v>558</v>
      </c>
      <c r="F38" s="116" t="s">
        <v>732</v>
      </c>
      <c r="G38" s="116" t="s">
        <v>560</v>
      </c>
      <c r="H38" s="116" t="s">
        <v>655</v>
      </c>
      <c r="I38" s="116" t="s">
        <v>740</v>
      </c>
      <c r="J38" s="116" t="s">
        <v>461</v>
      </c>
      <c r="K38" s="116" t="s">
        <v>741</v>
      </c>
      <c r="L38" s="116" t="s">
        <v>586</v>
      </c>
      <c r="M38" s="116" t="s">
        <v>563</v>
      </c>
      <c r="N38" s="116" t="s">
        <v>742</v>
      </c>
      <c r="O38" s="116" t="s">
        <v>461</v>
      </c>
      <c r="P38" s="116" t="s">
        <v>743</v>
      </c>
      <c r="Q38" s="117" t="s">
        <v>566</v>
      </c>
      <c r="R38" s="116" t="s">
        <v>567</v>
      </c>
      <c r="S38" s="116" t="s">
        <v>1001</v>
      </c>
      <c r="T38" s="116" t="s">
        <v>1002</v>
      </c>
      <c r="U38" s="116" t="s">
        <v>734</v>
      </c>
      <c r="V38" s="118" t="s">
        <v>610</v>
      </c>
      <c r="W38" s="116" t="s">
        <v>567</v>
      </c>
      <c r="X38" s="116" t="s">
        <v>567</v>
      </c>
      <c r="Y38" s="116" t="s">
        <v>567</v>
      </c>
      <c r="Z38" s="116" t="s">
        <v>567</v>
      </c>
      <c r="AA38" s="116" t="s">
        <v>567</v>
      </c>
      <c r="AB38" s="116" t="s">
        <v>567</v>
      </c>
      <c r="AC38" s="116" t="s">
        <v>567</v>
      </c>
      <c r="AD38" s="116" t="s">
        <v>567</v>
      </c>
      <c r="AE38" s="116" t="s">
        <v>567</v>
      </c>
      <c r="AF38" s="116" t="s">
        <v>567</v>
      </c>
      <c r="AG38" s="220"/>
      <c r="AH38" s="221" t="s">
        <v>746</v>
      </c>
      <c r="AI38" s="222" t="s">
        <v>736</v>
      </c>
      <c r="AJ38" s="223" t="s">
        <v>574</v>
      </c>
      <c r="AK38" s="224"/>
      <c r="AL38" s="221" t="s">
        <v>747</v>
      </c>
      <c r="AM38" s="223" t="s">
        <v>1003</v>
      </c>
      <c r="AN38" s="224"/>
      <c r="AO38" s="225"/>
      <c r="AP38" s="226"/>
      <c r="AQ38" s="227"/>
      <c r="AR38" s="224"/>
      <c r="AS38" s="225"/>
      <c r="AT38" s="228"/>
      <c r="AU38" s="227"/>
    </row>
    <row r="39" spans="1:48" x14ac:dyDescent="0.3">
      <c r="A39" s="215" t="s">
        <v>1004</v>
      </c>
      <c r="B39" s="216" t="s">
        <v>1005</v>
      </c>
      <c r="C39" s="115" t="s">
        <v>1006</v>
      </c>
      <c r="D39" s="116" t="s">
        <v>1007</v>
      </c>
      <c r="E39" s="116" t="s">
        <v>558</v>
      </c>
      <c r="F39" s="116" t="s">
        <v>732</v>
      </c>
      <c r="G39" s="116" t="s">
        <v>601</v>
      </c>
      <c r="H39" s="116" t="s">
        <v>461</v>
      </c>
      <c r="I39" s="116" t="s">
        <v>1008</v>
      </c>
      <c r="J39" s="116" t="s">
        <v>461</v>
      </c>
      <c r="K39" s="116" t="s">
        <v>604</v>
      </c>
      <c r="L39" s="116" t="s">
        <v>465</v>
      </c>
      <c r="M39" s="116" t="s">
        <v>563</v>
      </c>
      <c r="N39" s="116" t="s">
        <v>1009</v>
      </c>
      <c r="O39" s="116" t="s">
        <v>461</v>
      </c>
      <c r="P39" s="116" t="s">
        <v>1010</v>
      </c>
      <c r="Q39" s="117" t="s">
        <v>566</v>
      </c>
      <c r="R39" s="116" t="s">
        <v>567</v>
      </c>
      <c r="S39" s="116" t="s">
        <v>1001</v>
      </c>
      <c r="T39" s="116" t="s">
        <v>1011</v>
      </c>
      <c r="U39" s="116" t="s">
        <v>1012</v>
      </c>
      <c r="V39" s="118" t="s">
        <v>610</v>
      </c>
      <c r="W39" s="116" t="s">
        <v>567</v>
      </c>
      <c r="X39" s="116" t="s">
        <v>567</v>
      </c>
      <c r="Y39" s="116" t="s">
        <v>567</v>
      </c>
      <c r="Z39" s="116" t="s">
        <v>567</v>
      </c>
      <c r="AA39" s="116" t="s">
        <v>567</v>
      </c>
      <c r="AB39" s="116" t="s">
        <v>567</v>
      </c>
      <c r="AC39" s="116" t="s">
        <v>567</v>
      </c>
      <c r="AD39" s="116" t="s">
        <v>567</v>
      </c>
      <c r="AE39" s="116" t="s">
        <v>567</v>
      </c>
      <c r="AF39" s="116" t="s">
        <v>567</v>
      </c>
      <c r="AG39" s="220"/>
      <c r="AH39" s="221" t="s">
        <v>1013</v>
      </c>
      <c r="AI39" s="222" t="s">
        <v>1014</v>
      </c>
      <c r="AJ39" s="223" t="s">
        <v>574</v>
      </c>
      <c r="AK39" s="224"/>
      <c r="AL39" s="221"/>
      <c r="AM39" s="223"/>
      <c r="AN39" s="224"/>
      <c r="AO39" s="225"/>
      <c r="AP39" s="226"/>
      <c r="AQ39" s="227"/>
      <c r="AR39" s="224"/>
      <c r="AS39" s="225"/>
      <c r="AT39" s="228"/>
      <c r="AU39" s="227"/>
    </row>
    <row r="40" spans="1:48" x14ac:dyDescent="0.3">
      <c r="A40" s="229" t="s">
        <v>1015</v>
      </c>
      <c r="B40" s="230" t="s">
        <v>1016</v>
      </c>
      <c r="C40" s="231" t="s">
        <v>1017</v>
      </c>
      <c r="D40" s="232" t="s">
        <v>1007</v>
      </c>
      <c r="E40" s="232" t="s">
        <v>558</v>
      </c>
      <c r="F40" s="232" t="s">
        <v>1018</v>
      </c>
      <c r="G40" s="232" t="s">
        <v>601</v>
      </c>
      <c r="H40" s="232" t="s">
        <v>655</v>
      </c>
      <c r="I40" s="232" t="s">
        <v>1019</v>
      </c>
      <c r="J40" s="232" t="s">
        <v>461</v>
      </c>
      <c r="K40" s="232" t="s">
        <v>604</v>
      </c>
      <c r="L40" s="232" t="s">
        <v>465</v>
      </c>
      <c r="M40" s="232" t="s">
        <v>587</v>
      </c>
      <c r="N40" s="232" t="s">
        <v>866</v>
      </c>
      <c r="O40" s="232" t="s">
        <v>1020</v>
      </c>
      <c r="P40" s="232" t="s">
        <v>1021</v>
      </c>
      <c r="Q40" s="249" t="s">
        <v>566</v>
      </c>
      <c r="R40" s="232" t="s">
        <v>567</v>
      </c>
      <c r="S40" s="232" t="s">
        <v>1022</v>
      </c>
      <c r="T40" s="232" t="s">
        <v>1023</v>
      </c>
      <c r="U40" s="232" t="s">
        <v>1024</v>
      </c>
      <c r="V40" s="250" t="s">
        <v>1025</v>
      </c>
      <c r="W40" s="232" t="s">
        <v>567</v>
      </c>
      <c r="X40" s="232" t="s">
        <v>567</v>
      </c>
      <c r="Y40" s="232" t="s">
        <v>567</v>
      </c>
      <c r="Z40" s="232" t="s">
        <v>567</v>
      </c>
      <c r="AA40" s="232" t="s">
        <v>567</v>
      </c>
      <c r="AB40" s="232" t="s">
        <v>567</v>
      </c>
      <c r="AC40" s="232" t="s">
        <v>567</v>
      </c>
      <c r="AD40" s="232" t="s">
        <v>567</v>
      </c>
      <c r="AE40" s="232" t="s">
        <v>567</v>
      </c>
      <c r="AF40" s="232" t="s">
        <v>567</v>
      </c>
      <c r="AG40" s="235"/>
      <c r="AH40" s="236" t="s">
        <v>1026</v>
      </c>
      <c r="AI40" s="237" t="s">
        <v>1027</v>
      </c>
      <c r="AJ40" s="238" t="s">
        <v>613</v>
      </c>
      <c r="AK40" s="239"/>
      <c r="AL40" s="236"/>
      <c r="AM40" s="238"/>
      <c r="AN40" s="239"/>
      <c r="AO40" s="240"/>
      <c r="AP40" s="241"/>
      <c r="AQ40" s="242"/>
      <c r="AR40" s="239"/>
      <c r="AS40" s="240"/>
      <c r="AT40" s="243"/>
      <c r="AU40" s="242"/>
      <c r="AV40" s="205"/>
    </row>
    <row r="41" spans="1:48" x14ac:dyDescent="0.3">
      <c r="A41" s="215" t="s">
        <v>1028</v>
      </c>
      <c r="B41" s="216" t="s">
        <v>1029</v>
      </c>
      <c r="C41" s="115" t="s">
        <v>1030</v>
      </c>
      <c r="D41" s="116" t="s">
        <v>557</v>
      </c>
      <c r="E41" s="116" t="s">
        <v>582</v>
      </c>
      <c r="F41" s="116" t="s">
        <v>617</v>
      </c>
      <c r="G41" s="116" t="s">
        <v>1031</v>
      </c>
      <c r="H41" s="116" t="s">
        <v>655</v>
      </c>
      <c r="I41" s="116" t="s">
        <v>1032</v>
      </c>
      <c r="J41" s="116" t="s">
        <v>461</v>
      </c>
      <c r="K41" s="116" t="s">
        <v>562</v>
      </c>
      <c r="L41" s="116" t="s">
        <v>586</v>
      </c>
      <c r="M41" s="116" t="s">
        <v>587</v>
      </c>
      <c r="N41" s="116" t="s">
        <v>1033</v>
      </c>
      <c r="O41" s="116" t="s">
        <v>461</v>
      </c>
      <c r="P41" s="116" t="s">
        <v>1021</v>
      </c>
      <c r="Q41" s="117" t="s">
        <v>566</v>
      </c>
      <c r="R41" s="116" t="s">
        <v>567</v>
      </c>
      <c r="S41" s="116" t="s">
        <v>744</v>
      </c>
      <c r="T41" s="116" t="s">
        <v>1034</v>
      </c>
      <c r="U41" s="116" t="s">
        <v>734</v>
      </c>
      <c r="V41" s="118" t="s">
        <v>571</v>
      </c>
      <c r="W41" s="116" t="s">
        <v>567</v>
      </c>
      <c r="X41" s="116" t="s">
        <v>567</v>
      </c>
      <c r="Y41" s="116" t="s">
        <v>567</v>
      </c>
      <c r="Z41" s="116" t="s">
        <v>567</v>
      </c>
      <c r="AA41" s="116" t="s">
        <v>567</v>
      </c>
      <c r="AB41" s="116" t="s">
        <v>567</v>
      </c>
      <c r="AC41" s="116" t="s">
        <v>567</v>
      </c>
      <c r="AD41" s="116" t="s">
        <v>567</v>
      </c>
      <c r="AE41" s="116" t="s">
        <v>567</v>
      </c>
      <c r="AF41" s="116" t="s">
        <v>567</v>
      </c>
      <c r="AG41" s="220"/>
      <c r="AH41" s="221" t="s">
        <v>1035</v>
      </c>
      <c r="AI41" s="222" t="s">
        <v>573</v>
      </c>
      <c r="AJ41" s="223" t="s">
        <v>574</v>
      </c>
      <c r="AK41" s="224"/>
      <c r="AL41" s="221" t="s">
        <v>1036</v>
      </c>
      <c r="AM41" s="223" t="s">
        <v>760</v>
      </c>
      <c r="AN41" s="224"/>
      <c r="AO41" s="225"/>
      <c r="AP41" s="226"/>
      <c r="AQ41" s="227"/>
      <c r="AR41" s="224"/>
      <c r="AS41" s="225"/>
      <c r="AT41" s="228"/>
      <c r="AU41" s="227"/>
    </row>
    <row r="42" spans="1:48" x14ac:dyDescent="0.3">
      <c r="A42" s="229" t="s">
        <v>1037</v>
      </c>
      <c r="B42" s="230" t="s">
        <v>1038</v>
      </c>
      <c r="C42" s="231" t="s">
        <v>1039</v>
      </c>
      <c r="D42" s="232" t="s">
        <v>557</v>
      </c>
      <c r="E42" s="232" t="s">
        <v>582</v>
      </c>
      <c r="F42" s="232" t="s">
        <v>617</v>
      </c>
      <c r="G42" s="232" t="s">
        <v>618</v>
      </c>
      <c r="H42" s="232" t="s">
        <v>583</v>
      </c>
      <c r="I42" s="232" t="s">
        <v>584</v>
      </c>
      <c r="J42" s="232" t="s">
        <v>461</v>
      </c>
      <c r="K42" s="232" t="s">
        <v>604</v>
      </c>
      <c r="L42" s="232" t="s">
        <v>465</v>
      </c>
      <c r="M42" s="232" t="s">
        <v>587</v>
      </c>
      <c r="N42" s="232" t="s">
        <v>463</v>
      </c>
      <c r="O42" s="232" t="s">
        <v>461</v>
      </c>
      <c r="P42" s="232" t="s">
        <v>619</v>
      </c>
      <c r="Q42" s="249" t="s">
        <v>566</v>
      </c>
      <c r="R42" s="232" t="s">
        <v>567</v>
      </c>
      <c r="S42" s="232" t="s">
        <v>1040</v>
      </c>
      <c r="T42" s="232" t="s">
        <v>1041</v>
      </c>
      <c r="U42" s="232" t="s">
        <v>1042</v>
      </c>
      <c r="V42" s="250" t="s">
        <v>1025</v>
      </c>
      <c r="W42" s="232" t="s">
        <v>567</v>
      </c>
      <c r="X42" s="232" t="s">
        <v>567</v>
      </c>
      <c r="Y42" s="232" t="s">
        <v>567</v>
      </c>
      <c r="Z42" s="232" t="s">
        <v>567</v>
      </c>
      <c r="AA42" s="232" t="s">
        <v>567</v>
      </c>
      <c r="AB42" s="232" t="s">
        <v>567</v>
      </c>
      <c r="AC42" s="232" t="s">
        <v>567</v>
      </c>
      <c r="AD42" s="232" t="s">
        <v>567</v>
      </c>
      <c r="AE42" s="232" t="s">
        <v>567</v>
      </c>
      <c r="AF42" s="232" t="s">
        <v>567</v>
      </c>
      <c r="AG42" s="235"/>
      <c r="AH42" s="236" t="s">
        <v>1043</v>
      </c>
      <c r="AI42" s="237" t="s">
        <v>591</v>
      </c>
      <c r="AJ42" s="238" t="s">
        <v>613</v>
      </c>
      <c r="AK42" s="239"/>
      <c r="AL42" s="236"/>
      <c r="AM42" s="238"/>
      <c r="AN42" s="239"/>
      <c r="AO42" s="240"/>
      <c r="AP42" s="241"/>
      <c r="AQ42" s="242"/>
      <c r="AR42" s="239"/>
      <c r="AS42" s="240"/>
      <c r="AT42" s="243"/>
      <c r="AU42" s="242"/>
      <c r="AV42" s="205"/>
    </row>
    <row r="43" spans="1:48" x14ac:dyDescent="0.3">
      <c r="A43" s="215" t="s">
        <v>1044</v>
      </c>
      <c r="B43" s="216" t="s">
        <v>1045</v>
      </c>
      <c r="C43" s="115" t="s">
        <v>1046</v>
      </c>
      <c r="D43" s="116" t="s">
        <v>821</v>
      </c>
      <c r="E43" s="116" t="s">
        <v>599</v>
      </c>
      <c r="F43" s="116" t="s">
        <v>776</v>
      </c>
      <c r="G43" s="116" t="s">
        <v>601</v>
      </c>
      <c r="H43" s="116" t="s">
        <v>655</v>
      </c>
      <c r="I43" s="116" t="s">
        <v>1047</v>
      </c>
      <c r="J43" s="116" t="s">
        <v>461</v>
      </c>
      <c r="K43" s="116" t="s">
        <v>719</v>
      </c>
      <c r="L43" s="116" t="s">
        <v>586</v>
      </c>
      <c r="M43" s="116" t="s">
        <v>587</v>
      </c>
      <c r="N43" s="116" t="s">
        <v>793</v>
      </c>
      <c r="O43" s="116" t="s">
        <v>463</v>
      </c>
      <c r="P43" s="116" t="s">
        <v>1048</v>
      </c>
      <c r="Q43" s="117" t="s">
        <v>566</v>
      </c>
      <c r="R43" s="116" t="s">
        <v>567</v>
      </c>
      <c r="S43" s="116" t="s">
        <v>768</v>
      </c>
      <c r="T43" s="116" t="s">
        <v>795</v>
      </c>
      <c r="U43" s="116" t="s">
        <v>825</v>
      </c>
      <c r="V43" s="118" t="s">
        <v>796</v>
      </c>
      <c r="W43" s="116"/>
      <c r="X43" s="116"/>
      <c r="Y43" s="116"/>
      <c r="Z43" s="116"/>
      <c r="AA43" s="116"/>
      <c r="AB43" s="116"/>
      <c r="AC43" s="116"/>
      <c r="AD43" s="116"/>
      <c r="AE43" s="116"/>
      <c r="AF43" s="116"/>
      <c r="AH43" s="173" t="s">
        <v>1049</v>
      </c>
      <c r="AI43" s="174" t="s">
        <v>827</v>
      </c>
      <c r="AJ43" s="175" t="s">
        <v>613</v>
      </c>
      <c r="AL43" s="173" t="s">
        <v>726</v>
      </c>
      <c r="AM43" s="175" t="s">
        <v>1050</v>
      </c>
    </row>
    <row r="44" spans="1:48" x14ac:dyDescent="0.3">
      <c r="A44" s="229" t="s">
        <v>1051</v>
      </c>
      <c r="B44" s="230" t="s">
        <v>1052</v>
      </c>
      <c r="C44" s="231" t="s">
        <v>1053</v>
      </c>
      <c r="D44" s="232" t="s">
        <v>821</v>
      </c>
      <c r="E44" s="232" t="s">
        <v>599</v>
      </c>
      <c r="F44" s="232" t="s">
        <v>1054</v>
      </c>
      <c r="G44" s="232" t="s">
        <v>716</v>
      </c>
      <c r="H44" s="232" t="s">
        <v>669</v>
      </c>
      <c r="I44" s="232" t="s">
        <v>1055</v>
      </c>
      <c r="J44" s="232" t="s">
        <v>1056</v>
      </c>
      <c r="K44" s="232" t="s">
        <v>814</v>
      </c>
      <c r="L44" s="232" t="s">
        <v>586</v>
      </c>
      <c r="M44" s="232" t="s">
        <v>587</v>
      </c>
      <c r="N44" s="232" t="s">
        <v>635</v>
      </c>
      <c r="O44" s="232" t="s">
        <v>461</v>
      </c>
      <c r="P44" s="232" t="s">
        <v>1057</v>
      </c>
      <c r="Q44" s="249" t="s">
        <v>566</v>
      </c>
      <c r="R44" s="232" t="s">
        <v>567</v>
      </c>
      <c r="S44" s="232" t="s">
        <v>1022</v>
      </c>
      <c r="T44" s="232" t="s">
        <v>1023</v>
      </c>
      <c r="U44" s="232" t="s">
        <v>1058</v>
      </c>
      <c r="V44" s="250" t="s">
        <v>1025</v>
      </c>
      <c r="W44" s="232" t="s">
        <v>567</v>
      </c>
      <c r="X44" s="232" t="s">
        <v>567</v>
      </c>
      <c r="Y44" s="232" t="s">
        <v>567</v>
      </c>
      <c r="Z44" s="232" t="s">
        <v>567</v>
      </c>
      <c r="AA44" s="232" t="s">
        <v>567</v>
      </c>
      <c r="AB44" s="232" t="s">
        <v>567</v>
      </c>
      <c r="AC44" s="232" t="s">
        <v>567</v>
      </c>
      <c r="AD44" s="232" t="s">
        <v>567</v>
      </c>
      <c r="AE44" s="232" t="s">
        <v>567</v>
      </c>
      <c r="AF44" s="232" t="s">
        <v>567</v>
      </c>
      <c r="AG44" s="193"/>
      <c r="AH44" s="194" t="s">
        <v>1049</v>
      </c>
      <c r="AI44" s="195" t="s">
        <v>827</v>
      </c>
      <c r="AJ44" s="196" t="s">
        <v>613</v>
      </c>
      <c r="AK44" s="197"/>
      <c r="AL44" s="194" t="s">
        <v>726</v>
      </c>
      <c r="AM44" s="196" t="s">
        <v>1059</v>
      </c>
      <c r="AN44" s="197"/>
      <c r="AO44" s="203"/>
      <c r="AP44" s="200"/>
      <c r="AQ44" s="201"/>
      <c r="AR44" s="197"/>
      <c r="AS44" s="203"/>
      <c r="AT44" s="204"/>
      <c r="AU44" s="201"/>
      <c r="AV44" s="205"/>
    </row>
    <row r="45" spans="1:48" x14ac:dyDescent="0.3">
      <c r="A45" s="229" t="s">
        <v>1060</v>
      </c>
      <c r="B45" s="230" t="s">
        <v>1061</v>
      </c>
      <c r="C45" s="231" t="s">
        <v>1062</v>
      </c>
      <c r="D45" s="232" t="s">
        <v>821</v>
      </c>
      <c r="E45" s="232" t="s">
        <v>715</v>
      </c>
      <c r="F45" s="232" t="s">
        <v>1018</v>
      </c>
      <c r="G45" s="232" t="s">
        <v>716</v>
      </c>
      <c r="H45" s="232" t="s">
        <v>461</v>
      </c>
      <c r="I45" s="232" t="s">
        <v>1063</v>
      </c>
      <c r="J45" s="232" t="s">
        <v>461</v>
      </c>
      <c r="K45" s="232" t="s">
        <v>604</v>
      </c>
      <c r="L45" s="232" t="s">
        <v>586</v>
      </c>
      <c r="M45" s="232" t="s">
        <v>587</v>
      </c>
      <c r="N45" s="232" t="s">
        <v>866</v>
      </c>
      <c r="O45" s="232" t="s">
        <v>461</v>
      </c>
      <c r="P45" s="232" t="s">
        <v>767</v>
      </c>
      <c r="Q45" s="249" t="s">
        <v>566</v>
      </c>
      <c r="R45" s="232" t="s">
        <v>567</v>
      </c>
      <c r="S45" s="232" t="s">
        <v>1064</v>
      </c>
      <c r="T45" s="232" t="s">
        <v>1065</v>
      </c>
      <c r="U45" s="232" t="s">
        <v>1058</v>
      </c>
      <c r="V45" s="250" t="s">
        <v>1025</v>
      </c>
      <c r="W45" s="232" t="s">
        <v>567</v>
      </c>
      <c r="X45" s="232" t="s">
        <v>567</v>
      </c>
      <c r="Y45" s="232" t="s">
        <v>567</v>
      </c>
      <c r="Z45" s="232" t="s">
        <v>567</v>
      </c>
      <c r="AA45" s="232" t="s">
        <v>567</v>
      </c>
      <c r="AB45" s="232" t="s">
        <v>567</v>
      </c>
      <c r="AC45" s="232" t="s">
        <v>567</v>
      </c>
      <c r="AD45" s="232" t="s">
        <v>567</v>
      </c>
      <c r="AE45" s="232" t="s">
        <v>567</v>
      </c>
      <c r="AF45" s="232" t="s">
        <v>567</v>
      </c>
      <c r="AG45" s="193"/>
      <c r="AH45" s="194" t="s">
        <v>1066</v>
      </c>
      <c r="AI45" s="195" t="s">
        <v>827</v>
      </c>
      <c r="AJ45" s="196" t="s">
        <v>613</v>
      </c>
      <c r="AK45" s="197"/>
      <c r="AL45" s="194"/>
      <c r="AM45" s="196"/>
      <c r="AN45" s="197"/>
      <c r="AO45" s="203"/>
      <c r="AP45" s="200"/>
      <c r="AQ45" s="201"/>
      <c r="AR45" s="197"/>
      <c r="AS45" s="203"/>
      <c r="AT45" s="204"/>
      <c r="AU45" s="201"/>
      <c r="AV45" s="205"/>
    </row>
    <row r="46" spans="1:48" x14ac:dyDescent="0.3">
      <c r="A46" s="215" t="s">
        <v>1067</v>
      </c>
      <c r="B46" s="216" t="s">
        <v>1068</v>
      </c>
      <c r="C46" s="115" t="s">
        <v>1069</v>
      </c>
      <c r="D46" s="116" t="s">
        <v>731</v>
      </c>
      <c r="E46" s="116" t="s">
        <v>558</v>
      </c>
      <c r="F46" s="116" t="s">
        <v>1070</v>
      </c>
      <c r="G46" s="116" t="s">
        <v>601</v>
      </c>
      <c r="H46" s="116" t="s">
        <v>669</v>
      </c>
      <c r="I46" s="116" t="s">
        <v>1071</v>
      </c>
      <c r="J46" s="116" t="s">
        <v>779</v>
      </c>
      <c r="K46" s="116" t="s">
        <v>814</v>
      </c>
      <c r="L46" s="116" t="s">
        <v>586</v>
      </c>
      <c r="M46" s="116" t="s">
        <v>587</v>
      </c>
      <c r="N46" s="116" t="s">
        <v>1072</v>
      </c>
      <c r="O46" s="116" t="s">
        <v>461</v>
      </c>
      <c r="P46" s="116" t="s">
        <v>781</v>
      </c>
      <c r="Q46" s="117" t="s">
        <v>566</v>
      </c>
      <c r="R46" s="116" t="s">
        <v>567</v>
      </c>
      <c r="S46" s="116" t="s">
        <v>794</v>
      </c>
      <c r="T46" s="116" t="s">
        <v>795</v>
      </c>
      <c r="U46" s="116" t="s">
        <v>734</v>
      </c>
      <c r="V46" s="118" t="s">
        <v>796</v>
      </c>
      <c r="W46" s="116" t="s">
        <v>567</v>
      </c>
      <c r="X46" s="116" t="s">
        <v>567</v>
      </c>
      <c r="Y46" s="116" t="s">
        <v>567</v>
      </c>
      <c r="Z46" s="116" t="s">
        <v>567</v>
      </c>
      <c r="AA46" s="116" t="s">
        <v>567</v>
      </c>
      <c r="AB46" s="116" t="s">
        <v>567</v>
      </c>
      <c r="AC46" s="116" t="s">
        <v>567</v>
      </c>
      <c r="AD46" s="116" t="s">
        <v>567</v>
      </c>
      <c r="AE46" s="116" t="s">
        <v>567</v>
      </c>
      <c r="AF46" s="116" t="s">
        <v>567</v>
      </c>
      <c r="AH46" s="173" t="s">
        <v>797</v>
      </c>
      <c r="AI46" s="174" t="s">
        <v>798</v>
      </c>
      <c r="AJ46" s="175" t="s">
        <v>613</v>
      </c>
      <c r="AL46" s="173" t="s">
        <v>1073</v>
      </c>
      <c r="AM46" s="175" t="s">
        <v>829</v>
      </c>
    </row>
    <row r="47" spans="1:48" x14ac:dyDescent="0.3">
      <c r="A47" s="229" t="s">
        <v>1074</v>
      </c>
      <c r="B47" s="230" t="s">
        <v>1075</v>
      </c>
      <c r="C47" s="231" t="s">
        <v>1076</v>
      </c>
      <c r="D47" s="232" t="s">
        <v>652</v>
      </c>
      <c r="E47" s="232" t="s">
        <v>653</v>
      </c>
      <c r="F47" s="232" t="s">
        <v>617</v>
      </c>
      <c r="G47" s="232" t="s">
        <v>618</v>
      </c>
      <c r="H47" s="232" t="s">
        <v>461</v>
      </c>
      <c r="I47" s="232" t="s">
        <v>1077</v>
      </c>
      <c r="J47" s="232" t="s">
        <v>461</v>
      </c>
      <c r="K47" s="232" t="s">
        <v>463</v>
      </c>
      <c r="L47" s="232" t="s">
        <v>465</v>
      </c>
      <c r="M47" s="232" t="s">
        <v>656</v>
      </c>
      <c r="N47" s="232" t="s">
        <v>463</v>
      </c>
      <c r="O47" s="232" t="s">
        <v>463</v>
      </c>
      <c r="P47" s="232" t="s">
        <v>565</v>
      </c>
      <c r="Q47" s="249" t="s">
        <v>475</v>
      </c>
      <c r="R47" s="232" t="s">
        <v>475</v>
      </c>
      <c r="S47" s="232" t="s">
        <v>475</v>
      </c>
      <c r="T47" s="232" t="s">
        <v>475</v>
      </c>
      <c r="U47" s="232" t="s">
        <v>475</v>
      </c>
      <c r="V47" s="250" t="s">
        <v>475</v>
      </c>
      <c r="W47" s="232" t="s">
        <v>475</v>
      </c>
      <c r="X47" s="232" t="s">
        <v>475</v>
      </c>
      <c r="Y47" s="232" t="s">
        <v>475</v>
      </c>
      <c r="Z47" s="232" t="s">
        <v>475</v>
      </c>
      <c r="AA47" s="232" t="s">
        <v>475</v>
      </c>
      <c r="AB47" s="232" t="s">
        <v>475</v>
      </c>
      <c r="AC47" s="232" t="s">
        <v>475</v>
      </c>
      <c r="AD47" s="232" t="s">
        <v>475</v>
      </c>
      <c r="AE47" s="232" t="s">
        <v>475</v>
      </c>
      <c r="AF47" s="232" t="s">
        <v>475</v>
      </c>
      <c r="AG47" s="193"/>
      <c r="AH47" s="194" t="s">
        <v>1078</v>
      </c>
      <c r="AI47" s="195" t="s">
        <v>1079</v>
      </c>
      <c r="AJ47" s="196" t="s">
        <v>613</v>
      </c>
      <c r="AK47" s="197"/>
      <c r="AL47" s="194"/>
      <c r="AM47" s="196"/>
      <c r="AN47" s="197"/>
      <c r="AO47" s="203" t="s">
        <v>1080</v>
      </c>
      <c r="AP47" s="200" t="s">
        <v>923</v>
      </c>
      <c r="AQ47" s="201" t="s">
        <v>661</v>
      </c>
      <c r="AR47" s="197"/>
      <c r="AS47" s="203" t="s">
        <v>1081</v>
      </c>
      <c r="AT47" s="204" t="s">
        <v>1082</v>
      </c>
      <c r="AU47" s="201" t="s">
        <v>1083</v>
      </c>
      <c r="AV47" s="205"/>
    </row>
    <row r="48" spans="1:48" x14ac:dyDescent="0.3">
      <c r="A48" s="229" t="s">
        <v>1084</v>
      </c>
      <c r="B48" s="251" t="s">
        <v>1085</v>
      </c>
      <c r="C48" s="231" t="s">
        <v>1086</v>
      </c>
      <c r="D48" s="232" t="s">
        <v>837</v>
      </c>
      <c r="E48" s="232" t="s">
        <v>838</v>
      </c>
      <c r="F48" s="232" t="s">
        <v>839</v>
      </c>
      <c r="G48" s="232" t="s">
        <v>1087</v>
      </c>
      <c r="H48" s="232" t="s">
        <v>655</v>
      </c>
      <c r="I48" s="232" t="s">
        <v>670</v>
      </c>
      <c r="J48" s="232" t="s">
        <v>684</v>
      </c>
      <c r="K48" s="232" t="s">
        <v>1088</v>
      </c>
      <c r="L48" s="232" t="s">
        <v>840</v>
      </c>
      <c r="M48" s="232" t="s">
        <v>467</v>
      </c>
      <c r="N48" s="232" t="s">
        <v>766</v>
      </c>
      <c r="O48" s="232" t="s">
        <v>463</v>
      </c>
      <c r="P48" s="232" t="s">
        <v>1089</v>
      </c>
      <c r="Q48" s="249" t="s">
        <v>475</v>
      </c>
      <c r="R48" s="232" t="s">
        <v>475</v>
      </c>
      <c r="S48" s="232" t="s">
        <v>475</v>
      </c>
      <c r="T48" s="232" t="s">
        <v>475</v>
      </c>
      <c r="U48" s="232" t="s">
        <v>475</v>
      </c>
      <c r="V48" s="250" t="s">
        <v>475</v>
      </c>
      <c r="W48" s="232" t="s">
        <v>475</v>
      </c>
      <c r="X48" s="232" t="s">
        <v>475</v>
      </c>
      <c r="Y48" s="232" t="s">
        <v>475</v>
      </c>
      <c r="Z48" s="232" t="s">
        <v>475</v>
      </c>
      <c r="AA48" s="232" t="s">
        <v>475</v>
      </c>
      <c r="AB48" s="232" t="s">
        <v>475</v>
      </c>
      <c r="AC48" s="232" t="s">
        <v>475</v>
      </c>
      <c r="AD48" s="232" t="s">
        <v>475</v>
      </c>
      <c r="AE48" s="232" t="s">
        <v>475</v>
      </c>
      <c r="AF48" s="232" t="s">
        <v>475</v>
      </c>
      <c r="AG48" s="193"/>
      <c r="AH48" s="194" t="s">
        <v>842</v>
      </c>
      <c r="AI48" s="195" t="s">
        <v>843</v>
      </c>
      <c r="AJ48" s="196" t="s">
        <v>613</v>
      </c>
      <c r="AK48" s="197"/>
      <c r="AL48" s="194" t="s">
        <v>641</v>
      </c>
      <c r="AM48" s="196" t="s">
        <v>844</v>
      </c>
      <c r="AN48" s="197"/>
      <c r="AO48" s="203" t="s">
        <v>845</v>
      </c>
      <c r="AP48" s="200" t="s">
        <v>846</v>
      </c>
      <c r="AQ48" s="201" t="s">
        <v>693</v>
      </c>
      <c r="AR48" s="197"/>
      <c r="AS48" s="203" t="s">
        <v>847</v>
      </c>
      <c r="AT48" s="204" t="s">
        <v>848</v>
      </c>
      <c r="AU48" s="201" t="s">
        <v>787</v>
      </c>
      <c r="AV48" s="205"/>
    </row>
    <row r="49" spans="1:48" x14ac:dyDescent="0.3">
      <c r="A49" s="215" t="s">
        <v>1090</v>
      </c>
      <c r="B49" s="126" t="s">
        <v>1091</v>
      </c>
      <c r="C49" s="115" t="s">
        <v>1092</v>
      </c>
      <c r="D49" s="116" t="s">
        <v>1093</v>
      </c>
      <c r="E49" s="116" t="s">
        <v>916</v>
      </c>
      <c r="F49" s="116" t="s">
        <v>839</v>
      </c>
      <c r="G49" s="116" t="s">
        <v>560</v>
      </c>
      <c r="H49" s="116" t="s">
        <v>461</v>
      </c>
      <c r="I49" s="116" t="s">
        <v>917</v>
      </c>
      <c r="J49" s="116" t="s">
        <v>461</v>
      </c>
      <c r="K49" s="116" t="s">
        <v>463</v>
      </c>
      <c r="L49" s="116" t="s">
        <v>465</v>
      </c>
      <c r="M49" s="116" t="s">
        <v>656</v>
      </c>
      <c r="N49" s="116" t="s">
        <v>564</v>
      </c>
      <c r="O49" s="116" t="s">
        <v>461</v>
      </c>
      <c r="P49" s="116" t="s">
        <v>567</v>
      </c>
      <c r="Q49" s="117" t="s">
        <v>475</v>
      </c>
      <c r="R49" s="116" t="s">
        <v>475</v>
      </c>
      <c r="S49" s="116" t="s">
        <v>475</v>
      </c>
      <c r="T49" s="116" t="s">
        <v>475</v>
      </c>
      <c r="U49" s="116" t="s">
        <v>475</v>
      </c>
      <c r="V49" s="118" t="s">
        <v>475</v>
      </c>
      <c r="W49" s="116" t="s">
        <v>475</v>
      </c>
      <c r="X49" s="116" t="s">
        <v>475</v>
      </c>
      <c r="Y49" s="116" t="s">
        <v>475</v>
      </c>
      <c r="Z49" s="116" t="s">
        <v>475</v>
      </c>
      <c r="AA49" s="116" t="s">
        <v>475</v>
      </c>
      <c r="AB49" s="116" t="s">
        <v>475</v>
      </c>
      <c r="AC49" s="116" t="s">
        <v>475</v>
      </c>
      <c r="AD49" s="116" t="s">
        <v>475</v>
      </c>
      <c r="AE49" s="116" t="s">
        <v>475</v>
      </c>
      <c r="AF49" s="116" t="s">
        <v>475</v>
      </c>
      <c r="AG49" s="244"/>
      <c r="AH49" s="221" t="s">
        <v>1094</v>
      </c>
      <c r="AI49" s="222" t="s">
        <v>1095</v>
      </c>
      <c r="AJ49" s="223" t="s">
        <v>574</v>
      </c>
      <c r="AK49" s="245"/>
      <c r="AL49" s="221"/>
      <c r="AM49" s="223"/>
      <c r="AN49" s="245"/>
      <c r="AO49" s="225" t="s">
        <v>1096</v>
      </c>
      <c r="AP49" s="226" t="s">
        <v>923</v>
      </c>
      <c r="AQ49" s="227" t="s">
        <v>693</v>
      </c>
      <c r="AR49" s="245"/>
      <c r="AS49" s="225" t="s">
        <v>1097</v>
      </c>
      <c r="AT49" s="228" t="s">
        <v>925</v>
      </c>
      <c r="AU49" s="227" t="s">
        <v>926</v>
      </c>
    </row>
    <row r="50" spans="1:48" x14ac:dyDescent="0.3">
      <c r="A50" s="229" t="s">
        <v>1098</v>
      </c>
      <c r="B50" s="251" t="s">
        <v>1099</v>
      </c>
      <c r="C50" s="231" t="s">
        <v>1100</v>
      </c>
      <c r="D50" s="232" t="s">
        <v>837</v>
      </c>
      <c r="E50" s="232" t="s">
        <v>879</v>
      </c>
      <c r="F50" s="232" t="s">
        <v>1101</v>
      </c>
      <c r="G50" s="232" t="s">
        <v>1102</v>
      </c>
      <c r="H50" s="232" t="s">
        <v>853</v>
      </c>
      <c r="I50" s="232" t="s">
        <v>1103</v>
      </c>
      <c r="J50" s="232" t="s">
        <v>684</v>
      </c>
      <c r="K50" s="232" t="s">
        <v>671</v>
      </c>
      <c r="L50" s="232" t="s">
        <v>840</v>
      </c>
      <c r="M50" s="232" t="s">
        <v>467</v>
      </c>
      <c r="N50" s="232" t="s">
        <v>766</v>
      </c>
      <c r="O50" s="232" t="s">
        <v>471</v>
      </c>
      <c r="P50" s="232" t="s">
        <v>1104</v>
      </c>
      <c r="Q50" s="249" t="s">
        <v>475</v>
      </c>
      <c r="R50" s="232" t="s">
        <v>475</v>
      </c>
      <c r="S50" s="232" t="s">
        <v>475</v>
      </c>
      <c r="T50" s="232" t="s">
        <v>475</v>
      </c>
      <c r="U50" s="232" t="s">
        <v>475</v>
      </c>
      <c r="V50" s="250" t="s">
        <v>475</v>
      </c>
      <c r="W50" s="232" t="s">
        <v>475</v>
      </c>
      <c r="X50" s="232" t="s">
        <v>475</v>
      </c>
      <c r="Y50" s="232" t="s">
        <v>475</v>
      </c>
      <c r="Z50" s="232" t="s">
        <v>475</v>
      </c>
      <c r="AA50" s="232" t="s">
        <v>475</v>
      </c>
      <c r="AB50" s="232" t="s">
        <v>475</v>
      </c>
      <c r="AC50" s="232" t="s">
        <v>475</v>
      </c>
      <c r="AD50" s="232" t="s">
        <v>475</v>
      </c>
      <c r="AE50" s="232" t="s">
        <v>475</v>
      </c>
      <c r="AF50" s="232" t="s">
        <v>475</v>
      </c>
      <c r="AG50" s="252"/>
      <c r="AH50" s="236" t="s">
        <v>1105</v>
      </c>
      <c r="AI50" s="237" t="s">
        <v>856</v>
      </c>
      <c r="AJ50" s="238" t="s">
        <v>613</v>
      </c>
      <c r="AK50" s="253"/>
      <c r="AL50" s="236" t="s">
        <v>641</v>
      </c>
      <c r="AM50" s="238" t="s">
        <v>844</v>
      </c>
      <c r="AN50" s="253"/>
      <c r="AO50" s="240" t="s">
        <v>857</v>
      </c>
      <c r="AP50" s="241" t="s">
        <v>1106</v>
      </c>
      <c r="AQ50" s="242" t="s">
        <v>693</v>
      </c>
      <c r="AR50" s="253"/>
      <c r="AS50" s="240" t="s">
        <v>847</v>
      </c>
      <c r="AT50" s="243" t="s">
        <v>848</v>
      </c>
      <c r="AU50" s="242" t="s">
        <v>787</v>
      </c>
      <c r="AV50" s="205"/>
    </row>
    <row r="51" spans="1:48" x14ac:dyDescent="0.3">
      <c r="A51" s="215" t="s">
        <v>1107</v>
      </c>
      <c r="B51" s="126" t="s">
        <v>1108</v>
      </c>
      <c r="C51" s="115" t="s">
        <v>1109</v>
      </c>
      <c r="D51" s="116" t="s">
        <v>1110</v>
      </c>
      <c r="E51" s="116" t="s">
        <v>1111</v>
      </c>
      <c r="F51" s="116" t="s">
        <v>732</v>
      </c>
      <c r="G51" s="116" t="s">
        <v>1112</v>
      </c>
      <c r="H51" s="116" t="s">
        <v>717</v>
      </c>
      <c r="I51" s="116" t="s">
        <v>1113</v>
      </c>
      <c r="J51" s="116" t="s">
        <v>632</v>
      </c>
      <c r="K51" s="116" t="s">
        <v>564</v>
      </c>
      <c r="L51" s="116" t="s">
        <v>1114</v>
      </c>
      <c r="M51" s="116" t="s">
        <v>656</v>
      </c>
      <c r="N51" s="116" t="s">
        <v>1115</v>
      </c>
      <c r="O51" s="116" t="s">
        <v>471</v>
      </c>
      <c r="P51" s="116" t="s">
        <v>565</v>
      </c>
      <c r="Q51" s="117" t="s">
        <v>475</v>
      </c>
      <c r="R51" s="116" t="s">
        <v>475</v>
      </c>
      <c r="S51" s="116" t="s">
        <v>475</v>
      </c>
      <c r="T51" s="116" t="s">
        <v>475</v>
      </c>
      <c r="U51" s="116" t="s">
        <v>475</v>
      </c>
      <c r="V51" s="118" t="s">
        <v>475</v>
      </c>
      <c r="W51" s="116" t="s">
        <v>475</v>
      </c>
      <c r="X51" s="116" t="s">
        <v>475</v>
      </c>
      <c r="Y51" s="116" t="s">
        <v>475</v>
      </c>
      <c r="Z51" s="116" t="s">
        <v>475</v>
      </c>
      <c r="AA51" s="116" t="s">
        <v>475</v>
      </c>
      <c r="AB51" s="116" t="s">
        <v>475</v>
      </c>
      <c r="AC51" s="116" t="s">
        <v>475</v>
      </c>
      <c r="AD51" s="116" t="s">
        <v>475</v>
      </c>
      <c r="AE51" s="116" t="s">
        <v>475</v>
      </c>
      <c r="AF51" s="116" t="s">
        <v>475</v>
      </c>
      <c r="AH51" s="173" t="s">
        <v>1116</v>
      </c>
      <c r="AI51" s="174" t="s">
        <v>1117</v>
      </c>
      <c r="AJ51" s="175" t="s">
        <v>613</v>
      </c>
      <c r="AL51" s="173" t="s">
        <v>1118</v>
      </c>
      <c r="AM51" s="175" t="s">
        <v>594</v>
      </c>
      <c r="AO51" s="177" t="s">
        <v>1119</v>
      </c>
      <c r="AP51" s="47" t="s">
        <v>923</v>
      </c>
      <c r="AQ51" s="178" t="s">
        <v>661</v>
      </c>
      <c r="AS51" s="177" t="s">
        <v>1120</v>
      </c>
      <c r="AT51" s="50" t="s">
        <v>1121</v>
      </c>
      <c r="AU51" s="178" t="s">
        <v>926</v>
      </c>
    </row>
    <row r="52" spans="1:48" x14ac:dyDescent="0.3">
      <c r="A52" s="215" t="s">
        <v>1122</v>
      </c>
      <c r="B52" s="126" t="s">
        <v>1123</v>
      </c>
      <c r="C52" s="115" t="s">
        <v>1124</v>
      </c>
      <c r="D52" s="116" t="s">
        <v>1125</v>
      </c>
      <c r="E52" s="116" t="s">
        <v>1111</v>
      </c>
      <c r="F52" s="116" t="s">
        <v>732</v>
      </c>
      <c r="G52" s="116" t="s">
        <v>1126</v>
      </c>
      <c r="H52" s="116" t="s">
        <v>669</v>
      </c>
      <c r="I52" s="116" t="s">
        <v>1127</v>
      </c>
      <c r="J52" s="116" t="s">
        <v>632</v>
      </c>
      <c r="K52" s="116" t="s">
        <v>671</v>
      </c>
      <c r="L52" s="116" t="s">
        <v>685</v>
      </c>
      <c r="M52" s="116" t="s">
        <v>656</v>
      </c>
      <c r="N52" s="116" t="s">
        <v>635</v>
      </c>
      <c r="O52" s="116" t="s">
        <v>471</v>
      </c>
      <c r="P52" s="116" t="s">
        <v>1128</v>
      </c>
      <c r="Q52" s="117" t="s">
        <v>475</v>
      </c>
      <c r="R52" s="116" t="s">
        <v>475</v>
      </c>
      <c r="S52" s="116" t="s">
        <v>475</v>
      </c>
      <c r="T52" s="116" t="s">
        <v>475</v>
      </c>
      <c r="U52" s="116" t="s">
        <v>475</v>
      </c>
      <c r="V52" s="118" t="s">
        <v>475</v>
      </c>
      <c r="W52" s="116" t="s">
        <v>475</v>
      </c>
      <c r="X52" s="116" t="s">
        <v>475</v>
      </c>
      <c r="Y52" s="116" t="s">
        <v>475</v>
      </c>
      <c r="Z52" s="116" t="s">
        <v>475</v>
      </c>
      <c r="AA52" s="116" t="s">
        <v>475</v>
      </c>
      <c r="AB52" s="116" t="s">
        <v>475</v>
      </c>
      <c r="AC52" s="116" t="s">
        <v>475</v>
      </c>
      <c r="AD52" s="116" t="s">
        <v>475</v>
      </c>
      <c r="AE52" s="116" t="s">
        <v>475</v>
      </c>
      <c r="AF52" s="116" t="s">
        <v>475</v>
      </c>
      <c r="AG52" s="244"/>
      <c r="AH52" s="221" t="s">
        <v>1129</v>
      </c>
      <c r="AI52" s="222" t="s">
        <v>1130</v>
      </c>
      <c r="AJ52" s="223" t="s">
        <v>613</v>
      </c>
      <c r="AK52" s="245"/>
      <c r="AL52" s="221" t="s">
        <v>641</v>
      </c>
      <c r="AM52" s="223" t="s">
        <v>784</v>
      </c>
      <c r="AN52" s="245"/>
      <c r="AO52" s="225" t="s">
        <v>1131</v>
      </c>
      <c r="AP52" s="226" t="s">
        <v>1106</v>
      </c>
      <c r="AQ52" s="227" t="s">
        <v>661</v>
      </c>
      <c r="AR52" s="245"/>
      <c r="AS52" s="225" t="s">
        <v>1132</v>
      </c>
      <c r="AT52" s="228" t="s">
        <v>663</v>
      </c>
      <c r="AU52" s="227" t="s">
        <v>787</v>
      </c>
    </row>
    <row r="53" spans="1:48" x14ac:dyDescent="0.3">
      <c r="A53" s="229" t="s">
        <v>1133</v>
      </c>
      <c r="B53" s="251" t="s">
        <v>1134</v>
      </c>
      <c r="C53" s="231" t="s">
        <v>1135</v>
      </c>
      <c r="D53" s="232" t="s">
        <v>1136</v>
      </c>
      <c r="E53" s="232" t="s">
        <v>627</v>
      </c>
      <c r="F53" s="232" t="s">
        <v>732</v>
      </c>
      <c r="G53" s="232" t="s">
        <v>1137</v>
      </c>
      <c r="H53" s="232" t="s">
        <v>717</v>
      </c>
      <c r="I53" s="232" t="s">
        <v>1138</v>
      </c>
      <c r="J53" s="232" t="s">
        <v>684</v>
      </c>
      <c r="K53" s="232" t="s">
        <v>633</v>
      </c>
      <c r="L53" s="232" t="s">
        <v>634</v>
      </c>
      <c r="M53" s="232" t="s">
        <v>467</v>
      </c>
      <c r="N53" s="232" t="s">
        <v>1139</v>
      </c>
      <c r="O53" s="232" t="s">
        <v>636</v>
      </c>
      <c r="P53" s="232" t="s">
        <v>1128</v>
      </c>
      <c r="Q53" s="249" t="s">
        <v>475</v>
      </c>
      <c r="R53" s="232" t="s">
        <v>475</v>
      </c>
      <c r="S53" s="232" t="s">
        <v>475</v>
      </c>
      <c r="T53" s="232" t="s">
        <v>475</v>
      </c>
      <c r="U53" s="232" t="s">
        <v>475</v>
      </c>
      <c r="V53" s="250" t="s">
        <v>475</v>
      </c>
      <c r="W53" s="232" t="s">
        <v>475</v>
      </c>
      <c r="X53" s="232" t="s">
        <v>475</v>
      </c>
      <c r="Y53" s="232" t="s">
        <v>475</v>
      </c>
      <c r="Z53" s="232" t="s">
        <v>475</v>
      </c>
      <c r="AA53" s="232" t="s">
        <v>475</v>
      </c>
      <c r="AB53" s="232" t="s">
        <v>475</v>
      </c>
      <c r="AC53" s="232" t="s">
        <v>475</v>
      </c>
      <c r="AD53" s="232" t="s">
        <v>475</v>
      </c>
      <c r="AE53" s="232" t="s">
        <v>475</v>
      </c>
      <c r="AF53" s="232" t="s">
        <v>475</v>
      </c>
      <c r="AG53" s="252"/>
      <c r="AH53" s="236" t="s">
        <v>1140</v>
      </c>
      <c r="AI53" s="237" t="s">
        <v>1141</v>
      </c>
      <c r="AJ53" s="238" t="s">
        <v>613</v>
      </c>
      <c r="AK53" s="253"/>
      <c r="AL53" s="236" t="s">
        <v>641</v>
      </c>
      <c r="AM53" s="238" t="s">
        <v>1142</v>
      </c>
      <c r="AN53" s="253"/>
      <c r="AO53" s="240" t="s">
        <v>1143</v>
      </c>
      <c r="AP53" s="241" t="s">
        <v>846</v>
      </c>
      <c r="AQ53" s="242" t="s">
        <v>645</v>
      </c>
      <c r="AR53" s="253"/>
      <c r="AS53" s="240" t="s">
        <v>1144</v>
      </c>
      <c r="AT53" s="243" t="s">
        <v>1145</v>
      </c>
      <c r="AU53" s="242" t="s">
        <v>1146</v>
      </c>
      <c r="AV53" s="205"/>
    </row>
    <row r="54" spans="1:48" x14ac:dyDescent="0.3">
      <c r="A54" s="215" t="s">
        <v>1147</v>
      </c>
      <c r="B54" s="126" t="s">
        <v>1148</v>
      </c>
      <c r="C54" s="115" t="s">
        <v>1149</v>
      </c>
      <c r="D54" s="116" t="s">
        <v>1136</v>
      </c>
      <c r="E54" s="116" t="s">
        <v>1150</v>
      </c>
      <c r="F54" s="116" t="s">
        <v>732</v>
      </c>
      <c r="G54" s="116" t="s">
        <v>1151</v>
      </c>
      <c r="H54" s="116" t="s">
        <v>583</v>
      </c>
      <c r="I54" s="116" t="s">
        <v>1152</v>
      </c>
      <c r="J54" s="116" t="s">
        <v>461</v>
      </c>
      <c r="K54" s="116" t="s">
        <v>463</v>
      </c>
      <c r="L54" s="116" t="s">
        <v>634</v>
      </c>
      <c r="M54" s="116" t="s">
        <v>467</v>
      </c>
      <c r="N54" s="116" t="s">
        <v>469</v>
      </c>
      <c r="O54" s="116" t="s">
        <v>1153</v>
      </c>
      <c r="P54" s="116" t="s">
        <v>1128</v>
      </c>
      <c r="Q54" s="117" t="s">
        <v>475</v>
      </c>
      <c r="R54" s="116" t="s">
        <v>475</v>
      </c>
      <c r="S54" s="116" t="s">
        <v>475</v>
      </c>
      <c r="T54" s="116" t="s">
        <v>475</v>
      </c>
      <c r="U54" s="116" t="s">
        <v>475</v>
      </c>
      <c r="V54" s="118" t="s">
        <v>475</v>
      </c>
      <c r="W54" s="116" t="s">
        <v>475</v>
      </c>
      <c r="X54" s="116" t="s">
        <v>475</v>
      </c>
      <c r="Y54" s="116" t="s">
        <v>475</v>
      </c>
      <c r="Z54" s="116" t="s">
        <v>475</v>
      </c>
      <c r="AA54" s="116" t="s">
        <v>475</v>
      </c>
      <c r="AB54" s="116" t="s">
        <v>475</v>
      </c>
      <c r="AC54" s="116" t="s">
        <v>475</v>
      </c>
      <c r="AD54" s="116" t="s">
        <v>475</v>
      </c>
      <c r="AE54" s="116" t="s">
        <v>475</v>
      </c>
      <c r="AF54" s="116" t="s">
        <v>475</v>
      </c>
      <c r="AG54" s="244"/>
      <c r="AH54" s="221" t="s">
        <v>1154</v>
      </c>
      <c r="AI54" s="222" t="s">
        <v>1155</v>
      </c>
      <c r="AJ54" s="223" t="s">
        <v>574</v>
      </c>
      <c r="AK54" s="245"/>
      <c r="AL54" s="221" t="s">
        <v>1156</v>
      </c>
      <c r="AM54" s="223" t="s">
        <v>1157</v>
      </c>
      <c r="AN54" s="245"/>
      <c r="AO54" s="225" t="s">
        <v>1158</v>
      </c>
      <c r="AP54" s="226" t="s">
        <v>1106</v>
      </c>
      <c r="AQ54" s="227" t="s">
        <v>645</v>
      </c>
      <c r="AR54" s="245"/>
      <c r="AS54" s="225" t="s">
        <v>1159</v>
      </c>
      <c r="AT54" s="228" t="s">
        <v>1160</v>
      </c>
      <c r="AU54" s="227" t="s">
        <v>787</v>
      </c>
    </row>
    <row r="55" spans="1:48" x14ac:dyDescent="0.3">
      <c r="A55" s="229" t="s">
        <v>1161</v>
      </c>
      <c r="B55" s="251" t="s">
        <v>1162</v>
      </c>
      <c r="C55" s="231" t="s">
        <v>1163</v>
      </c>
      <c r="D55" s="232" t="s">
        <v>652</v>
      </c>
      <c r="E55" s="232" t="s">
        <v>1111</v>
      </c>
      <c r="F55" s="232" t="s">
        <v>628</v>
      </c>
      <c r="G55" s="232" t="s">
        <v>1164</v>
      </c>
      <c r="H55" s="232" t="s">
        <v>630</v>
      </c>
      <c r="I55" s="232" t="s">
        <v>1165</v>
      </c>
      <c r="J55" s="232" t="s">
        <v>632</v>
      </c>
      <c r="K55" s="232" t="s">
        <v>633</v>
      </c>
      <c r="L55" s="232" t="s">
        <v>685</v>
      </c>
      <c r="M55" s="232" t="s">
        <v>656</v>
      </c>
      <c r="N55" s="232" t="s">
        <v>635</v>
      </c>
      <c r="O55" s="232" t="s">
        <v>471</v>
      </c>
      <c r="P55" s="232" t="s">
        <v>637</v>
      </c>
      <c r="Q55" s="249" t="s">
        <v>475</v>
      </c>
      <c r="R55" s="232" t="s">
        <v>475</v>
      </c>
      <c r="S55" s="232" t="s">
        <v>475</v>
      </c>
      <c r="T55" s="232" t="s">
        <v>475</v>
      </c>
      <c r="U55" s="232" t="s">
        <v>475</v>
      </c>
      <c r="V55" s="250" t="s">
        <v>475</v>
      </c>
      <c r="W55" s="232" t="s">
        <v>475</v>
      </c>
      <c r="X55" s="232" t="s">
        <v>475</v>
      </c>
      <c r="Y55" s="232" t="s">
        <v>475</v>
      </c>
      <c r="Z55" s="232" t="s">
        <v>475</v>
      </c>
      <c r="AA55" s="232" t="s">
        <v>475</v>
      </c>
      <c r="AB55" s="232" t="s">
        <v>475</v>
      </c>
      <c r="AC55" s="232" t="s">
        <v>475</v>
      </c>
      <c r="AD55" s="232" t="s">
        <v>475</v>
      </c>
      <c r="AE55" s="232" t="s">
        <v>475</v>
      </c>
      <c r="AF55" s="232" t="s">
        <v>475</v>
      </c>
      <c r="AG55" s="252"/>
      <c r="AH55" s="236" t="s">
        <v>1166</v>
      </c>
      <c r="AI55" s="237" t="s">
        <v>1167</v>
      </c>
      <c r="AJ55" s="238" t="s">
        <v>640</v>
      </c>
      <c r="AK55" s="253"/>
      <c r="AL55" s="236" t="s">
        <v>641</v>
      </c>
      <c r="AM55" s="238" t="s">
        <v>1168</v>
      </c>
      <c r="AN55" s="253"/>
      <c r="AO55" s="240" t="s">
        <v>1169</v>
      </c>
      <c r="AP55" s="241" t="s">
        <v>644</v>
      </c>
      <c r="AQ55" s="242" t="s">
        <v>661</v>
      </c>
      <c r="AR55" s="253"/>
      <c r="AS55" s="240" t="s">
        <v>1170</v>
      </c>
      <c r="AT55" s="243" t="s">
        <v>1171</v>
      </c>
      <c r="AU55" s="242" t="s">
        <v>648</v>
      </c>
      <c r="AV55" s="205"/>
    </row>
    <row r="56" spans="1:48" x14ac:dyDescent="0.3">
      <c r="A56" s="229" t="s">
        <v>1172</v>
      </c>
      <c r="B56" s="251" t="s">
        <v>1173</v>
      </c>
      <c r="C56" s="231" t="s">
        <v>1174</v>
      </c>
      <c r="D56" s="232" t="s">
        <v>451</v>
      </c>
      <c r="E56" s="232" t="s">
        <v>453</v>
      </c>
      <c r="F56" s="232" t="s">
        <v>700</v>
      </c>
      <c r="G56" s="232" t="s">
        <v>456</v>
      </c>
      <c r="H56" s="232" t="s">
        <v>682</v>
      </c>
      <c r="I56" s="232" t="s">
        <v>1175</v>
      </c>
      <c r="J56" s="232" t="s">
        <v>684</v>
      </c>
      <c r="K56" s="232" t="s">
        <v>633</v>
      </c>
      <c r="L56" s="232" t="s">
        <v>840</v>
      </c>
      <c r="M56" s="232" t="s">
        <v>467</v>
      </c>
      <c r="N56" s="232" t="s">
        <v>635</v>
      </c>
      <c r="O56" s="232" t="s">
        <v>471</v>
      </c>
      <c r="P56" s="232" t="s">
        <v>1176</v>
      </c>
      <c r="Q56" s="249" t="s">
        <v>475</v>
      </c>
      <c r="R56" s="232" t="s">
        <v>475</v>
      </c>
      <c r="S56" s="232" t="s">
        <v>475</v>
      </c>
      <c r="T56" s="232" t="s">
        <v>475</v>
      </c>
      <c r="U56" s="232" t="s">
        <v>475</v>
      </c>
      <c r="V56" s="250" t="s">
        <v>475</v>
      </c>
      <c r="W56" s="232" t="s">
        <v>475</v>
      </c>
      <c r="X56" s="232" t="s">
        <v>475</v>
      </c>
      <c r="Y56" s="232" t="s">
        <v>475</v>
      </c>
      <c r="Z56" s="232" t="s">
        <v>475</v>
      </c>
      <c r="AA56" s="232" t="s">
        <v>475</v>
      </c>
      <c r="AB56" s="232" t="s">
        <v>475</v>
      </c>
      <c r="AC56" s="232" t="s">
        <v>475</v>
      </c>
      <c r="AD56" s="232" t="s">
        <v>475</v>
      </c>
      <c r="AE56" s="232" t="s">
        <v>475</v>
      </c>
      <c r="AF56" s="232" t="s">
        <v>475</v>
      </c>
      <c r="AG56" s="252"/>
      <c r="AH56" s="236" t="s">
        <v>1177</v>
      </c>
      <c r="AI56" s="237" t="s">
        <v>1178</v>
      </c>
      <c r="AJ56" s="238" t="s">
        <v>640</v>
      </c>
      <c r="AK56" s="253"/>
      <c r="AL56" s="236" t="s">
        <v>641</v>
      </c>
      <c r="AM56" s="238" t="s">
        <v>1179</v>
      </c>
      <c r="AN56" s="253"/>
      <c r="AO56" s="240" t="s">
        <v>1180</v>
      </c>
      <c r="AP56" s="241" t="s">
        <v>1181</v>
      </c>
      <c r="AQ56" s="242" t="s">
        <v>693</v>
      </c>
      <c r="AR56" s="253"/>
      <c r="AS56" s="240" t="s">
        <v>694</v>
      </c>
      <c r="AT56" s="243" t="s">
        <v>1182</v>
      </c>
      <c r="AU56" s="242" t="s">
        <v>648</v>
      </c>
      <c r="AV56" s="205"/>
    </row>
    <row r="57" spans="1:48" x14ac:dyDescent="0.3">
      <c r="A57" s="229" t="s">
        <v>1183</v>
      </c>
      <c r="B57" s="251" t="s">
        <v>1184</v>
      </c>
      <c r="C57" s="231" t="s">
        <v>1185</v>
      </c>
      <c r="D57" s="232" t="s">
        <v>679</v>
      </c>
      <c r="E57" s="232" t="s">
        <v>1186</v>
      </c>
      <c r="F57" s="232" t="s">
        <v>700</v>
      </c>
      <c r="G57" s="232" t="s">
        <v>1187</v>
      </c>
      <c r="H57" s="232" t="s">
        <v>1188</v>
      </c>
      <c r="I57" s="232" t="s">
        <v>1189</v>
      </c>
      <c r="J57" s="232" t="s">
        <v>684</v>
      </c>
      <c r="K57" s="232" t="s">
        <v>633</v>
      </c>
      <c r="L57" s="232" t="s">
        <v>685</v>
      </c>
      <c r="M57" s="232" t="s">
        <v>656</v>
      </c>
      <c r="N57" s="232" t="s">
        <v>635</v>
      </c>
      <c r="O57" s="232" t="s">
        <v>686</v>
      </c>
      <c r="P57" s="232" t="s">
        <v>1176</v>
      </c>
      <c r="Q57" s="249" t="s">
        <v>475</v>
      </c>
      <c r="R57" s="232" t="s">
        <v>475</v>
      </c>
      <c r="S57" s="232" t="s">
        <v>475</v>
      </c>
      <c r="T57" s="232" t="s">
        <v>475</v>
      </c>
      <c r="U57" s="232" t="s">
        <v>475</v>
      </c>
      <c r="V57" s="250" t="s">
        <v>475</v>
      </c>
      <c r="W57" s="232" t="s">
        <v>475</v>
      </c>
      <c r="X57" s="232" t="s">
        <v>475</v>
      </c>
      <c r="Y57" s="232" t="s">
        <v>475</v>
      </c>
      <c r="Z57" s="232" t="s">
        <v>475</v>
      </c>
      <c r="AA57" s="232" t="s">
        <v>475</v>
      </c>
      <c r="AB57" s="232" t="s">
        <v>475</v>
      </c>
      <c r="AC57" s="232" t="s">
        <v>475</v>
      </c>
      <c r="AD57" s="232" t="s">
        <v>475</v>
      </c>
      <c r="AE57" s="232" t="s">
        <v>475</v>
      </c>
      <c r="AF57" s="232" t="s">
        <v>475</v>
      </c>
      <c r="AG57" s="252"/>
      <c r="AH57" s="236" t="s">
        <v>688</v>
      </c>
      <c r="AI57" s="237" t="s">
        <v>689</v>
      </c>
      <c r="AJ57" s="238" t="s">
        <v>640</v>
      </c>
      <c r="AK57" s="253"/>
      <c r="AL57" s="236" t="s">
        <v>641</v>
      </c>
      <c r="AM57" s="238" t="s">
        <v>1190</v>
      </c>
      <c r="AN57" s="253"/>
      <c r="AO57" s="240" t="s">
        <v>691</v>
      </c>
      <c r="AP57" s="241" t="s">
        <v>1181</v>
      </c>
      <c r="AQ57" s="242" t="s">
        <v>693</v>
      </c>
      <c r="AR57" s="253"/>
      <c r="AS57" s="240" t="s">
        <v>694</v>
      </c>
      <c r="AT57" s="243" t="s">
        <v>695</v>
      </c>
      <c r="AU57" s="242" t="s">
        <v>648</v>
      </c>
      <c r="AV57" s="205"/>
    </row>
    <row r="58" spans="1:48" x14ac:dyDescent="0.3">
      <c r="A58" s="215" t="s">
        <v>1191</v>
      </c>
      <c r="B58" s="126" t="s">
        <v>1192</v>
      </c>
      <c r="C58" s="115" t="s">
        <v>1193</v>
      </c>
      <c r="D58" s="116" t="s">
        <v>862</v>
      </c>
      <c r="E58" s="116" t="s">
        <v>863</v>
      </c>
      <c r="F58" s="116" t="s">
        <v>628</v>
      </c>
      <c r="G58" s="116" t="s">
        <v>1194</v>
      </c>
      <c r="H58" s="116" t="s">
        <v>717</v>
      </c>
      <c r="I58" s="116" t="s">
        <v>865</v>
      </c>
      <c r="J58" s="116" t="s">
        <v>461</v>
      </c>
      <c r="K58" s="116" t="s">
        <v>585</v>
      </c>
      <c r="L58" s="116" t="s">
        <v>586</v>
      </c>
      <c r="M58" s="116" t="s">
        <v>587</v>
      </c>
      <c r="N58" s="116" t="s">
        <v>866</v>
      </c>
      <c r="O58" s="116" t="s">
        <v>867</v>
      </c>
      <c r="P58" s="116" t="s">
        <v>1195</v>
      </c>
      <c r="Q58" s="117" t="s">
        <v>868</v>
      </c>
      <c r="R58" s="116" t="s">
        <v>567</v>
      </c>
      <c r="S58" s="116" t="s">
        <v>961</v>
      </c>
      <c r="T58" s="116" t="s">
        <v>1196</v>
      </c>
      <c r="U58" s="116" t="s">
        <v>870</v>
      </c>
      <c r="V58" s="118" t="s">
        <v>871</v>
      </c>
      <c r="W58" s="116" t="s">
        <v>567</v>
      </c>
      <c r="X58" s="116" t="s">
        <v>567</v>
      </c>
      <c r="Y58" s="116" t="s">
        <v>567</v>
      </c>
      <c r="Z58" s="116" t="s">
        <v>567</v>
      </c>
      <c r="AA58" s="116" t="s">
        <v>567</v>
      </c>
      <c r="AB58" s="116" t="s">
        <v>567</v>
      </c>
      <c r="AC58" s="116" t="s">
        <v>567</v>
      </c>
      <c r="AD58" s="116" t="s">
        <v>567</v>
      </c>
      <c r="AE58" s="116" t="s">
        <v>567</v>
      </c>
      <c r="AF58" s="116" t="s">
        <v>567</v>
      </c>
      <c r="AG58" s="244"/>
      <c r="AH58" s="221" t="s">
        <v>1197</v>
      </c>
      <c r="AI58" s="222" t="s">
        <v>873</v>
      </c>
      <c r="AJ58" s="223" t="s">
        <v>640</v>
      </c>
      <c r="AK58" s="245"/>
      <c r="AL58" s="221" t="s">
        <v>874</v>
      </c>
      <c r="AM58" s="223" t="s">
        <v>711</v>
      </c>
      <c r="AN58" s="245"/>
      <c r="AO58" s="225"/>
      <c r="AP58" s="226"/>
      <c r="AQ58" s="227"/>
      <c r="AR58" s="245"/>
      <c r="AS58" s="225"/>
      <c r="AT58" s="228"/>
      <c r="AU58" s="227"/>
    </row>
    <row r="59" spans="1:48" x14ac:dyDescent="0.3">
      <c r="A59" s="229" t="s">
        <v>1198</v>
      </c>
      <c r="B59" s="251" t="s">
        <v>1199</v>
      </c>
      <c r="C59" s="231" t="s">
        <v>1200</v>
      </c>
      <c r="D59" s="232" t="s">
        <v>1201</v>
      </c>
      <c r="E59" s="232" t="s">
        <v>1186</v>
      </c>
      <c r="F59" s="232" t="s">
        <v>732</v>
      </c>
      <c r="G59" s="232" t="s">
        <v>1187</v>
      </c>
      <c r="H59" s="232" t="s">
        <v>655</v>
      </c>
      <c r="I59" s="232" t="s">
        <v>1202</v>
      </c>
      <c r="J59" s="232" t="s">
        <v>684</v>
      </c>
      <c r="K59" s="232" t="s">
        <v>633</v>
      </c>
      <c r="L59" s="232" t="s">
        <v>685</v>
      </c>
      <c r="M59" s="232" t="s">
        <v>656</v>
      </c>
      <c r="N59" s="232" t="s">
        <v>635</v>
      </c>
      <c r="O59" s="232" t="s">
        <v>564</v>
      </c>
      <c r="P59" s="232" t="s">
        <v>841</v>
      </c>
      <c r="Q59" s="249" t="s">
        <v>475</v>
      </c>
      <c r="R59" s="232" t="s">
        <v>475</v>
      </c>
      <c r="S59" s="232" t="s">
        <v>475</v>
      </c>
      <c r="T59" s="232" t="s">
        <v>475</v>
      </c>
      <c r="U59" s="232" t="s">
        <v>475</v>
      </c>
      <c r="V59" s="250" t="s">
        <v>475</v>
      </c>
      <c r="W59" s="232" t="s">
        <v>475</v>
      </c>
      <c r="X59" s="232" t="s">
        <v>475</v>
      </c>
      <c r="Y59" s="232" t="s">
        <v>475</v>
      </c>
      <c r="Z59" s="232" t="s">
        <v>475</v>
      </c>
      <c r="AA59" s="232" t="s">
        <v>475</v>
      </c>
      <c r="AB59" s="232" t="s">
        <v>475</v>
      </c>
      <c r="AC59" s="232" t="s">
        <v>475</v>
      </c>
      <c r="AD59" s="232" t="s">
        <v>475</v>
      </c>
      <c r="AE59" s="232" t="s">
        <v>475</v>
      </c>
      <c r="AF59" s="232" t="s">
        <v>475</v>
      </c>
      <c r="AG59" s="235"/>
      <c r="AH59" s="236" t="s">
        <v>1203</v>
      </c>
      <c r="AI59" s="237" t="s">
        <v>1204</v>
      </c>
      <c r="AJ59" s="238" t="s">
        <v>613</v>
      </c>
      <c r="AK59" s="239"/>
      <c r="AL59" s="236" t="s">
        <v>641</v>
      </c>
      <c r="AM59" s="238" t="s">
        <v>1205</v>
      </c>
      <c r="AN59" s="239"/>
      <c r="AO59" s="240" t="s">
        <v>1206</v>
      </c>
      <c r="AP59" s="241" t="s">
        <v>846</v>
      </c>
      <c r="AQ59" s="242" t="s">
        <v>693</v>
      </c>
      <c r="AR59" s="239"/>
      <c r="AS59" s="240" t="s">
        <v>847</v>
      </c>
      <c r="AT59" s="243" t="s">
        <v>1207</v>
      </c>
      <c r="AU59" s="242" t="s">
        <v>787</v>
      </c>
      <c r="AV59" s="205"/>
    </row>
    <row r="60" spans="1:48" ht="15.75" customHeight="1" x14ac:dyDescent="0.3">
      <c r="A60" s="215" t="s">
        <v>1208</v>
      </c>
      <c r="B60" s="126" t="s">
        <v>1209</v>
      </c>
      <c r="C60" s="115" t="s">
        <v>1210</v>
      </c>
      <c r="D60" s="116" t="s">
        <v>1201</v>
      </c>
      <c r="E60" s="116" t="s">
        <v>680</v>
      </c>
      <c r="F60" s="116" t="s">
        <v>732</v>
      </c>
      <c r="G60" s="116" t="s">
        <v>681</v>
      </c>
      <c r="H60" s="116" t="s">
        <v>989</v>
      </c>
      <c r="I60" s="116" t="s">
        <v>1211</v>
      </c>
      <c r="J60" s="116" t="s">
        <v>1212</v>
      </c>
      <c r="K60" s="116" t="s">
        <v>671</v>
      </c>
      <c r="L60" s="116" t="s">
        <v>685</v>
      </c>
      <c r="M60" s="116" t="s">
        <v>656</v>
      </c>
      <c r="N60" s="116" t="s">
        <v>896</v>
      </c>
      <c r="O60" s="116" t="s">
        <v>1213</v>
      </c>
      <c r="P60" s="116" t="s">
        <v>1214</v>
      </c>
      <c r="Q60" s="117" t="s">
        <v>475</v>
      </c>
      <c r="R60" s="116" t="s">
        <v>475</v>
      </c>
      <c r="S60" s="116" t="s">
        <v>475</v>
      </c>
      <c r="T60" s="116" t="s">
        <v>475</v>
      </c>
      <c r="U60" s="116" t="s">
        <v>475</v>
      </c>
      <c r="V60" s="118" t="s">
        <v>475</v>
      </c>
      <c r="W60" s="116" t="s">
        <v>475</v>
      </c>
      <c r="X60" s="116" t="s">
        <v>475</v>
      </c>
      <c r="Y60" s="116" t="s">
        <v>475</v>
      </c>
      <c r="Z60" s="116" t="s">
        <v>475</v>
      </c>
      <c r="AA60" s="116" t="s">
        <v>475</v>
      </c>
      <c r="AB60" s="116" t="s">
        <v>475</v>
      </c>
      <c r="AC60" s="116" t="s">
        <v>475</v>
      </c>
      <c r="AD60" s="116" t="s">
        <v>475</v>
      </c>
      <c r="AE60" s="116" t="s">
        <v>475</v>
      </c>
      <c r="AF60" s="116" t="s">
        <v>475</v>
      </c>
      <c r="AG60" s="220"/>
      <c r="AH60" s="221" t="s">
        <v>1215</v>
      </c>
      <c r="AI60" s="222" t="s">
        <v>1216</v>
      </c>
      <c r="AJ60" s="223" t="s">
        <v>613</v>
      </c>
      <c r="AK60" s="224"/>
      <c r="AL60" s="221" t="s">
        <v>1217</v>
      </c>
      <c r="AM60" s="223" t="s">
        <v>1218</v>
      </c>
      <c r="AN60" s="224"/>
      <c r="AO60" s="225" t="s">
        <v>1219</v>
      </c>
      <c r="AP60" s="226" t="s">
        <v>1220</v>
      </c>
      <c r="AQ60" s="227" t="s">
        <v>693</v>
      </c>
      <c r="AR60" s="224"/>
      <c r="AS60" s="225" t="s">
        <v>1221</v>
      </c>
      <c r="AT60" s="228" t="s">
        <v>1222</v>
      </c>
      <c r="AU60" s="227" t="s">
        <v>858</v>
      </c>
    </row>
    <row r="61" spans="1:48" x14ac:dyDescent="0.3">
      <c r="A61" s="229" t="s">
        <v>1223</v>
      </c>
      <c r="B61" s="251" t="s">
        <v>1224</v>
      </c>
      <c r="C61" s="231" t="s">
        <v>1225</v>
      </c>
      <c r="D61" s="232" t="s">
        <v>1226</v>
      </c>
      <c r="E61" s="232" t="s">
        <v>863</v>
      </c>
      <c r="F61" s="232" t="s">
        <v>1018</v>
      </c>
      <c r="G61" s="232" t="s">
        <v>1194</v>
      </c>
      <c r="H61" s="232" t="s">
        <v>630</v>
      </c>
      <c r="I61" s="232" t="s">
        <v>865</v>
      </c>
      <c r="J61" s="232" t="s">
        <v>461</v>
      </c>
      <c r="K61" s="232" t="s">
        <v>585</v>
      </c>
      <c r="L61" s="232" t="s">
        <v>465</v>
      </c>
      <c r="M61" s="232" t="s">
        <v>587</v>
      </c>
      <c r="N61" s="232" t="s">
        <v>866</v>
      </c>
      <c r="O61" s="232" t="s">
        <v>959</v>
      </c>
      <c r="P61" s="232" t="s">
        <v>565</v>
      </c>
      <c r="Q61" s="249" t="s">
        <v>960</v>
      </c>
      <c r="R61" s="232" t="s">
        <v>567</v>
      </c>
      <c r="S61" s="232" t="s">
        <v>1227</v>
      </c>
      <c r="T61" s="232" t="s">
        <v>1228</v>
      </c>
      <c r="U61" s="232" t="s">
        <v>1229</v>
      </c>
      <c r="V61" s="250" t="s">
        <v>871</v>
      </c>
      <c r="W61" s="232" t="s">
        <v>567</v>
      </c>
      <c r="X61" s="232" t="s">
        <v>567</v>
      </c>
      <c r="Y61" s="232" t="s">
        <v>567</v>
      </c>
      <c r="Z61" s="232" t="s">
        <v>567</v>
      </c>
      <c r="AA61" s="232" t="s">
        <v>567</v>
      </c>
      <c r="AB61" s="232" t="s">
        <v>567</v>
      </c>
      <c r="AC61" s="232" t="s">
        <v>567</v>
      </c>
      <c r="AD61" s="232" t="s">
        <v>567</v>
      </c>
      <c r="AE61" s="232" t="s">
        <v>567</v>
      </c>
      <c r="AF61" s="232" t="s">
        <v>567</v>
      </c>
      <c r="AG61" s="235"/>
      <c r="AH61" s="236" t="s">
        <v>1230</v>
      </c>
      <c r="AI61" s="237" t="s">
        <v>1231</v>
      </c>
      <c r="AJ61" s="238" t="s">
        <v>613</v>
      </c>
      <c r="AK61" s="239"/>
      <c r="AL61" s="236" t="s">
        <v>1232</v>
      </c>
      <c r="AM61" s="238" t="s">
        <v>594</v>
      </c>
      <c r="AN61" s="239"/>
      <c r="AO61" s="240"/>
      <c r="AP61" s="241"/>
      <c r="AQ61" s="242"/>
      <c r="AR61" s="239"/>
      <c r="AS61" s="240"/>
      <c r="AT61" s="243"/>
      <c r="AU61" s="242"/>
      <c r="AV61" s="205"/>
    </row>
    <row r="62" spans="1:48" x14ac:dyDescent="0.3">
      <c r="A62" s="215"/>
      <c r="B62" s="126"/>
      <c r="C62" s="115"/>
      <c r="D62" s="116"/>
      <c r="E62" s="116"/>
      <c r="F62" s="116"/>
      <c r="G62" s="116"/>
      <c r="H62" s="116"/>
      <c r="I62" s="116"/>
      <c r="J62" s="116"/>
      <c r="K62" s="116"/>
      <c r="L62" s="116"/>
      <c r="M62" s="116"/>
      <c r="N62" s="116"/>
      <c r="O62" s="116"/>
      <c r="P62" s="116"/>
      <c r="Q62" s="117"/>
      <c r="R62" s="116"/>
      <c r="S62" s="116"/>
      <c r="T62" s="116"/>
      <c r="U62" s="116"/>
      <c r="V62" s="118"/>
      <c r="W62" s="116"/>
      <c r="X62" s="116"/>
      <c r="Y62" s="116"/>
      <c r="Z62" s="116"/>
      <c r="AA62" s="116"/>
      <c r="AB62" s="116"/>
      <c r="AC62" s="116"/>
      <c r="AD62" s="116"/>
      <c r="AE62" s="116"/>
      <c r="AF62" s="116"/>
      <c r="AG62" s="220"/>
      <c r="AH62" s="221"/>
      <c r="AI62" s="222"/>
      <c r="AJ62" s="223"/>
      <c r="AK62" s="224"/>
      <c r="AL62" s="221"/>
      <c r="AM62" s="223"/>
      <c r="AN62" s="224"/>
      <c r="AO62" s="225"/>
      <c r="AP62" s="226"/>
      <c r="AQ62" s="227"/>
      <c r="AR62" s="224"/>
      <c r="AS62" s="225"/>
      <c r="AT62" s="228"/>
      <c r="AU62" s="227"/>
    </row>
    <row r="63" spans="1:48" x14ac:dyDescent="0.3">
      <c r="A63" s="215"/>
      <c r="B63" s="126"/>
      <c r="C63" s="115"/>
      <c r="D63" s="116"/>
      <c r="E63" s="116"/>
      <c r="F63" s="116"/>
      <c r="G63" s="116"/>
      <c r="H63" s="116"/>
      <c r="I63" s="116"/>
      <c r="J63" s="116"/>
      <c r="K63" s="116"/>
      <c r="L63" s="116"/>
      <c r="M63" s="116"/>
      <c r="N63" s="116"/>
      <c r="O63" s="116"/>
      <c r="P63" s="254"/>
      <c r="Q63" s="255"/>
      <c r="R63" s="256"/>
      <c r="S63" s="116"/>
      <c r="T63" s="116"/>
      <c r="U63" s="116"/>
      <c r="V63" s="118"/>
      <c r="W63" s="116"/>
      <c r="X63" s="116"/>
      <c r="Y63" s="116"/>
      <c r="Z63" s="116"/>
      <c r="AA63" s="116"/>
      <c r="AB63" s="116"/>
      <c r="AC63" s="116"/>
      <c r="AD63" s="116"/>
      <c r="AE63" s="116"/>
      <c r="AF63" s="116"/>
      <c r="AG63" s="220"/>
      <c r="AH63" s="221"/>
      <c r="AI63" s="222"/>
      <c r="AJ63" s="223"/>
      <c r="AK63" s="224"/>
      <c r="AL63" s="221"/>
      <c r="AM63" s="223"/>
      <c r="AN63" s="224"/>
      <c r="AO63" s="225"/>
      <c r="AP63" s="226"/>
      <c r="AQ63" s="227"/>
      <c r="AR63" s="224"/>
      <c r="AS63" s="225"/>
      <c r="AT63" s="228"/>
      <c r="AU63" s="227"/>
    </row>
    <row r="64" spans="1:48" x14ac:dyDescent="0.3">
      <c r="A64" s="215"/>
      <c r="B64" s="126"/>
      <c r="C64" s="115"/>
      <c r="D64" s="116"/>
      <c r="E64" s="116"/>
      <c r="F64" s="116"/>
      <c r="G64" s="116"/>
      <c r="H64" s="116"/>
      <c r="I64" s="116"/>
      <c r="J64" s="116"/>
      <c r="K64" s="116"/>
      <c r="L64" s="116"/>
      <c r="M64" s="116"/>
      <c r="N64" s="116"/>
      <c r="O64" s="116"/>
      <c r="P64" s="254"/>
      <c r="Q64" s="255"/>
      <c r="R64" s="256"/>
      <c r="S64" s="116"/>
      <c r="T64" s="116"/>
      <c r="U64" s="116"/>
      <c r="V64" s="118"/>
      <c r="W64" s="116"/>
      <c r="X64" s="116"/>
      <c r="Y64" s="116"/>
      <c r="Z64" s="116"/>
      <c r="AA64" s="116"/>
      <c r="AB64" s="116"/>
      <c r="AC64" s="116"/>
      <c r="AD64" s="116"/>
      <c r="AE64" s="116"/>
      <c r="AF64" s="116"/>
      <c r="AG64" s="220"/>
      <c r="AH64" s="221"/>
      <c r="AI64" s="222"/>
      <c r="AJ64" s="223"/>
      <c r="AK64" s="224"/>
      <c r="AL64" s="221"/>
      <c r="AM64" s="223"/>
      <c r="AN64" s="224"/>
      <c r="AO64" s="225"/>
      <c r="AP64" s="226"/>
      <c r="AQ64" s="227"/>
      <c r="AR64" s="224"/>
      <c r="AS64" s="225"/>
      <c r="AT64" s="228"/>
      <c r="AU64" s="227"/>
    </row>
    <row r="65" spans="1:47" x14ac:dyDescent="0.3">
      <c r="A65" s="215"/>
      <c r="B65" s="126"/>
      <c r="C65" s="115"/>
      <c r="D65" s="116"/>
      <c r="E65" s="116"/>
      <c r="F65" s="116"/>
      <c r="G65" s="116"/>
      <c r="H65" s="116"/>
      <c r="I65" s="116"/>
      <c r="J65" s="116"/>
      <c r="K65" s="116"/>
      <c r="L65" s="116"/>
      <c r="M65" s="116"/>
      <c r="N65" s="116"/>
      <c r="O65" s="116"/>
      <c r="P65" s="116"/>
      <c r="Q65" s="117"/>
      <c r="R65" s="116"/>
      <c r="S65" s="116"/>
      <c r="T65" s="116"/>
      <c r="U65" s="116"/>
      <c r="V65" s="118"/>
      <c r="W65" s="116"/>
      <c r="X65" s="116"/>
      <c r="Y65" s="116"/>
      <c r="Z65" s="116"/>
      <c r="AA65" s="116"/>
      <c r="AB65" s="116"/>
      <c r="AC65" s="116"/>
      <c r="AD65" s="116"/>
      <c r="AE65" s="116"/>
      <c r="AF65" s="116"/>
      <c r="AG65" s="220"/>
      <c r="AH65" s="221"/>
      <c r="AI65" s="222"/>
      <c r="AJ65" s="223"/>
      <c r="AK65" s="224"/>
      <c r="AL65" s="221"/>
      <c r="AM65" s="223"/>
      <c r="AN65" s="224"/>
      <c r="AO65" s="225"/>
      <c r="AP65" s="226"/>
      <c r="AQ65" s="227"/>
      <c r="AR65" s="224"/>
      <c r="AS65" s="225"/>
      <c r="AT65" s="228"/>
      <c r="AU65" s="227"/>
    </row>
    <row r="66" spans="1:47" x14ac:dyDescent="0.3">
      <c r="A66" s="215"/>
      <c r="B66" s="126"/>
      <c r="C66" s="115"/>
      <c r="D66" s="116"/>
      <c r="E66" s="116"/>
      <c r="F66" s="116"/>
      <c r="G66" s="116"/>
      <c r="H66" s="116"/>
      <c r="I66" s="116"/>
      <c r="J66" s="116"/>
      <c r="K66" s="116"/>
      <c r="L66" s="116"/>
      <c r="M66" s="116"/>
      <c r="N66" s="116"/>
      <c r="O66" s="116"/>
      <c r="P66" s="116"/>
      <c r="Q66" s="117"/>
      <c r="R66" s="116"/>
      <c r="S66" s="116"/>
      <c r="T66" s="116"/>
      <c r="U66" s="116"/>
      <c r="V66" s="118"/>
      <c r="W66" s="116"/>
      <c r="X66" s="116"/>
      <c r="Y66" s="116"/>
      <c r="Z66" s="116"/>
      <c r="AA66" s="116"/>
      <c r="AB66" s="116"/>
      <c r="AC66" s="116"/>
      <c r="AD66" s="116"/>
      <c r="AE66" s="116"/>
      <c r="AF66" s="116"/>
      <c r="AG66" s="220"/>
      <c r="AH66" s="221"/>
      <c r="AI66" s="222"/>
      <c r="AJ66" s="223"/>
      <c r="AK66" s="224"/>
      <c r="AL66" s="221"/>
      <c r="AM66" s="223"/>
      <c r="AN66" s="224"/>
      <c r="AO66" s="225"/>
      <c r="AP66" s="226"/>
      <c r="AQ66" s="227"/>
      <c r="AR66" s="224"/>
      <c r="AS66" s="225"/>
      <c r="AT66" s="228"/>
      <c r="AU66" s="227"/>
    </row>
    <row r="67" spans="1:47" x14ac:dyDescent="0.3">
      <c r="A67" s="215"/>
      <c r="B67" s="126"/>
      <c r="C67" s="115"/>
      <c r="D67" s="116"/>
      <c r="E67" s="116"/>
      <c r="F67" s="116"/>
      <c r="G67" s="116"/>
      <c r="H67" s="116"/>
      <c r="I67" s="116"/>
      <c r="J67" s="116"/>
      <c r="K67" s="116"/>
      <c r="L67" s="116"/>
      <c r="M67" s="116"/>
      <c r="N67" s="116"/>
      <c r="O67" s="116"/>
      <c r="P67" s="116"/>
      <c r="Q67" s="117"/>
      <c r="R67" s="116"/>
      <c r="S67" s="116"/>
      <c r="T67" s="116"/>
      <c r="U67" s="116"/>
      <c r="V67" s="118"/>
      <c r="W67" s="116"/>
      <c r="X67" s="116"/>
      <c r="Y67" s="116"/>
      <c r="Z67" s="116"/>
      <c r="AA67" s="116"/>
      <c r="AB67" s="116"/>
      <c r="AC67" s="116"/>
      <c r="AD67" s="116"/>
      <c r="AE67" s="116"/>
      <c r="AF67" s="116"/>
      <c r="AG67" s="220"/>
      <c r="AH67" s="221"/>
      <c r="AI67" s="222"/>
      <c r="AJ67" s="223"/>
      <c r="AK67" s="224"/>
      <c r="AL67" s="221"/>
      <c r="AM67" s="223"/>
      <c r="AN67" s="224"/>
      <c r="AO67" s="225"/>
      <c r="AP67" s="226"/>
      <c r="AQ67" s="227"/>
      <c r="AR67" s="224"/>
      <c r="AS67" s="225"/>
      <c r="AT67" s="228"/>
      <c r="AU67" s="227"/>
    </row>
    <row r="68" spans="1:47" x14ac:dyDescent="0.3">
      <c r="A68" s="215"/>
      <c r="B68" s="126"/>
      <c r="C68" s="115"/>
      <c r="D68" s="116"/>
      <c r="E68" s="116"/>
      <c r="F68" s="116"/>
      <c r="G68" s="116"/>
      <c r="H68" s="116"/>
      <c r="I68" s="116"/>
      <c r="J68" s="116"/>
      <c r="K68" s="116"/>
      <c r="L68" s="116"/>
      <c r="M68" s="116"/>
      <c r="N68" s="116"/>
      <c r="O68" s="116"/>
      <c r="P68" s="116"/>
      <c r="Q68" s="117"/>
      <c r="R68" s="116"/>
      <c r="S68" s="116"/>
      <c r="T68" s="116"/>
      <c r="U68" s="116"/>
      <c r="V68" s="118"/>
      <c r="W68" s="116"/>
      <c r="X68" s="116"/>
      <c r="Y68" s="116"/>
      <c r="Z68" s="116"/>
      <c r="AA68" s="116"/>
      <c r="AB68" s="116"/>
      <c r="AC68" s="116"/>
      <c r="AD68" s="116"/>
      <c r="AE68" s="116"/>
      <c r="AF68" s="116"/>
      <c r="AG68" s="220"/>
      <c r="AH68" s="221"/>
      <c r="AI68" s="222"/>
      <c r="AJ68" s="223"/>
      <c r="AK68" s="224"/>
      <c r="AL68" s="221"/>
      <c r="AM68" s="223"/>
      <c r="AN68" s="224"/>
      <c r="AO68" s="225"/>
      <c r="AP68" s="226"/>
      <c r="AQ68" s="227"/>
      <c r="AR68" s="224"/>
      <c r="AS68" s="225"/>
      <c r="AT68" s="228"/>
      <c r="AU68" s="227"/>
    </row>
    <row r="69" spans="1:47" x14ac:dyDescent="0.3">
      <c r="A69" s="215"/>
      <c r="B69" s="126"/>
      <c r="C69" s="115"/>
      <c r="D69" s="116"/>
      <c r="E69" s="116"/>
      <c r="F69" s="116"/>
      <c r="G69" s="116"/>
      <c r="H69" s="116"/>
      <c r="I69" s="116"/>
      <c r="J69" s="116"/>
      <c r="K69" s="116"/>
      <c r="L69" s="116"/>
      <c r="M69" s="116"/>
      <c r="N69" s="116"/>
      <c r="O69" s="116"/>
      <c r="P69" s="116"/>
      <c r="Q69" s="117"/>
      <c r="R69" s="116"/>
      <c r="S69" s="116"/>
      <c r="T69" s="116"/>
      <c r="U69" s="116"/>
      <c r="V69" s="118"/>
      <c r="W69" s="116"/>
      <c r="X69" s="116"/>
      <c r="Y69" s="116"/>
      <c r="Z69" s="116"/>
      <c r="AA69" s="116"/>
      <c r="AB69" s="116"/>
      <c r="AC69" s="116"/>
      <c r="AD69" s="116"/>
      <c r="AE69" s="116"/>
      <c r="AF69" s="116"/>
      <c r="AG69" s="220"/>
      <c r="AH69" s="221"/>
      <c r="AI69" s="222"/>
      <c r="AJ69" s="223"/>
      <c r="AK69" s="224"/>
      <c r="AL69" s="221"/>
      <c r="AM69" s="223"/>
      <c r="AN69" s="224"/>
      <c r="AO69" s="225"/>
      <c r="AP69" s="226"/>
      <c r="AQ69" s="227"/>
      <c r="AR69" s="224"/>
      <c r="AS69" s="225"/>
      <c r="AT69" s="228"/>
      <c r="AU69" s="227"/>
    </row>
    <row r="70" spans="1:47" x14ac:dyDescent="0.3">
      <c r="A70" s="215"/>
      <c r="B70" s="126"/>
      <c r="C70" s="115"/>
      <c r="D70" s="116"/>
      <c r="E70" s="116"/>
      <c r="F70" s="116"/>
      <c r="G70" s="116"/>
      <c r="H70" s="116"/>
      <c r="I70" s="116"/>
      <c r="J70" s="116"/>
      <c r="K70" s="116"/>
      <c r="L70" s="116"/>
      <c r="M70" s="116"/>
      <c r="N70" s="116"/>
      <c r="O70" s="116"/>
      <c r="P70" s="116"/>
      <c r="Q70" s="117"/>
      <c r="R70" s="116"/>
      <c r="S70" s="116"/>
      <c r="T70" s="116"/>
      <c r="U70" s="116"/>
      <c r="V70" s="118"/>
      <c r="W70" s="116"/>
      <c r="X70" s="116"/>
      <c r="Y70" s="116"/>
      <c r="Z70" s="116"/>
      <c r="AA70" s="116"/>
      <c r="AB70" s="116"/>
      <c r="AC70" s="116"/>
      <c r="AD70" s="116"/>
      <c r="AE70" s="116"/>
      <c r="AF70" s="116"/>
      <c r="AG70" s="220"/>
      <c r="AH70" s="221"/>
      <c r="AI70" s="222"/>
      <c r="AJ70" s="223"/>
      <c r="AK70" s="224"/>
      <c r="AL70" s="221"/>
      <c r="AM70" s="223"/>
      <c r="AN70" s="224"/>
      <c r="AO70" s="225"/>
      <c r="AP70" s="226"/>
      <c r="AQ70" s="227"/>
      <c r="AR70" s="224"/>
      <c r="AS70" s="225"/>
      <c r="AT70" s="228"/>
      <c r="AU70" s="227"/>
    </row>
    <row r="71" spans="1:47" x14ac:dyDescent="0.3">
      <c r="A71" s="215"/>
      <c r="B71" s="126"/>
      <c r="C71" s="115"/>
      <c r="D71" s="116"/>
      <c r="E71" s="116"/>
      <c r="F71" s="116"/>
      <c r="G71" s="116"/>
      <c r="H71" s="116"/>
      <c r="I71" s="116"/>
      <c r="J71" s="116"/>
      <c r="K71" s="116"/>
      <c r="L71" s="116"/>
      <c r="M71" s="116"/>
      <c r="N71" s="116"/>
      <c r="O71" s="116"/>
      <c r="P71" s="116"/>
      <c r="Q71" s="117"/>
      <c r="R71" s="116"/>
      <c r="S71" s="116"/>
      <c r="T71" s="116"/>
      <c r="U71" s="116"/>
      <c r="V71" s="118"/>
      <c r="W71" s="116"/>
      <c r="X71" s="116"/>
      <c r="Y71" s="116"/>
      <c r="Z71" s="116"/>
      <c r="AA71" s="116"/>
      <c r="AB71" s="116"/>
      <c r="AC71" s="116"/>
      <c r="AD71" s="116"/>
      <c r="AE71" s="116"/>
      <c r="AF71" s="116"/>
      <c r="AG71" s="220"/>
      <c r="AH71" s="221"/>
      <c r="AI71" s="222"/>
      <c r="AJ71" s="223"/>
      <c r="AK71" s="224"/>
      <c r="AL71" s="221"/>
      <c r="AM71" s="223"/>
      <c r="AN71" s="224"/>
      <c r="AO71" s="225"/>
      <c r="AP71" s="226"/>
      <c r="AQ71" s="227"/>
      <c r="AR71" s="224"/>
      <c r="AS71" s="225"/>
      <c r="AT71" s="228"/>
      <c r="AU71" s="227"/>
    </row>
    <row r="72" spans="1:47" x14ac:dyDescent="0.3">
      <c r="A72" s="215"/>
      <c r="B72" s="126"/>
      <c r="C72" s="115"/>
      <c r="D72" s="116"/>
      <c r="E72" s="116"/>
      <c r="F72" s="116"/>
      <c r="G72" s="116"/>
      <c r="H72" s="116"/>
      <c r="I72" s="116"/>
      <c r="J72" s="116"/>
      <c r="K72" s="116"/>
      <c r="L72" s="116"/>
      <c r="M72" s="116"/>
      <c r="N72" s="116"/>
      <c r="O72" s="116"/>
      <c r="P72" s="116"/>
      <c r="Q72" s="117"/>
      <c r="R72" s="116"/>
      <c r="S72" s="116"/>
      <c r="T72" s="116"/>
      <c r="U72" s="116"/>
      <c r="V72" s="118"/>
      <c r="W72" s="116"/>
      <c r="X72" s="116"/>
      <c r="Y72" s="116"/>
      <c r="Z72" s="116"/>
      <c r="AA72" s="116"/>
      <c r="AB72" s="116"/>
      <c r="AC72" s="116"/>
      <c r="AD72" s="116"/>
      <c r="AE72" s="116"/>
      <c r="AF72" s="116"/>
      <c r="AG72" s="220"/>
      <c r="AH72" s="221"/>
      <c r="AI72" s="222"/>
      <c r="AJ72" s="223"/>
      <c r="AK72" s="224"/>
      <c r="AL72" s="221"/>
      <c r="AM72" s="223"/>
      <c r="AN72" s="224"/>
      <c r="AO72" s="225"/>
      <c r="AP72" s="226"/>
      <c r="AQ72" s="227"/>
      <c r="AR72" s="224"/>
      <c r="AS72" s="225"/>
      <c r="AT72" s="228"/>
      <c r="AU72" s="227"/>
    </row>
    <row r="73" spans="1:47" x14ac:dyDescent="0.3">
      <c r="A73" s="215"/>
      <c r="B73" s="126"/>
      <c r="C73" s="115"/>
      <c r="D73" s="116"/>
      <c r="E73" s="116"/>
      <c r="F73" s="116"/>
      <c r="G73" s="116"/>
      <c r="H73" s="116"/>
      <c r="I73" s="116"/>
      <c r="J73" s="116"/>
      <c r="K73" s="116"/>
      <c r="L73" s="116"/>
      <c r="M73" s="116"/>
      <c r="N73" s="116"/>
      <c r="O73" s="116"/>
      <c r="P73" s="116"/>
      <c r="Q73" s="117"/>
      <c r="R73" s="116"/>
      <c r="S73" s="116"/>
      <c r="T73" s="116"/>
      <c r="U73" s="116"/>
      <c r="V73" s="118"/>
      <c r="W73" s="116"/>
      <c r="X73" s="116"/>
      <c r="Y73" s="116"/>
      <c r="Z73" s="116"/>
      <c r="AA73" s="116"/>
      <c r="AB73" s="116"/>
      <c r="AC73" s="116"/>
      <c r="AD73" s="116"/>
      <c r="AE73" s="116"/>
      <c r="AF73" s="116"/>
      <c r="AG73" s="220"/>
      <c r="AH73" s="221"/>
      <c r="AI73" s="222"/>
      <c r="AJ73" s="223"/>
      <c r="AK73" s="224"/>
      <c r="AL73" s="221"/>
      <c r="AM73" s="223"/>
      <c r="AN73" s="224"/>
      <c r="AO73" s="225"/>
      <c r="AP73" s="226"/>
      <c r="AQ73" s="227"/>
      <c r="AR73" s="224"/>
      <c r="AS73" s="225"/>
      <c r="AT73" s="228"/>
      <c r="AU73" s="227"/>
    </row>
    <row r="74" spans="1:47" x14ac:dyDescent="0.3">
      <c r="A74" s="215"/>
      <c r="B74" s="126"/>
      <c r="C74" s="115"/>
      <c r="D74" s="116"/>
      <c r="E74" s="116"/>
      <c r="F74" s="116"/>
      <c r="G74" s="116"/>
      <c r="H74" s="116"/>
      <c r="I74" s="116"/>
      <c r="J74" s="116"/>
      <c r="K74" s="116"/>
      <c r="L74" s="116"/>
      <c r="M74" s="116"/>
      <c r="N74" s="116"/>
      <c r="O74" s="116"/>
      <c r="P74" s="116"/>
      <c r="Q74" s="117"/>
      <c r="R74" s="116"/>
      <c r="S74" s="116"/>
      <c r="T74" s="116"/>
      <c r="U74" s="116"/>
      <c r="V74" s="118"/>
      <c r="W74" s="116"/>
      <c r="X74" s="116"/>
      <c r="Y74" s="116"/>
      <c r="Z74" s="116"/>
      <c r="AA74" s="116"/>
      <c r="AB74" s="116"/>
      <c r="AC74" s="116"/>
      <c r="AD74" s="116"/>
      <c r="AE74" s="116"/>
      <c r="AF74" s="116"/>
      <c r="AG74" s="220"/>
      <c r="AH74" s="221"/>
      <c r="AI74" s="222"/>
      <c r="AJ74" s="223"/>
      <c r="AK74" s="224"/>
      <c r="AL74" s="221"/>
      <c r="AM74" s="223"/>
      <c r="AN74" s="224"/>
      <c r="AO74" s="225"/>
      <c r="AP74" s="226"/>
      <c r="AQ74" s="227"/>
      <c r="AR74" s="224"/>
      <c r="AS74" s="225"/>
      <c r="AT74" s="228"/>
      <c r="AU74" s="227"/>
    </row>
    <row r="75" spans="1:47" x14ac:dyDescent="0.3">
      <c r="A75" s="215"/>
      <c r="B75" s="126"/>
      <c r="C75" s="115"/>
      <c r="D75" s="116"/>
      <c r="E75" s="116"/>
      <c r="F75" s="116"/>
      <c r="G75" s="116"/>
      <c r="H75" s="116"/>
      <c r="I75" s="116"/>
      <c r="J75" s="116"/>
      <c r="K75" s="116"/>
      <c r="L75" s="116"/>
      <c r="M75" s="116"/>
      <c r="N75" s="116"/>
      <c r="O75" s="116"/>
      <c r="P75" s="116"/>
      <c r="Q75" s="117"/>
      <c r="R75" s="116"/>
      <c r="S75" s="116"/>
      <c r="T75" s="116"/>
      <c r="U75" s="116"/>
      <c r="V75" s="118"/>
      <c r="W75" s="116"/>
      <c r="X75" s="116"/>
      <c r="Y75" s="116"/>
      <c r="Z75" s="116"/>
      <c r="AA75" s="116"/>
      <c r="AB75" s="116"/>
      <c r="AC75" s="116"/>
      <c r="AD75" s="116"/>
      <c r="AE75" s="116"/>
      <c r="AF75" s="116"/>
      <c r="AG75" s="220"/>
      <c r="AH75" s="221"/>
      <c r="AI75" s="222"/>
      <c r="AJ75" s="223"/>
      <c r="AK75" s="224"/>
      <c r="AL75" s="221"/>
      <c r="AM75" s="223"/>
      <c r="AN75" s="224"/>
      <c r="AO75" s="225"/>
      <c r="AP75" s="226"/>
      <c r="AQ75" s="227"/>
      <c r="AR75" s="224"/>
      <c r="AS75" s="225"/>
      <c r="AT75" s="228"/>
      <c r="AU75" s="227"/>
    </row>
    <row r="76" spans="1:47" x14ac:dyDescent="0.3">
      <c r="A76" s="215"/>
      <c r="B76" s="126"/>
      <c r="C76" s="115"/>
      <c r="D76" s="116"/>
      <c r="E76" s="116"/>
      <c r="F76" s="116"/>
      <c r="G76" s="116"/>
      <c r="H76" s="116"/>
      <c r="I76" s="116"/>
      <c r="J76" s="116"/>
      <c r="K76" s="116"/>
      <c r="L76" s="116"/>
      <c r="M76" s="116"/>
      <c r="N76" s="116"/>
      <c r="O76" s="116"/>
      <c r="P76" s="116"/>
      <c r="Q76" s="117"/>
      <c r="R76" s="116"/>
      <c r="S76" s="116"/>
      <c r="T76" s="116"/>
      <c r="U76" s="116"/>
      <c r="V76" s="118"/>
      <c r="W76" s="116"/>
      <c r="X76" s="116"/>
      <c r="Y76" s="116"/>
      <c r="Z76" s="116"/>
      <c r="AA76" s="116"/>
      <c r="AB76" s="116"/>
      <c r="AC76" s="116"/>
      <c r="AD76" s="116"/>
      <c r="AE76" s="116"/>
      <c r="AF76" s="116"/>
      <c r="AG76" s="220"/>
      <c r="AH76" s="221"/>
      <c r="AI76" s="222"/>
      <c r="AJ76" s="223"/>
      <c r="AK76" s="224"/>
      <c r="AL76" s="221"/>
      <c r="AM76" s="223"/>
      <c r="AN76" s="224"/>
      <c r="AO76" s="225"/>
      <c r="AP76" s="226"/>
      <c r="AQ76" s="227"/>
      <c r="AR76" s="224"/>
      <c r="AS76" s="225"/>
      <c r="AT76" s="228"/>
      <c r="AU76" s="227"/>
    </row>
    <row r="77" spans="1:47" x14ac:dyDescent="0.3">
      <c r="A77" s="215"/>
      <c r="B77" s="126"/>
      <c r="C77" s="115"/>
      <c r="D77" s="116"/>
      <c r="E77" s="116"/>
      <c r="F77" s="116"/>
      <c r="G77" s="116"/>
      <c r="H77" s="116"/>
      <c r="I77" s="116"/>
      <c r="J77" s="116"/>
      <c r="K77" s="116"/>
      <c r="L77" s="116"/>
      <c r="M77" s="116"/>
      <c r="N77" s="116"/>
      <c r="O77" s="116"/>
      <c r="P77" s="116"/>
      <c r="Q77" s="117"/>
      <c r="R77" s="116"/>
      <c r="S77" s="116"/>
      <c r="T77" s="116"/>
      <c r="U77" s="116"/>
      <c r="V77" s="118"/>
      <c r="W77" s="116"/>
      <c r="X77" s="116"/>
      <c r="Y77" s="116"/>
      <c r="Z77" s="116"/>
      <c r="AA77" s="116"/>
      <c r="AB77" s="116"/>
      <c r="AC77" s="116"/>
      <c r="AD77" s="116"/>
      <c r="AE77" s="116"/>
      <c r="AF77" s="116"/>
      <c r="AG77" s="220"/>
      <c r="AH77" s="221"/>
      <c r="AI77" s="222"/>
      <c r="AJ77" s="223"/>
      <c r="AK77" s="224"/>
      <c r="AL77" s="221"/>
      <c r="AM77" s="223"/>
      <c r="AN77" s="224"/>
      <c r="AO77" s="225"/>
      <c r="AP77" s="226"/>
      <c r="AQ77" s="227"/>
      <c r="AR77" s="224"/>
      <c r="AS77" s="225"/>
      <c r="AT77" s="228"/>
      <c r="AU77" s="227"/>
    </row>
    <row r="78" spans="1:47" x14ac:dyDescent="0.3">
      <c r="A78" s="215"/>
      <c r="B78" s="126"/>
      <c r="C78" s="115"/>
      <c r="D78" s="116"/>
      <c r="E78" s="116"/>
      <c r="F78" s="116"/>
      <c r="G78" s="116"/>
      <c r="H78" s="116"/>
      <c r="I78" s="116"/>
      <c r="J78" s="116"/>
      <c r="K78" s="116"/>
      <c r="L78" s="116"/>
      <c r="M78" s="116"/>
      <c r="N78" s="116"/>
      <c r="O78" s="116"/>
      <c r="P78" s="116"/>
      <c r="Q78" s="117"/>
      <c r="R78" s="116"/>
      <c r="S78" s="116"/>
      <c r="T78" s="116"/>
      <c r="U78" s="116"/>
      <c r="V78" s="118"/>
      <c r="W78" s="116"/>
      <c r="X78" s="116"/>
      <c r="Y78" s="116"/>
      <c r="Z78" s="116"/>
      <c r="AA78" s="116"/>
      <c r="AB78" s="116"/>
      <c r="AC78" s="116"/>
      <c r="AD78" s="116"/>
      <c r="AE78" s="116"/>
      <c r="AF78" s="116"/>
      <c r="AG78" s="220"/>
      <c r="AH78" s="221"/>
      <c r="AI78" s="222"/>
      <c r="AJ78" s="223"/>
      <c r="AK78" s="224"/>
      <c r="AL78" s="221"/>
      <c r="AM78" s="223"/>
      <c r="AN78" s="224"/>
      <c r="AO78" s="225"/>
      <c r="AP78" s="226"/>
      <c r="AQ78" s="227"/>
      <c r="AR78" s="224"/>
      <c r="AS78" s="225"/>
      <c r="AT78" s="228"/>
      <c r="AU78" s="227"/>
    </row>
    <row r="79" spans="1:47" x14ac:dyDescent="0.3">
      <c r="A79" s="215"/>
      <c r="B79" s="126"/>
      <c r="C79" s="115"/>
      <c r="D79" s="116"/>
      <c r="E79" s="116"/>
      <c r="F79" s="116"/>
      <c r="G79" s="116"/>
      <c r="H79" s="116"/>
      <c r="I79" s="116"/>
      <c r="J79" s="116"/>
      <c r="K79" s="116"/>
      <c r="L79" s="116"/>
      <c r="M79" s="116"/>
      <c r="N79" s="116"/>
      <c r="O79" s="116"/>
      <c r="P79" s="116"/>
      <c r="Q79" s="117"/>
      <c r="R79" s="116"/>
      <c r="S79" s="116"/>
      <c r="T79" s="116"/>
      <c r="U79" s="116"/>
      <c r="V79" s="118"/>
      <c r="W79" s="116"/>
      <c r="X79" s="116"/>
      <c r="Y79" s="116"/>
      <c r="Z79" s="116"/>
      <c r="AA79" s="116"/>
      <c r="AB79" s="116"/>
      <c r="AC79" s="116"/>
      <c r="AD79" s="116"/>
      <c r="AE79" s="116"/>
      <c r="AF79" s="116"/>
      <c r="AG79" s="220"/>
      <c r="AH79" s="221"/>
      <c r="AI79" s="222"/>
      <c r="AJ79" s="223"/>
      <c r="AK79" s="224"/>
      <c r="AL79" s="221"/>
      <c r="AM79" s="223"/>
      <c r="AN79" s="224"/>
      <c r="AO79" s="225"/>
      <c r="AP79" s="226"/>
      <c r="AQ79" s="227"/>
      <c r="AR79" s="224"/>
      <c r="AS79" s="225"/>
      <c r="AT79" s="228"/>
      <c r="AU79" s="227"/>
    </row>
    <row r="80" spans="1:47" x14ac:dyDescent="0.3">
      <c r="A80" s="215"/>
      <c r="B80" s="126"/>
      <c r="C80" s="115"/>
      <c r="D80" s="116"/>
      <c r="E80" s="116"/>
      <c r="F80" s="116"/>
      <c r="G80" s="116"/>
      <c r="H80" s="116"/>
      <c r="I80" s="116"/>
      <c r="J80" s="116"/>
      <c r="K80" s="116"/>
      <c r="L80" s="116"/>
      <c r="M80" s="116"/>
      <c r="N80" s="116"/>
      <c r="O80" s="116"/>
      <c r="P80" s="116"/>
      <c r="Q80" s="117"/>
      <c r="R80" s="116"/>
      <c r="S80" s="116"/>
      <c r="T80" s="116"/>
      <c r="U80" s="116"/>
      <c r="V80" s="118"/>
      <c r="W80" s="116"/>
      <c r="X80" s="116"/>
      <c r="Y80" s="116"/>
      <c r="Z80" s="116"/>
      <c r="AA80" s="116"/>
      <c r="AB80" s="116"/>
      <c r="AC80" s="116"/>
      <c r="AD80" s="116"/>
      <c r="AE80" s="116"/>
      <c r="AF80" s="116"/>
      <c r="AG80" s="220"/>
      <c r="AH80" s="221"/>
      <c r="AI80" s="222"/>
      <c r="AJ80" s="223"/>
      <c r="AK80" s="224"/>
      <c r="AL80" s="221"/>
      <c r="AM80" s="223"/>
      <c r="AN80" s="224"/>
      <c r="AO80" s="225"/>
      <c r="AP80" s="226"/>
      <c r="AQ80" s="227"/>
      <c r="AR80" s="224"/>
      <c r="AS80" s="225"/>
      <c r="AT80" s="228"/>
      <c r="AU80" s="227"/>
    </row>
    <row r="81" spans="1:47" x14ac:dyDescent="0.3">
      <c r="A81" s="215"/>
      <c r="B81" s="126"/>
      <c r="C81" s="115"/>
      <c r="D81" s="116"/>
      <c r="E81" s="116"/>
      <c r="F81" s="116"/>
      <c r="G81" s="116"/>
      <c r="H81" s="116"/>
      <c r="I81" s="116"/>
      <c r="J81" s="116"/>
      <c r="K81" s="116"/>
      <c r="L81" s="116"/>
      <c r="M81" s="116"/>
      <c r="N81" s="116"/>
      <c r="O81" s="116"/>
      <c r="P81" s="116"/>
      <c r="Q81" s="117"/>
      <c r="R81" s="116"/>
      <c r="S81" s="116"/>
      <c r="T81" s="116"/>
      <c r="U81" s="116"/>
      <c r="V81" s="118"/>
      <c r="W81" s="116"/>
      <c r="X81" s="116"/>
      <c r="Y81" s="116"/>
      <c r="Z81" s="116"/>
      <c r="AA81" s="116"/>
      <c r="AB81" s="116"/>
      <c r="AC81" s="116"/>
      <c r="AD81" s="116"/>
      <c r="AE81" s="116"/>
      <c r="AF81" s="116"/>
      <c r="AG81" s="220"/>
      <c r="AH81" s="221"/>
      <c r="AI81" s="222"/>
      <c r="AJ81" s="223"/>
      <c r="AK81" s="224"/>
      <c r="AL81" s="221"/>
      <c r="AM81" s="223"/>
      <c r="AN81" s="224"/>
      <c r="AO81" s="225"/>
      <c r="AP81" s="226"/>
      <c r="AQ81" s="227"/>
      <c r="AR81" s="224"/>
      <c r="AS81" s="225"/>
      <c r="AT81" s="228"/>
      <c r="AU81" s="227"/>
    </row>
    <row r="82" spans="1:47" x14ac:dyDescent="0.3">
      <c r="A82" s="215"/>
      <c r="B82" s="126"/>
      <c r="C82" s="115"/>
      <c r="D82" s="116"/>
      <c r="E82" s="116"/>
      <c r="F82" s="116"/>
      <c r="G82" s="116"/>
      <c r="H82" s="116"/>
      <c r="I82" s="116"/>
      <c r="J82" s="116"/>
      <c r="K82" s="116"/>
      <c r="L82" s="116"/>
      <c r="M82" s="116"/>
      <c r="N82" s="116"/>
      <c r="O82" s="116"/>
      <c r="P82" s="116"/>
      <c r="Q82" s="117"/>
      <c r="R82" s="116"/>
      <c r="S82" s="116"/>
      <c r="T82" s="116"/>
      <c r="U82" s="116"/>
      <c r="V82" s="118"/>
      <c r="W82" s="116"/>
      <c r="X82" s="116"/>
      <c r="Y82" s="116"/>
      <c r="Z82" s="116"/>
      <c r="AA82" s="116"/>
      <c r="AB82" s="116"/>
      <c r="AC82" s="116"/>
      <c r="AD82" s="116"/>
      <c r="AE82" s="116"/>
      <c r="AF82" s="116"/>
      <c r="AG82" s="220"/>
      <c r="AH82" s="221"/>
      <c r="AI82" s="222"/>
      <c r="AJ82" s="223"/>
      <c r="AK82" s="224"/>
      <c r="AL82" s="221"/>
      <c r="AM82" s="223"/>
      <c r="AN82" s="224"/>
      <c r="AO82" s="225"/>
      <c r="AP82" s="226"/>
      <c r="AQ82" s="227"/>
      <c r="AR82" s="224"/>
      <c r="AS82" s="225"/>
      <c r="AT82" s="228"/>
      <c r="AU82" s="227"/>
    </row>
    <row r="83" spans="1:47" x14ac:dyDescent="0.3">
      <c r="A83" s="215"/>
      <c r="B83" s="126"/>
      <c r="C83" s="115"/>
      <c r="D83" s="116"/>
      <c r="E83" s="116"/>
      <c r="F83" s="116"/>
      <c r="G83" s="116"/>
      <c r="H83" s="116"/>
      <c r="I83" s="116"/>
      <c r="J83" s="116"/>
      <c r="K83" s="116"/>
      <c r="L83" s="116"/>
      <c r="M83" s="116"/>
      <c r="N83" s="116"/>
      <c r="O83" s="116"/>
      <c r="P83" s="116"/>
      <c r="Q83" s="117"/>
      <c r="R83" s="116"/>
      <c r="S83" s="116"/>
      <c r="T83" s="116"/>
      <c r="U83" s="116"/>
      <c r="V83" s="118"/>
      <c r="W83" s="116"/>
      <c r="X83" s="116"/>
      <c r="Y83" s="116"/>
      <c r="Z83" s="116"/>
      <c r="AA83" s="116"/>
      <c r="AB83" s="116"/>
      <c r="AC83" s="116"/>
      <c r="AD83" s="116"/>
      <c r="AE83" s="116"/>
      <c r="AF83" s="116"/>
      <c r="AG83" s="220"/>
      <c r="AH83" s="221"/>
      <c r="AI83" s="222"/>
      <c r="AJ83" s="223"/>
      <c r="AK83" s="224"/>
      <c r="AL83" s="221"/>
      <c r="AM83" s="223"/>
      <c r="AN83" s="224"/>
      <c r="AO83" s="225"/>
      <c r="AP83" s="226"/>
      <c r="AQ83" s="227"/>
      <c r="AR83" s="224"/>
      <c r="AS83" s="225"/>
      <c r="AT83" s="228"/>
      <c r="AU83" s="227"/>
    </row>
    <row r="84" spans="1:47" x14ac:dyDescent="0.3">
      <c r="A84" s="215"/>
      <c r="B84" s="126"/>
      <c r="C84" s="115"/>
      <c r="D84" s="116"/>
      <c r="E84" s="116"/>
      <c r="F84" s="116"/>
      <c r="G84" s="116"/>
      <c r="H84" s="116"/>
      <c r="I84" s="116"/>
      <c r="J84" s="116"/>
      <c r="K84" s="116"/>
      <c r="L84" s="116"/>
      <c r="M84" s="116"/>
      <c r="N84" s="116"/>
      <c r="O84" s="116"/>
      <c r="P84" s="116"/>
      <c r="Q84" s="117"/>
      <c r="R84" s="116"/>
      <c r="S84" s="116"/>
      <c r="T84" s="116"/>
      <c r="U84" s="116"/>
      <c r="V84" s="118"/>
      <c r="W84" s="116"/>
      <c r="X84" s="116"/>
      <c r="Y84" s="116"/>
      <c r="Z84" s="116"/>
      <c r="AA84" s="116"/>
      <c r="AB84" s="116"/>
      <c r="AC84" s="116"/>
      <c r="AD84" s="116"/>
      <c r="AE84" s="116"/>
      <c r="AF84" s="116"/>
      <c r="AG84" s="220"/>
      <c r="AH84" s="221"/>
      <c r="AI84" s="222"/>
      <c r="AJ84" s="223"/>
      <c r="AK84" s="224"/>
      <c r="AL84" s="221"/>
      <c r="AM84" s="223"/>
      <c r="AN84" s="224"/>
      <c r="AO84" s="225"/>
      <c r="AP84" s="226"/>
      <c r="AQ84" s="227"/>
      <c r="AR84" s="224"/>
      <c r="AS84" s="225"/>
      <c r="AT84" s="228"/>
      <c r="AU84" s="227"/>
    </row>
    <row r="85" spans="1:47" x14ac:dyDescent="0.3">
      <c r="A85" s="215"/>
      <c r="B85" s="126"/>
      <c r="C85" s="115"/>
      <c r="D85" s="116"/>
      <c r="E85" s="116"/>
      <c r="F85" s="116"/>
      <c r="G85" s="116"/>
      <c r="H85" s="116"/>
      <c r="I85" s="116"/>
      <c r="J85" s="116"/>
      <c r="K85" s="116"/>
      <c r="L85" s="116"/>
      <c r="M85" s="116"/>
      <c r="N85" s="116"/>
      <c r="O85" s="116"/>
      <c r="P85" s="116"/>
      <c r="Q85" s="117"/>
      <c r="R85" s="116"/>
      <c r="S85" s="116"/>
      <c r="T85" s="116"/>
      <c r="U85" s="116"/>
      <c r="V85" s="118"/>
      <c r="W85" s="116"/>
      <c r="X85" s="116"/>
      <c r="Y85" s="116"/>
      <c r="Z85" s="116"/>
      <c r="AA85" s="116"/>
      <c r="AB85" s="116"/>
      <c r="AC85" s="116"/>
      <c r="AD85" s="116"/>
      <c r="AE85" s="116"/>
      <c r="AF85" s="116"/>
      <c r="AG85" s="220"/>
      <c r="AH85" s="221"/>
      <c r="AI85" s="222"/>
      <c r="AJ85" s="223"/>
      <c r="AK85" s="224"/>
      <c r="AL85" s="221"/>
      <c r="AM85" s="223"/>
      <c r="AN85" s="224"/>
      <c r="AO85" s="225"/>
      <c r="AP85" s="226"/>
      <c r="AQ85" s="227"/>
      <c r="AR85" s="224"/>
      <c r="AS85" s="225"/>
      <c r="AT85" s="228"/>
      <c r="AU85" s="227"/>
    </row>
    <row r="86" spans="1:47" x14ac:dyDescent="0.3">
      <c r="A86" s="215"/>
      <c r="B86" s="126"/>
      <c r="C86" s="115"/>
      <c r="D86" s="116"/>
      <c r="E86" s="116"/>
      <c r="F86" s="116"/>
      <c r="G86" s="116"/>
      <c r="H86" s="116"/>
      <c r="I86" s="116"/>
      <c r="J86" s="116"/>
      <c r="K86" s="116"/>
      <c r="L86" s="116"/>
      <c r="M86" s="116"/>
      <c r="N86" s="116"/>
      <c r="O86" s="116"/>
      <c r="P86" s="116"/>
      <c r="Q86" s="117"/>
      <c r="R86" s="116"/>
      <c r="S86" s="116"/>
      <c r="T86" s="116"/>
      <c r="U86" s="116"/>
      <c r="V86" s="118"/>
      <c r="W86" s="116"/>
      <c r="X86" s="116"/>
      <c r="Y86" s="116"/>
      <c r="Z86" s="116"/>
      <c r="AA86" s="116"/>
      <c r="AB86" s="116"/>
      <c r="AC86" s="116"/>
      <c r="AD86" s="116"/>
      <c r="AE86" s="116"/>
      <c r="AF86" s="116"/>
      <c r="AG86" s="220"/>
      <c r="AH86" s="221"/>
      <c r="AI86" s="222"/>
      <c r="AJ86" s="223"/>
      <c r="AK86" s="224"/>
      <c r="AL86" s="221"/>
      <c r="AM86" s="223"/>
      <c r="AN86" s="224"/>
      <c r="AO86" s="225"/>
      <c r="AP86" s="226"/>
      <c r="AQ86" s="227"/>
      <c r="AR86" s="224"/>
      <c r="AS86" s="225"/>
      <c r="AT86" s="228"/>
      <c r="AU86" s="227"/>
    </row>
    <row r="87" spans="1:47" x14ac:dyDescent="0.3">
      <c r="A87" s="215"/>
      <c r="B87" s="126"/>
      <c r="C87" s="115"/>
      <c r="D87" s="116"/>
      <c r="E87" s="116"/>
      <c r="F87" s="116"/>
      <c r="G87" s="116"/>
      <c r="H87" s="116"/>
      <c r="I87" s="116"/>
      <c r="J87" s="116"/>
      <c r="K87" s="116"/>
      <c r="L87" s="116"/>
      <c r="M87" s="116"/>
      <c r="N87" s="116"/>
      <c r="O87" s="116"/>
      <c r="P87" s="116"/>
      <c r="Q87" s="117"/>
      <c r="R87" s="116"/>
      <c r="S87" s="116"/>
      <c r="T87" s="116"/>
      <c r="U87" s="116"/>
      <c r="V87" s="118"/>
      <c r="W87" s="116"/>
      <c r="X87" s="116"/>
      <c r="Y87" s="116"/>
      <c r="Z87" s="116"/>
      <c r="AA87" s="116"/>
      <c r="AB87" s="116"/>
      <c r="AC87" s="116"/>
      <c r="AD87" s="116"/>
      <c r="AE87" s="116"/>
      <c r="AF87" s="116"/>
      <c r="AG87" s="220"/>
      <c r="AH87" s="221"/>
      <c r="AI87" s="222"/>
      <c r="AJ87" s="223"/>
      <c r="AK87" s="224"/>
      <c r="AL87" s="221"/>
      <c r="AM87" s="223"/>
      <c r="AN87" s="224"/>
      <c r="AO87" s="225"/>
      <c r="AP87" s="226"/>
      <c r="AQ87" s="227"/>
      <c r="AR87" s="224"/>
      <c r="AS87" s="225"/>
      <c r="AT87" s="228"/>
      <c r="AU87" s="227"/>
    </row>
    <row r="88" spans="1:47" x14ac:dyDescent="0.3">
      <c r="A88" s="215"/>
      <c r="B88" s="126"/>
      <c r="C88" s="115"/>
      <c r="D88" s="116"/>
      <c r="E88" s="116"/>
      <c r="F88" s="116"/>
      <c r="G88" s="116"/>
      <c r="H88" s="116"/>
      <c r="I88" s="116"/>
      <c r="J88" s="116"/>
      <c r="K88" s="116"/>
      <c r="L88" s="116"/>
      <c r="M88" s="116"/>
      <c r="N88" s="116"/>
      <c r="O88" s="116"/>
      <c r="P88" s="116"/>
      <c r="Q88" s="117"/>
      <c r="R88" s="116"/>
      <c r="S88" s="116"/>
      <c r="T88" s="116"/>
      <c r="U88" s="116"/>
      <c r="V88" s="118"/>
      <c r="W88" s="116"/>
      <c r="X88" s="116"/>
      <c r="Y88" s="116"/>
      <c r="Z88" s="116"/>
      <c r="AA88" s="116"/>
      <c r="AB88" s="116"/>
      <c r="AC88" s="116"/>
      <c r="AD88" s="116"/>
      <c r="AE88" s="116"/>
      <c r="AF88" s="116"/>
      <c r="AG88" s="220"/>
      <c r="AH88" s="221"/>
      <c r="AI88" s="222"/>
      <c r="AJ88" s="223"/>
      <c r="AK88" s="224"/>
      <c r="AL88" s="221"/>
      <c r="AM88" s="223"/>
      <c r="AN88" s="224"/>
      <c r="AO88" s="225"/>
      <c r="AP88" s="226"/>
      <c r="AQ88" s="227"/>
      <c r="AR88" s="224"/>
      <c r="AS88" s="225"/>
      <c r="AT88" s="228"/>
      <c r="AU88" s="227"/>
    </row>
    <row r="89" spans="1:47" x14ac:dyDescent="0.3">
      <c r="A89" s="215"/>
      <c r="B89" s="126"/>
      <c r="C89" s="115"/>
      <c r="D89" s="116"/>
      <c r="E89" s="116"/>
      <c r="F89" s="116"/>
      <c r="G89" s="116"/>
      <c r="H89" s="116"/>
      <c r="I89" s="116"/>
      <c r="J89" s="116"/>
      <c r="K89" s="116"/>
      <c r="L89" s="116"/>
      <c r="M89" s="116"/>
      <c r="N89" s="116"/>
      <c r="O89" s="116"/>
      <c r="P89" s="116"/>
      <c r="Q89" s="117"/>
      <c r="R89" s="116"/>
      <c r="S89" s="116"/>
      <c r="T89" s="116"/>
      <c r="U89" s="116"/>
      <c r="V89" s="118"/>
      <c r="W89" s="116"/>
      <c r="X89" s="116"/>
      <c r="Y89" s="116"/>
      <c r="Z89" s="116"/>
      <c r="AA89" s="116"/>
      <c r="AB89" s="116"/>
      <c r="AC89" s="116"/>
      <c r="AD89" s="116"/>
      <c r="AE89" s="116"/>
      <c r="AF89" s="116"/>
      <c r="AG89" s="220"/>
      <c r="AH89" s="221"/>
      <c r="AI89" s="222"/>
      <c r="AJ89" s="223"/>
      <c r="AK89" s="224"/>
      <c r="AL89" s="221"/>
      <c r="AM89" s="223"/>
      <c r="AN89" s="224"/>
      <c r="AO89" s="225"/>
      <c r="AP89" s="226"/>
      <c r="AQ89" s="227"/>
      <c r="AR89" s="224"/>
      <c r="AS89" s="225"/>
      <c r="AT89" s="228"/>
      <c r="AU89" s="227"/>
    </row>
    <row r="90" spans="1:47" x14ac:dyDescent="0.3">
      <c r="A90" s="215"/>
      <c r="B90" s="126"/>
      <c r="C90" s="115"/>
      <c r="D90" s="116"/>
      <c r="E90" s="116"/>
      <c r="F90" s="116"/>
      <c r="G90" s="116"/>
      <c r="H90" s="116"/>
      <c r="I90" s="116"/>
      <c r="J90" s="116"/>
      <c r="K90" s="116"/>
      <c r="L90" s="116"/>
      <c r="M90" s="116"/>
      <c r="N90" s="116"/>
      <c r="O90" s="116"/>
      <c r="P90" s="116"/>
      <c r="Q90" s="117"/>
      <c r="R90" s="116"/>
      <c r="S90" s="116"/>
      <c r="T90" s="116"/>
      <c r="U90" s="116"/>
      <c r="V90" s="118"/>
      <c r="W90" s="116"/>
      <c r="X90" s="116"/>
      <c r="Y90" s="116"/>
      <c r="Z90" s="116"/>
      <c r="AA90" s="116"/>
      <c r="AB90" s="116"/>
      <c r="AC90" s="116"/>
      <c r="AD90" s="116"/>
      <c r="AE90" s="116"/>
      <c r="AF90" s="116"/>
      <c r="AG90" s="220"/>
      <c r="AH90" s="221"/>
      <c r="AI90" s="222"/>
      <c r="AJ90" s="223"/>
      <c r="AK90" s="224"/>
      <c r="AL90" s="221"/>
      <c r="AM90" s="223"/>
      <c r="AN90" s="224"/>
      <c r="AO90" s="225"/>
      <c r="AP90" s="226"/>
      <c r="AQ90" s="227"/>
      <c r="AR90" s="224"/>
      <c r="AS90" s="225"/>
      <c r="AT90" s="228"/>
      <c r="AU90" s="227"/>
    </row>
    <row r="91" spans="1:47" x14ac:dyDescent="0.3">
      <c r="A91" s="215"/>
      <c r="B91" s="126"/>
      <c r="C91" s="115"/>
      <c r="D91" s="116"/>
      <c r="E91" s="116"/>
      <c r="F91" s="116"/>
      <c r="G91" s="116"/>
      <c r="H91" s="116"/>
      <c r="I91" s="116"/>
      <c r="J91" s="116"/>
      <c r="K91" s="116"/>
      <c r="L91" s="116"/>
      <c r="M91" s="116"/>
      <c r="N91" s="116"/>
      <c r="O91" s="116"/>
      <c r="P91" s="116"/>
      <c r="Q91" s="117"/>
      <c r="R91" s="116"/>
      <c r="S91" s="116"/>
      <c r="T91" s="116"/>
      <c r="U91" s="116"/>
      <c r="V91" s="118"/>
      <c r="W91" s="116"/>
      <c r="X91" s="116"/>
      <c r="Y91" s="116"/>
      <c r="Z91" s="116"/>
      <c r="AA91" s="116"/>
      <c r="AB91" s="116"/>
      <c r="AC91" s="116"/>
      <c r="AD91" s="116"/>
      <c r="AE91" s="116"/>
      <c r="AF91" s="116"/>
      <c r="AG91" s="220"/>
      <c r="AH91" s="221"/>
      <c r="AI91" s="222"/>
      <c r="AJ91" s="223"/>
      <c r="AK91" s="224"/>
      <c r="AL91" s="221"/>
      <c r="AM91" s="223"/>
      <c r="AN91" s="224"/>
      <c r="AO91" s="225"/>
      <c r="AP91" s="226"/>
      <c r="AQ91" s="227"/>
      <c r="AR91" s="224"/>
      <c r="AS91" s="225"/>
      <c r="AT91" s="228"/>
      <c r="AU91" s="227"/>
    </row>
    <row r="92" spans="1:47" x14ac:dyDescent="0.3">
      <c r="A92" s="215"/>
      <c r="B92" s="126"/>
      <c r="C92" s="115"/>
      <c r="D92" s="116"/>
      <c r="E92" s="116"/>
      <c r="F92" s="116"/>
      <c r="G92" s="116"/>
      <c r="H92" s="116"/>
      <c r="I92" s="116"/>
      <c r="J92" s="116"/>
      <c r="K92" s="116"/>
      <c r="L92" s="116"/>
      <c r="M92" s="116"/>
      <c r="N92" s="116"/>
      <c r="O92" s="116"/>
      <c r="P92" s="116"/>
      <c r="Q92" s="117"/>
      <c r="R92" s="116"/>
      <c r="S92" s="116"/>
      <c r="T92" s="116"/>
      <c r="U92" s="116"/>
      <c r="V92" s="118"/>
      <c r="W92" s="116"/>
      <c r="X92" s="116"/>
      <c r="Y92" s="116"/>
      <c r="Z92" s="116"/>
      <c r="AA92" s="116"/>
      <c r="AB92" s="116"/>
      <c r="AC92" s="116"/>
      <c r="AD92" s="116"/>
      <c r="AE92" s="116"/>
      <c r="AF92" s="116"/>
      <c r="AG92" s="220"/>
      <c r="AH92" s="221"/>
      <c r="AI92" s="222"/>
      <c r="AJ92" s="223"/>
      <c r="AK92" s="224"/>
      <c r="AL92" s="221"/>
      <c r="AM92" s="223"/>
      <c r="AN92" s="224"/>
      <c r="AO92" s="225"/>
      <c r="AP92" s="226"/>
      <c r="AQ92" s="227"/>
      <c r="AR92" s="224"/>
      <c r="AS92" s="225"/>
      <c r="AT92" s="228"/>
      <c r="AU92" s="227"/>
    </row>
    <row r="93" spans="1:47" x14ac:dyDescent="0.3">
      <c r="A93" s="215"/>
      <c r="B93" s="126"/>
      <c r="C93" s="115"/>
      <c r="D93" s="116"/>
      <c r="E93" s="116"/>
      <c r="F93" s="116"/>
      <c r="G93" s="116"/>
      <c r="H93" s="116"/>
      <c r="I93" s="116"/>
      <c r="J93" s="116"/>
      <c r="K93" s="116"/>
      <c r="L93" s="116"/>
      <c r="M93" s="116"/>
      <c r="N93" s="116"/>
      <c r="O93" s="116"/>
      <c r="P93" s="116"/>
      <c r="Q93" s="117"/>
      <c r="R93" s="116"/>
      <c r="S93" s="116"/>
      <c r="T93" s="116"/>
      <c r="U93" s="116"/>
      <c r="V93" s="118"/>
      <c r="W93" s="116"/>
      <c r="X93" s="116"/>
      <c r="Y93" s="116"/>
      <c r="Z93" s="116"/>
      <c r="AA93" s="116"/>
      <c r="AB93" s="116"/>
      <c r="AC93" s="116"/>
      <c r="AD93" s="116"/>
      <c r="AE93" s="116"/>
      <c r="AF93" s="116"/>
      <c r="AG93" s="220"/>
      <c r="AH93" s="221"/>
      <c r="AI93" s="222"/>
      <c r="AJ93" s="223"/>
      <c r="AK93" s="224"/>
      <c r="AL93" s="221"/>
      <c r="AM93" s="223"/>
      <c r="AN93" s="224"/>
      <c r="AO93" s="225"/>
      <c r="AP93" s="226"/>
      <c r="AQ93" s="227"/>
      <c r="AR93" s="224"/>
      <c r="AS93" s="225"/>
      <c r="AT93" s="228"/>
      <c r="AU93" s="227"/>
    </row>
    <row r="94" spans="1:47" x14ac:dyDescent="0.3">
      <c r="A94" s="215"/>
      <c r="B94" s="126"/>
      <c r="C94" s="115"/>
      <c r="D94" s="116"/>
      <c r="E94" s="116"/>
      <c r="F94" s="116"/>
      <c r="G94" s="116"/>
      <c r="H94" s="116"/>
      <c r="I94" s="116"/>
      <c r="J94" s="116"/>
      <c r="K94" s="116"/>
      <c r="L94" s="116"/>
      <c r="M94" s="116"/>
      <c r="N94" s="116"/>
      <c r="O94" s="116"/>
      <c r="P94" s="116"/>
      <c r="Q94" s="117"/>
      <c r="R94" s="116"/>
      <c r="S94" s="116"/>
      <c r="T94" s="116"/>
      <c r="U94" s="116"/>
      <c r="V94" s="118"/>
      <c r="W94" s="116"/>
      <c r="X94" s="116"/>
      <c r="Y94" s="116"/>
      <c r="Z94" s="116"/>
      <c r="AA94" s="116"/>
      <c r="AB94" s="116"/>
      <c r="AC94" s="116"/>
      <c r="AD94" s="116"/>
      <c r="AE94" s="116"/>
      <c r="AF94" s="116"/>
      <c r="AG94" s="220"/>
      <c r="AH94" s="221"/>
      <c r="AI94" s="222"/>
      <c r="AJ94" s="223"/>
      <c r="AK94" s="224"/>
      <c r="AL94" s="221"/>
      <c r="AM94" s="223"/>
      <c r="AN94" s="224"/>
      <c r="AO94" s="225"/>
      <c r="AP94" s="226"/>
      <c r="AQ94" s="227"/>
      <c r="AR94" s="224"/>
      <c r="AS94" s="225"/>
      <c r="AT94" s="228"/>
      <c r="AU94" s="227"/>
    </row>
    <row r="95" spans="1:47" x14ac:dyDescent="0.3">
      <c r="A95" s="215"/>
      <c r="B95" s="126"/>
      <c r="C95" s="115"/>
      <c r="D95" s="116"/>
      <c r="E95" s="116"/>
      <c r="F95" s="116"/>
      <c r="G95" s="116"/>
      <c r="H95" s="116"/>
      <c r="I95" s="116"/>
      <c r="J95" s="116"/>
      <c r="K95" s="116"/>
      <c r="L95" s="116"/>
      <c r="M95" s="116"/>
      <c r="N95" s="116"/>
      <c r="O95" s="116"/>
      <c r="P95" s="116"/>
      <c r="Q95" s="117"/>
      <c r="R95" s="116"/>
      <c r="S95" s="116"/>
      <c r="T95" s="116"/>
      <c r="U95" s="116"/>
      <c r="V95" s="118"/>
      <c r="W95" s="116"/>
      <c r="X95" s="116"/>
      <c r="Y95" s="116"/>
      <c r="Z95" s="116"/>
      <c r="AA95" s="116"/>
      <c r="AB95" s="116"/>
      <c r="AC95" s="116"/>
      <c r="AD95" s="116"/>
      <c r="AE95" s="116"/>
      <c r="AF95" s="116"/>
      <c r="AG95" s="220"/>
      <c r="AH95" s="221"/>
      <c r="AI95" s="222"/>
      <c r="AJ95" s="223"/>
      <c r="AK95" s="224"/>
      <c r="AL95" s="221"/>
      <c r="AM95" s="223"/>
      <c r="AN95" s="224"/>
      <c r="AO95" s="225"/>
      <c r="AP95" s="226"/>
      <c r="AQ95" s="227"/>
      <c r="AR95" s="224"/>
      <c r="AS95" s="225"/>
      <c r="AT95" s="228"/>
      <c r="AU95" s="227"/>
    </row>
    <row r="96" spans="1:47" x14ac:dyDescent="0.3">
      <c r="A96" s="215"/>
      <c r="B96" s="126"/>
      <c r="C96" s="115"/>
      <c r="D96" s="116"/>
      <c r="E96" s="116"/>
      <c r="F96" s="116"/>
      <c r="G96" s="116"/>
      <c r="H96" s="116"/>
      <c r="I96" s="116"/>
      <c r="J96" s="116"/>
      <c r="K96" s="116"/>
      <c r="L96" s="116"/>
      <c r="M96" s="116"/>
      <c r="N96" s="116"/>
      <c r="O96" s="116"/>
      <c r="P96" s="116"/>
      <c r="Q96" s="117"/>
      <c r="R96" s="116"/>
      <c r="S96" s="116"/>
      <c r="T96" s="116"/>
      <c r="U96" s="116"/>
      <c r="V96" s="118"/>
      <c r="W96" s="116"/>
      <c r="X96" s="116"/>
      <c r="Y96" s="116"/>
      <c r="Z96" s="116"/>
      <c r="AA96" s="116"/>
      <c r="AB96" s="116"/>
      <c r="AC96" s="116"/>
      <c r="AD96" s="116"/>
      <c r="AE96" s="116"/>
      <c r="AF96" s="116"/>
      <c r="AG96" s="220"/>
      <c r="AH96" s="221"/>
      <c r="AI96" s="222"/>
      <c r="AJ96" s="223"/>
      <c r="AK96" s="224"/>
      <c r="AL96" s="221"/>
      <c r="AM96" s="223"/>
      <c r="AN96" s="224"/>
      <c r="AO96" s="225"/>
      <c r="AP96" s="226"/>
      <c r="AQ96" s="227"/>
      <c r="AR96" s="224"/>
      <c r="AS96" s="225"/>
      <c r="AT96" s="228"/>
      <c r="AU96" s="227"/>
    </row>
    <row r="97" spans="1:47" x14ac:dyDescent="0.3">
      <c r="A97" s="215"/>
      <c r="B97" s="126"/>
      <c r="C97" s="115"/>
      <c r="D97" s="116"/>
      <c r="E97" s="116"/>
      <c r="F97" s="116"/>
      <c r="G97" s="116"/>
      <c r="H97" s="116"/>
      <c r="I97" s="116"/>
      <c r="J97" s="116"/>
      <c r="K97" s="116"/>
      <c r="L97" s="116"/>
      <c r="M97" s="116"/>
      <c r="N97" s="116"/>
      <c r="O97" s="116"/>
      <c r="P97" s="116"/>
      <c r="Q97" s="117"/>
      <c r="R97" s="116"/>
      <c r="S97" s="116"/>
      <c r="T97" s="116"/>
      <c r="U97" s="116"/>
      <c r="V97" s="118"/>
      <c r="W97" s="116"/>
      <c r="X97" s="116"/>
      <c r="Y97" s="116"/>
      <c r="Z97" s="116"/>
      <c r="AA97" s="116"/>
      <c r="AB97" s="116"/>
      <c r="AC97" s="116"/>
      <c r="AD97" s="116"/>
      <c r="AE97" s="116"/>
      <c r="AF97" s="116"/>
      <c r="AG97" s="220"/>
      <c r="AH97" s="221"/>
      <c r="AI97" s="222"/>
      <c r="AJ97" s="223"/>
      <c r="AK97" s="224"/>
      <c r="AL97" s="221"/>
      <c r="AM97" s="223"/>
      <c r="AN97" s="224"/>
      <c r="AO97" s="225"/>
      <c r="AP97" s="226"/>
      <c r="AQ97" s="227"/>
      <c r="AR97" s="224"/>
      <c r="AS97" s="225"/>
      <c r="AT97" s="228"/>
      <c r="AU97" s="227"/>
    </row>
    <row r="98" spans="1:47" x14ac:dyDescent="0.3">
      <c r="A98" s="215"/>
      <c r="B98" s="126"/>
      <c r="C98" s="115"/>
      <c r="D98" s="116"/>
      <c r="E98" s="116"/>
      <c r="F98" s="116"/>
      <c r="G98" s="116"/>
      <c r="H98" s="116"/>
      <c r="I98" s="116"/>
      <c r="J98" s="116"/>
      <c r="K98" s="116"/>
      <c r="L98" s="116"/>
      <c r="M98" s="116"/>
      <c r="N98" s="116"/>
      <c r="O98" s="116"/>
      <c r="P98" s="116"/>
      <c r="Q98" s="117"/>
      <c r="R98" s="116"/>
      <c r="S98" s="116"/>
      <c r="T98" s="116"/>
      <c r="U98" s="116"/>
      <c r="V98" s="118"/>
      <c r="W98" s="116"/>
      <c r="X98" s="116"/>
      <c r="Y98" s="116"/>
      <c r="Z98" s="116"/>
      <c r="AA98" s="116"/>
      <c r="AB98" s="116"/>
      <c r="AC98" s="116"/>
      <c r="AD98" s="116"/>
      <c r="AE98" s="116"/>
      <c r="AF98" s="116"/>
      <c r="AG98" s="220"/>
      <c r="AH98" s="221"/>
      <c r="AI98" s="222"/>
      <c r="AJ98" s="223"/>
      <c r="AK98" s="224"/>
      <c r="AL98" s="221"/>
      <c r="AM98" s="223"/>
      <c r="AN98" s="224"/>
      <c r="AO98" s="225"/>
      <c r="AP98" s="226"/>
      <c r="AQ98" s="227"/>
      <c r="AR98" s="224"/>
      <c r="AS98" s="225"/>
      <c r="AT98" s="228"/>
      <c r="AU98" s="227"/>
    </row>
    <row r="99" spans="1:47" x14ac:dyDescent="0.3">
      <c r="A99" s="215"/>
      <c r="B99" s="126"/>
      <c r="C99" s="115"/>
      <c r="D99" s="116"/>
      <c r="E99" s="116"/>
      <c r="F99" s="116"/>
      <c r="G99" s="116"/>
      <c r="H99" s="116"/>
      <c r="I99" s="116"/>
      <c r="J99" s="116"/>
      <c r="K99" s="116"/>
      <c r="L99" s="116"/>
      <c r="M99" s="116"/>
      <c r="N99" s="116"/>
      <c r="O99" s="116"/>
      <c r="P99" s="116"/>
      <c r="Q99" s="117"/>
      <c r="R99" s="116"/>
      <c r="S99" s="116"/>
      <c r="T99" s="116"/>
      <c r="U99" s="116"/>
      <c r="V99" s="118"/>
      <c r="W99" s="116"/>
      <c r="X99" s="116"/>
      <c r="Y99" s="116"/>
      <c r="Z99" s="116"/>
      <c r="AA99" s="116"/>
      <c r="AB99" s="116"/>
      <c r="AC99" s="116"/>
      <c r="AD99" s="116"/>
      <c r="AE99" s="116"/>
      <c r="AF99" s="116"/>
      <c r="AG99" s="220"/>
      <c r="AH99" s="221"/>
      <c r="AI99" s="222"/>
      <c r="AJ99" s="223"/>
      <c r="AK99" s="224"/>
      <c r="AL99" s="221"/>
      <c r="AM99" s="223"/>
      <c r="AN99" s="224"/>
      <c r="AO99" s="225"/>
      <c r="AP99" s="226"/>
      <c r="AQ99" s="227"/>
      <c r="AR99" s="224"/>
      <c r="AS99" s="225"/>
      <c r="AT99" s="228"/>
      <c r="AU99" s="227"/>
    </row>
    <row r="100" spans="1:47" x14ac:dyDescent="0.3">
      <c r="A100" s="215"/>
      <c r="B100" s="126"/>
      <c r="C100" s="115"/>
      <c r="D100" s="116"/>
      <c r="E100" s="116"/>
      <c r="F100" s="116"/>
      <c r="G100" s="116"/>
      <c r="H100" s="116"/>
      <c r="I100" s="116"/>
      <c r="J100" s="116"/>
      <c r="K100" s="116"/>
      <c r="L100" s="116"/>
      <c r="M100" s="116"/>
      <c r="N100" s="116"/>
      <c r="O100" s="116"/>
      <c r="P100" s="116"/>
      <c r="Q100" s="117"/>
      <c r="R100" s="116"/>
      <c r="S100" s="116"/>
      <c r="T100" s="116"/>
      <c r="U100" s="116"/>
      <c r="V100" s="118"/>
      <c r="W100" s="116"/>
      <c r="X100" s="116"/>
      <c r="Y100" s="116"/>
      <c r="Z100" s="116"/>
      <c r="AA100" s="116"/>
      <c r="AB100" s="116"/>
      <c r="AC100" s="116"/>
      <c r="AD100" s="116"/>
      <c r="AE100" s="116"/>
      <c r="AF100" s="116"/>
      <c r="AG100" s="220"/>
      <c r="AH100" s="221"/>
      <c r="AI100" s="222"/>
      <c r="AJ100" s="223"/>
      <c r="AK100" s="224"/>
      <c r="AL100" s="221"/>
      <c r="AM100" s="223"/>
      <c r="AN100" s="224"/>
      <c r="AO100" s="225"/>
      <c r="AP100" s="226"/>
      <c r="AQ100" s="227"/>
      <c r="AR100" s="224"/>
      <c r="AS100" s="225"/>
      <c r="AT100" s="228"/>
      <c r="AU100" s="227"/>
    </row>
    <row r="101" spans="1:47" x14ac:dyDescent="0.3">
      <c r="A101" s="215"/>
      <c r="B101" s="126"/>
      <c r="C101" s="115"/>
      <c r="D101" s="116"/>
      <c r="E101" s="116"/>
      <c r="F101" s="116"/>
      <c r="G101" s="116"/>
      <c r="H101" s="116"/>
      <c r="I101" s="116"/>
      <c r="J101" s="116"/>
      <c r="K101" s="116"/>
      <c r="L101" s="116"/>
      <c r="M101" s="116"/>
      <c r="N101" s="116"/>
      <c r="O101" s="116"/>
      <c r="P101" s="116"/>
      <c r="Q101" s="117"/>
      <c r="R101" s="116"/>
      <c r="S101" s="116"/>
      <c r="T101" s="116"/>
      <c r="U101" s="116"/>
      <c r="V101" s="118"/>
      <c r="W101" s="116"/>
      <c r="X101" s="116"/>
      <c r="Y101" s="116"/>
      <c r="Z101" s="116"/>
      <c r="AA101" s="116"/>
      <c r="AB101" s="116"/>
      <c r="AC101" s="116"/>
      <c r="AD101" s="116"/>
      <c r="AE101" s="116"/>
      <c r="AF101" s="116"/>
      <c r="AG101" s="220"/>
      <c r="AH101" s="221"/>
      <c r="AI101" s="222"/>
      <c r="AJ101" s="223"/>
      <c r="AK101" s="224"/>
      <c r="AL101" s="221"/>
      <c r="AM101" s="223"/>
      <c r="AN101" s="224"/>
      <c r="AO101" s="225"/>
      <c r="AP101" s="226"/>
      <c r="AQ101" s="227"/>
      <c r="AR101" s="224"/>
      <c r="AS101" s="225"/>
      <c r="AT101" s="228"/>
      <c r="AU101" s="227"/>
    </row>
    <row r="102" spans="1:47" x14ac:dyDescent="0.3">
      <c r="A102" s="215"/>
      <c r="B102" s="126"/>
      <c r="C102" s="115"/>
      <c r="D102" s="116"/>
      <c r="E102" s="116"/>
      <c r="F102" s="116"/>
      <c r="G102" s="116"/>
      <c r="H102" s="116"/>
      <c r="I102" s="116"/>
      <c r="J102" s="116"/>
      <c r="K102" s="116"/>
      <c r="L102" s="116"/>
      <c r="M102" s="116"/>
      <c r="N102" s="116"/>
      <c r="O102" s="116"/>
      <c r="P102" s="116"/>
      <c r="Q102" s="117"/>
      <c r="R102" s="116"/>
      <c r="S102" s="116"/>
      <c r="T102" s="116"/>
      <c r="U102" s="116"/>
      <c r="V102" s="118"/>
      <c r="W102" s="116"/>
      <c r="X102" s="116"/>
      <c r="Y102" s="116"/>
      <c r="Z102" s="116"/>
      <c r="AA102" s="116"/>
      <c r="AB102" s="116"/>
      <c r="AC102" s="116"/>
      <c r="AD102" s="116"/>
      <c r="AE102" s="116"/>
      <c r="AF102" s="116"/>
      <c r="AG102" s="220"/>
      <c r="AH102" s="221"/>
      <c r="AI102" s="222"/>
      <c r="AJ102" s="223"/>
      <c r="AK102" s="224"/>
      <c r="AL102" s="221"/>
      <c r="AM102" s="223"/>
      <c r="AN102" s="224"/>
      <c r="AO102" s="225"/>
      <c r="AP102" s="226"/>
      <c r="AQ102" s="227"/>
      <c r="AR102" s="224"/>
      <c r="AS102" s="225"/>
      <c r="AT102" s="228"/>
      <c r="AU102" s="227"/>
    </row>
    <row r="103" spans="1:47" x14ac:dyDescent="0.3">
      <c r="A103" s="215"/>
      <c r="B103" s="126"/>
      <c r="C103" s="115"/>
      <c r="D103" s="116"/>
      <c r="E103" s="116"/>
      <c r="F103" s="116"/>
      <c r="G103" s="116"/>
      <c r="H103" s="116"/>
      <c r="I103" s="116"/>
      <c r="J103" s="116"/>
      <c r="K103" s="116"/>
      <c r="L103" s="116"/>
      <c r="M103" s="116"/>
      <c r="N103" s="116"/>
      <c r="O103" s="116"/>
      <c r="P103" s="116"/>
      <c r="Q103" s="117"/>
      <c r="R103" s="116"/>
      <c r="S103" s="116"/>
      <c r="T103" s="116"/>
      <c r="U103" s="116"/>
      <c r="V103" s="118"/>
      <c r="W103" s="116"/>
      <c r="X103" s="116"/>
      <c r="Y103" s="116"/>
      <c r="Z103" s="116"/>
      <c r="AA103" s="116"/>
      <c r="AB103" s="116"/>
      <c r="AC103" s="116"/>
      <c r="AD103" s="116"/>
      <c r="AE103" s="116"/>
      <c r="AF103" s="116"/>
      <c r="AG103" s="220"/>
      <c r="AH103" s="221"/>
      <c r="AI103" s="222"/>
      <c r="AJ103" s="223"/>
      <c r="AK103" s="224"/>
      <c r="AL103" s="221"/>
      <c r="AM103" s="223"/>
      <c r="AN103" s="224"/>
      <c r="AO103" s="225"/>
      <c r="AP103" s="226"/>
      <c r="AQ103" s="227"/>
      <c r="AR103" s="224"/>
      <c r="AS103" s="225"/>
      <c r="AT103" s="228"/>
      <c r="AU103" s="227"/>
    </row>
    <row r="104" spans="1:47" x14ac:dyDescent="0.3">
      <c r="A104" s="215"/>
      <c r="B104" s="126"/>
      <c r="C104" s="115"/>
      <c r="D104" s="116"/>
      <c r="E104" s="116"/>
      <c r="F104" s="116"/>
      <c r="G104" s="116"/>
      <c r="H104" s="116"/>
      <c r="I104" s="116"/>
      <c r="J104" s="116"/>
      <c r="K104" s="116"/>
      <c r="L104" s="116"/>
      <c r="M104" s="116"/>
      <c r="N104" s="116"/>
      <c r="O104" s="116"/>
      <c r="P104" s="116"/>
      <c r="Q104" s="117"/>
      <c r="R104" s="116"/>
      <c r="S104" s="116"/>
      <c r="T104" s="116"/>
      <c r="U104" s="116"/>
      <c r="V104" s="118"/>
      <c r="W104" s="116"/>
      <c r="X104" s="116"/>
      <c r="Y104" s="116"/>
      <c r="Z104" s="116"/>
      <c r="AA104" s="116"/>
      <c r="AB104" s="116"/>
      <c r="AC104" s="116"/>
      <c r="AD104" s="116"/>
      <c r="AE104" s="116"/>
      <c r="AF104" s="116"/>
      <c r="AG104" s="220"/>
      <c r="AH104" s="221"/>
      <c r="AI104" s="222"/>
      <c r="AJ104" s="223"/>
      <c r="AK104" s="224"/>
      <c r="AL104" s="221"/>
      <c r="AM104" s="223"/>
      <c r="AN104" s="224"/>
      <c r="AO104" s="225"/>
      <c r="AP104" s="226"/>
      <c r="AQ104" s="227"/>
      <c r="AR104" s="224"/>
      <c r="AS104" s="225"/>
      <c r="AT104" s="228"/>
      <c r="AU104" s="227"/>
    </row>
    <row r="105" spans="1:47" x14ac:dyDescent="0.3">
      <c r="A105" s="215"/>
      <c r="B105" s="126"/>
      <c r="C105" s="115"/>
      <c r="D105" s="116"/>
      <c r="E105" s="116"/>
      <c r="F105" s="116"/>
      <c r="G105" s="116"/>
      <c r="H105" s="116"/>
      <c r="I105" s="116"/>
      <c r="J105" s="116"/>
      <c r="K105" s="116"/>
      <c r="L105" s="116"/>
      <c r="M105" s="116"/>
      <c r="N105" s="116"/>
      <c r="O105" s="116"/>
      <c r="P105" s="116"/>
      <c r="Q105" s="117"/>
      <c r="R105" s="116"/>
      <c r="S105" s="116"/>
      <c r="T105" s="116"/>
      <c r="U105" s="116"/>
      <c r="V105" s="118"/>
      <c r="W105" s="116"/>
      <c r="X105" s="116"/>
      <c r="Y105" s="116"/>
      <c r="Z105" s="116"/>
      <c r="AA105" s="116"/>
      <c r="AB105" s="116"/>
      <c r="AC105" s="116"/>
      <c r="AD105" s="116"/>
      <c r="AE105" s="116"/>
      <c r="AF105" s="116"/>
      <c r="AG105" s="220"/>
      <c r="AH105" s="221"/>
      <c r="AI105" s="222"/>
      <c r="AJ105" s="223"/>
      <c r="AK105" s="224"/>
      <c r="AL105" s="221"/>
      <c r="AM105" s="223"/>
      <c r="AN105" s="224"/>
      <c r="AO105" s="225"/>
      <c r="AP105" s="226"/>
      <c r="AQ105" s="227"/>
      <c r="AR105" s="224"/>
      <c r="AS105" s="225"/>
      <c r="AT105" s="228"/>
      <c r="AU105" s="227"/>
    </row>
    <row r="106" spans="1:47" x14ac:dyDescent="0.3">
      <c r="A106" s="215"/>
      <c r="B106" s="126"/>
      <c r="C106" s="115"/>
      <c r="D106" s="116"/>
      <c r="E106" s="116"/>
      <c r="F106" s="116"/>
      <c r="G106" s="116"/>
      <c r="H106" s="116"/>
      <c r="I106" s="116"/>
      <c r="J106" s="116"/>
      <c r="K106" s="116"/>
      <c r="L106" s="116"/>
      <c r="M106" s="116"/>
      <c r="N106" s="116"/>
      <c r="O106" s="116"/>
      <c r="P106" s="116"/>
      <c r="Q106" s="117"/>
      <c r="R106" s="116"/>
      <c r="S106" s="116"/>
      <c r="T106" s="116"/>
      <c r="U106" s="116"/>
      <c r="V106" s="118"/>
      <c r="W106" s="116"/>
      <c r="X106" s="116"/>
      <c r="Y106" s="116"/>
      <c r="Z106" s="116"/>
      <c r="AA106" s="116"/>
      <c r="AB106" s="116"/>
      <c r="AC106" s="116"/>
      <c r="AD106" s="116"/>
      <c r="AE106" s="116"/>
      <c r="AF106" s="116"/>
      <c r="AG106" s="220"/>
      <c r="AH106" s="221"/>
      <c r="AI106" s="222"/>
      <c r="AJ106" s="223"/>
      <c r="AK106" s="224"/>
      <c r="AL106" s="221"/>
      <c r="AM106" s="223"/>
      <c r="AN106" s="224"/>
      <c r="AO106" s="225"/>
      <c r="AP106" s="226"/>
      <c r="AQ106" s="227"/>
      <c r="AR106" s="224"/>
      <c r="AS106" s="225"/>
      <c r="AT106" s="228"/>
      <c r="AU106" s="227"/>
    </row>
    <row r="107" spans="1:47" x14ac:dyDescent="0.3">
      <c r="A107" s="215"/>
      <c r="B107" s="126"/>
      <c r="C107" s="115"/>
      <c r="D107" s="116"/>
      <c r="E107" s="116"/>
      <c r="F107" s="116"/>
      <c r="G107" s="116"/>
      <c r="H107" s="116"/>
      <c r="I107" s="116"/>
      <c r="J107" s="116"/>
      <c r="K107" s="116"/>
      <c r="L107" s="116"/>
      <c r="M107" s="116"/>
      <c r="N107" s="116"/>
      <c r="O107" s="116"/>
      <c r="P107" s="116"/>
      <c r="Q107" s="117"/>
      <c r="R107" s="116"/>
      <c r="S107" s="116"/>
      <c r="T107" s="116"/>
      <c r="U107" s="116"/>
      <c r="V107" s="118"/>
      <c r="W107" s="116"/>
      <c r="X107" s="116"/>
      <c r="Y107" s="116"/>
      <c r="Z107" s="116"/>
      <c r="AA107" s="116"/>
      <c r="AB107" s="116"/>
      <c r="AC107" s="116"/>
      <c r="AD107" s="116"/>
      <c r="AE107" s="116"/>
      <c r="AF107" s="116"/>
      <c r="AG107" s="220"/>
      <c r="AH107" s="221"/>
      <c r="AI107" s="222"/>
      <c r="AJ107" s="223"/>
      <c r="AK107" s="224"/>
      <c r="AL107" s="221"/>
      <c r="AM107" s="223"/>
      <c r="AN107" s="224"/>
      <c r="AO107" s="225"/>
      <c r="AP107" s="226"/>
      <c r="AQ107" s="227"/>
      <c r="AR107" s="224"/>
      <c r="AS107" s="225"/>
      <c r="AT107" s="228"/>
      <c r="AU107" s="227"/>
    </row>
    <row r="108" spans="1:47" x14ac:dyDescent="0.3">
      <c r="A108" s="215"/>
      <c r="B108" s="126"/>
      <c r="C108" s="115"/>
      <c r="D108" s="116"/>
      <c r="E108" s="116"/>
      <c r="F108" s="116"/>
      <c r="G108" s="116"/>
      <c r="H108" s="116"/>
      <c r="I108" s="116"/>
      <c r="J108" s="116"/>
      <c r="K108" s="116"/>
      <c r="L108" s="116"/>
      <c r="M108" s="116"/>
      <c r="N108" s="116"/>
      <c r="O108" s="116"/>
      <c r="P108" s="116"/>
      <c r="Q108" s="117"/>
      <c r="R108" s="116"/>
      <c r="S108" s="116"/>
      <c r="T108" s="116"/>
      <c r="U108" s="116"/>
      <c r="V108" s="118"/>
      <c r="W108" s="116"/>
      <c r="X108" s="116"/>
      <c r="Y108" s="116"/>
      <c r="Z108" s="116"/>
      <c r="AA108" s="116"/>
      <c r="AB108" s="116"/>
      <c r="AC108" s="116"/>
      <c r="AD108" s="116"/>
      <c r="AE108" s="116"/>
      <c r="AF108" s="116"/>
      <c r="AG108" s="220"/>
      <c r="AH108" s="221"/>
      <c r="AI108" s="222"/>
      <c r="AJ108" s="223"/>
      <c r="AK108" s="224"/>
      <c r="AL108" s="221"/>
      <c r="AM108" s="223"/>
      <c r="AN108" s="224"/>
      <c r="AO108" s="225"/>
      <c r="AP108" s="226"/>
      <c r="AQ108" s="227"/>
      <c r="AR108" s="224"/>
      <c r="AS108" s="225"/>
      <c r="AT108" s="228"/>
      <c r="AU108" s="227"/>
    </row>
    <row r="109" spans="1:47" x14ac:dyDescent="0.3">
      <c r="A109" s="215"/>
      <c r="B109" s="126"/>
      <c r="C109" s="115"/>
      <c r="D109" s="116"/>
      <c r="E109" s="116"/>
      <c r="F109" s="116"/>
      <c r="G109" s="116"/>
      <c r="H109" s="116"/>
      <c r="I109" s="116"/>
      <c r="J109" s="116"/>
      <c r="K109" s="116"/>
      <c r="L109" s="116"/>
      <c r="M109" s="116"/>
      <c r="N109" s="116"/>
      <c r="O109" s="116"/>
      <c r="P109" s="116"/>
      <c r="Q109" s="117"/>
      <c r="R109" s="116"/>
      <c r="S109" s="116"/>
      <c r="T109" s="116"/>
      <c r="U109" s="116"/>
      <c r="V109" s="118"/>
      <c r="W109" s="116"/>
      <c r="X109" s="116"/>
      <c r="Y109" s="116"/>
      <c r="Z109" s="116"/>
      <c r="AA109" s="116"/>
      <c r="AB109" s="116"/>
      <c r="AC109" s="116"/>
      <c r="AD109" s="116"/>
      <c r="AE109" s="116"/>
      <c r="AF109" s="116"/>
      <c r="AG109" s="220"/>
      <c r="AH109" s="221"/>
      <c r="AI109" s="222"/>
      <c r="AJ109" s="223"/>
      <c r="AK109" s="224"/>
      <c r="AL109" s="221"/>
      <c r="AM109" s="223"/>
      <c r="AN109" s="224"/>
      <c r="AO109" s="225"/>
      <c r="AP109" s="226"/>
      <c r="AQ109" s="227"/>
      <c r="AR109" s="224"/>
      <c r="AS109" s="225"/>
      <c r="AT109" s="228"/>
      <c r="AU109" s="227"/>
    </row>
    <row r="110" spans="1:47" x14ac:dyDescent="0.3">
      <c r="A110" s="215"/>
      <c r="B110" s="126"/>
      <c r="C110" s="115"/>
      <c r="D110" s="116"/>
      <c r="E110" s="116"/>
      <c r="F110" s="116"/>
      <c r="G110" s="116"/>
      <c r="H110" s="116"/>
      <c r="I110" s="116"/>
      <c r="J110" s="116"/>
      <c r="K110" s="116"/>
      <c r="L110" s="116"/>
      <c r="M110" s="116"/>
      <c r="N110" s="116"/>
      <c r="O110" s="116"/>
      <c r="P110" s="116"/>
      <c r="Q110" s="117"/>
      <c r="R110" s="116"/>
      <c r="S110" s="116"/>
      <c r="T110" s="116"/>
      <c r="U110" s="116"/>
      <c r="V110" s="118"/>
      <c r="W110" s="116"/>
      <c r="X110" s="116"/>
      <c r="Y110" s="116"/>
      <c r="Z110" s="116"/>
      <c r="AA110" s="116"/>
      <c r="AB110" s="116"/>
      <c r="AC110" s="116"/>
      <c r="AD110" s="116"/>
      <c r="AE110" s="116"/>
      <c r="AF110" s="116"/>
      <c r="AG110" s="220"/>
      <c r="AH110" s="221"/>
      <c r="AI110" s="222"/>
      <c r="AJ110" s="223"/>
      <c r="AK110" s="224"/>
      <c r="AL110" s="221"/>
      <c r="AM110" s="223"/>
      <c r="AN110" s="224"/>
      <c r="AO110" s="225"/>
      <c r="AP110" s="226"/>
      <c r="AQ110" s="227"/>
      <c r="AR110" s="224"/>
      <c r="AS110" s="225"/>
      <c r="AT110" s="228"/>
      <c r="AU110" s="227"/>
    </row>
    <row r="111" spans="1:47" x14ac:dyDescent="0.3">
      <c r="A111" s="215"/>
      <c r="B111" s="126"/>
      <c r="C111" s="115"/>
      <c r="D111" s="116"/>
      <c r="E111" s="116"/>
      <c r="F111" s="116"/>
      <c r="G111" s="116"/>
      <c r="H111" s="116"/>
      <c r="I111" s="116"/>
      <c r="J111" s="116"/>
      <c r="K111" s="116"/>
      <c r="L111" s="116"/>
      <c r="M111" s="116"/>
      <c r="N111" s="116"/>
      <c r="O111" s="116"/>
      <c r="P111" s="116"/>
      <c r="Q111" s="117"/>
      <c r="R111" s="116"/>
      <c r="S111" s="116"/>
      <c r="T111" s="116"/>
      <c r="U111" s="116"/>
      <c r="V111" s="118"/>
      <c r="W111" s="116"/>
      <c r="X111" s="116"/>
      <c r="Y111" s="116"/>
      <c r="Z111" s="116"/>
      <c r="AA111" s="116"/>
      <c r="AB111" s="116"/>
      <c r="AC111" s="116"/>
      <c r="AD111" s="116"/>
      <c r="AE111" s="116"/>
      <c r="AF111" s="116"/>
      <c r="AG111" s="220"/>
      <c r="AH111" s="221"/>
      <c r="AI111" s="222"/>
      <c r="AJ111" s="223"/>
      <c r="AK111" s="224"/>
      <c r="AL111" s="221"/>
      <c r="AM111" s="223"/>
      <c r="AN111" s="224"/>
      <c r="AO111" s="225"/>
      <c r="AP111" s="226"/>
      <c r="AQ111" s="227"/>
      <c r="AR111" s="224"/>
      <c r="AS111" s="225"/>
      <c r="AT111" s="228"/>
      <c r="AU111" s="227"/>
    </row>
    <row r="112" spans="1:47" x14ac:dyDescent="0.3">
      <c r="A112" s="215"/>
      <c r="B112" s="126"/>
      <c r="C112" s="115"/>
      <c r="D112" s="116"/>
      <c r="E112" s="116"/>
      <c r="F112" s="116"/>
      <c r="G112" s="116"/>
      <c r="H112" s="116"/>
      <c r="I112" s="116"/>
      <c r="J112" s="116"/>
      <c r="K112" s="116"/>
      <c r="L112" s="116"/>
      <c r="M112" s="116"/>
      <c r="N112" s="116"/>
      <c r="O112" s="116"/>
      <c r="P112" s="116"/>
      <c r="Q112" s="117"/>
      <c r="R112" s="116"/>
      <c r="S112" s="116"/>
      <c r="T112" s="116"/>
      <c r="U112" s="116"/>
      <c r="V112" s="118"/>
      <c r="W112" s="116"/>
      <c r="X112" s="116"/>
      <c r="Y112" s="116"/>
      <c r="Z112" s="116"/>
      <c r="AA112" s="116"/>
      <c r="AB112" s="116"/>
      <c r="AC112" s="116"/>
      <c r="AD112" s="116"/>
      <c r="AE112" s="116"/>
      <c r="AF112" s="116"/>
      <c r="AG112" s="220"/>
      <c r="AH112" s="221"/>
      <c r="AI112" s="222"/>
      <c r="AJ112" s="223"/>
      <c r="AK112" s="224"/>
      <c r="AL112" s="221"/>
      <c r="AM112" s="223"/>
      <c r="AN112" s="224"/>
      <c r="AO112" s="225"/>
      <c r="AP112" s="226"/>
      <c r="AQ112" s="227"/>
      <c r="AR112" s="224"/>
      <c r="AS112" s="225"/>
      <c r="AT112" s="228"/>
      <c r="AU112" s="227"/>
    </row>
    <row r="113" spans="1:47" x14ac:dyDescent="0.3">
      <c r="A113" s="215"/>
      <c r="B113" s="126"/>
      <c r="C113" s="115"/>
      <c r="D113" s="116"/>
      <c r="E113" s="116"/>
      <c r="F113" s="116"/>
      <c r="G113" s="116"/>
      <c r="H113" s="116"/>
      <c r="I113" s="116"/>
      <c r="J113" s="116"/>
      <c r="K113" s="116"/>
      <c r="L113" s="116"/>
      <c r="M113" s="116"/>
      <c r="N113" s="116"/>
      <c r="O113" s="116"/>
      <c r="P113" s="116"/>
      <c r="Q113" s="117"/>
      <c r="R113" s="116"/>
      <c r="S113" s="116"/>
      <c r="T113" s="116"/>
      <c r="U113" s="116"/>
      <c r="V113" s="118"/>
      <c r="W113" s="116"/>
      <c r="X113" s="116"/>
      <c r="Y113" s="116"/>
      <c r="Z113" s="116"/>
      <c r="AA113" s="116"/>
      <c r="AB113" s="116"/>
      <c r="AC113" s="116"/>
      <c r="AD113" s="116"/>
      <c r="AE113" s="116"/>
      <c r="AF113" s="116"/>
      <c r="AG113" s="220"/>
      <c r="AH113" s="221"/>
      <c r="AI113" s="222"/>
      <c r="AJ113" s="223"/>
      <c r="AK113" s="224"/>
      <c r="AL113" s="221"/>
      <c r="AM113" s="223"/>
      <c r="AN113" s="224"/>
      <c r="AO113" s="225"/>
      <c r="AP113" s="226"/>
      <c r="AQ113" s="227"/>
      <c r="AR113" s="224"/>
      <c r="AS113" s="225"/>
      <c r="AT113" s="228"/>
      <c r="AU113" s="227"/>
    </row>
    <row r="114" spans="1:47" x14ac:dyDescent="0.3">
      <c r="A114" s="215"/>
      <c r="B114" s="126"/>
      <c r="C114" s="115"/>
      <c r="D114" s="116"/>
      <c r="E114" s="116"/>
      <c r="F114" s="116"/>
      <c r="G114" s="116"/>
      <c r="H114" s="116"/>
      <c r="I114" s="116"/>
      <c r="J114" s="116"/>
      <c r="K114" s="116"/>
      <c r="L114" s="116"/>
      <c r="M114" s="116"/>
      <c r="N114" s="116"/>
      <c r="O114" s="116"/>
      <c r="P114" s="116"/>
      <c r="Q114" s="117"/>
      <c r="R114" s="116"/>
      <c r="S114" s="116"/>
      <c r="T114" s="116"/>
      <c r="U114" s="116"/>
      <c r="V114" s="118"/>
      <c r="W114" s="116"/>
      <c r="X114" s="116"/>
      <c r="Y114" s="116"/>
      <c r="Z114" s="116"/>
      <c r="AA114" s="116"/>
      <c r="AB114" s="116"/>
      <c r="AC114" s="116"/>
      <c r="AD114" s="116"/>
      <c r="AE114" s="116"/>
      <c r="AF114" s="116"/>
      <c r="AG114" s="220"/>
      <c r="AH114" s="221"/>
      <c r="AI114" s="222"/>
      <c r="AJ114" s="223"/>
      <c r="AK114" s="224"/>
      <c r="AL114" s="221"/>
      <c r="AM114" s="223"/>
      <c r="AN114" s="224"/>
      <c r="AO114" s="225"/>
      <c r="AP114" s="226"/>
      <c r="AQ114" s="227"/>
      <c r="AR114" s="224"/>
      <c r="AS114" s="225"/>
      <c r="AT114" s="228"/>
      <c r="AU114" s="227"/>
    </row>
    <row r="115" spans="1:47" x14ac:dyDescent="0.3">
      <c r="A115" s="215"/>
      <c r="B115" s="126"/>
      <c r="C115" s="115"/>
      <c r="D115" s="116"/>
      <c r="E115" s="116"/>
      <c r="F115" s="116"/>
      <c r="G115" s="116"/>
      <c r="H115" s="116"/>
      <c r="I115" s="116"/>
      <c r="J115" s="116"/>
      <c r="K115" s="116"/>
      <c r="L115" s="116"/>
      <c r="M115" s="116"/>
      <c r="N115" s="116"/>
      <c r="O115" s="116"/>
      <c r="P115" s="116"/>
      <c r="Q115" s="117"/>
      <c r="R115" s="116"/>
      <c r="S115" s="116"/>
      <c r="T115" s="116"/>
      <c r="U115" s="116"/>
      <c r="V115" s="118"/>
      <c r="W115" s="116"/>
      <c r="X115" s="116"/>
      <c r="Y115" s="116"/>
      <c r="Z115" s="116"/>
      <c r="AA115" s="116"/>
      <c r="AB115" s="116"/>
      <c r="AC115" s="116"/>
      <c r="AD115" s="116"/>
      <c r="AE115" s="116"/>
      <c r="AF115" s="116"/>
      <c r="AG115" s="220"/>
      <c r="AH115" s="221"/>
      <c r="AI115" s="222"/>
      <c r="AJ115" s="223"/>
      <c r="AK115" s="224"/>
      <c r="AL115" s="221"/>
      <c r="AM115" s="223"/>
      <c r="AN115" s="224"/>
      <c r="AO115" s="225"/>
      <c r="AP115" s="226"/>
      <c r="AQ115" s="227"/>
      <c r="AR115" s="224"/>
      <c r="AS115" s="225"/>
      <c r="AT115" s="228"/>
      <c r="AU115" s="227"/>
    </row>
    <row r="116" spans="1:47" x14ac:dyDescent="0.3">
      <c r="A116" s="215"/>
      <c r="B116" s="126"/>
      <c r="C116" s="115"/>
      <c r="D116" s="116"/>
      <c r="E116" s="116"/>
      <c r="F116" s="116"/>
      <c r="G116" s="116"/>
      <c r="H116" s="116"/>
      <c r="I116" s="116"/>
      <c r="J116" s="116"/>
      <c r="K116" s="116"/>
      <c r="L116" s="116"/>
      <c r="M116" s="116"/>
      <c r="N116" s="116"/>
      <c r="O116" s="116"/>
      <c r="P116" s="116"/>
      <c r="Q116" s="117"/>
      <c r="R116" s="116"/>
      <c r="S116" s="116"/>
      <c r="T116" s="116"/>
      <c r="U116" s="116"/>
      <c r="V116" s="118"/>
      <c r="W116" s="116"/>
      <c r="X116" s="116"/>
      <c r="Y116" s="116"/>
      <c r="Z116" s="116"/>
      <c r="AA116" s="116"/>
      <c r="AB116" s="116"/>
      <c r="AC116" s="116"/>
      <c r="AD116" s="116"/>
      <c r="AE116" s="116"/>
      <c r="AF116" s="116"/>
      <c r="AG116" s="220"/>
      <c r="AH116" s="221"/>
      <c r="AI116" s="222"/>
      <c r="AJ116" s="223"/>
      <c r="AK116" s="224"/>
      <c r="AL116" s="221"/>
      <c r="AM116" s="223"/>
      <c r="AN116" s="224"/>
      <c r="AO116" s="225"/>
      <c r="AP116" s="226"/>
      <c r="AQ116" s="227"/>
      <c r="AR116" s="224"/>
      <c r="AS116" s="225"/>
      <c r="AT116" s="228"/>
      <c r="AU116" s="227"/>
    </row>
    <row r="117" spans="1:47" x14ac:dyDescent="0.3">
      <c r="A117" s="215"/>
      <c r="B117" s="126"/>
      <c r="C117" s="115"/>
      <c r="D117" s="116"/>
      <c r="E117" s="116"/>
      <c r="F117" s="116"/>
      <c r="G117" s="116"/>
      <c r="H117" s="116"/>
      <c r="I117" s="116"/>
      <c r="J117" s="116"/>
      <c r="K117" s="116"/>
      <c r="L117" s="116"/>
      <c r="M117" s="116"/>
      <c r="N117" s="116"/>
      <c r="O117" s="116"/>
      <c r="P117" s="116"/>
      <c r="Q117" s="117"/>
      <c r="R117" s="116"/>
      <c r="S117" s="116"/>
      <c r="T117" s="116"/>
      <c r="U117" s="116"/>
      <c r="V117" s="118"/>
      <c r="W117" s="116"/>
      <c r="X117" s="116"/>
      <c r="Y117" s="116"/>
      <c r="Z117" s="116"/>
      <c r="AA117" s="116"/>
      <c r="AB117" s="116"/>
      <c r="AC117" s="116"/>
      <c r="AD117" s="116"/>
      <c r="AE117" s="116"/>
      <c r="AF117" s="116"/>
      <c r="AG117" s="220"/>
      <c r="AH117" s="221"/>
      <c r="AI117" s="222"/>
      <c r="AJ117" s="223"/>
      <c r="AK117" s="224"/>
      <c r="AL117" s="221"/>
      <c r="AM117" s="223"/>
      <c r="AN117" s="224"/>
      <c r="AO117" s="225"/>
      <c r="AP117" s="226"/>
      <c r="AQ117" s="227"/>
      <c r="AR117" s="224"/>
      <c r="AS117" s="225"/>
      <c r="AT117" s="228"/>
      <c r="AU117" s="227"/>
    </row>
    <row r="118" spans="1:47" x14ac:dyDescent="0.3">
      <c r="A118" s="215"/>
      <c r="B118" s="126"/>
      <c r="C118" s="115"/>
      <c r="D118" s="116"/>
      <c r="E118" s="116"/>
      <c r="F118" s="116"/>
      <c r="G118" s="116"/>
      <c r="H118" s="116"/>
      <c r="I118" s="116"/>
      <c r="J118" s="116"/>
      <c r="K118" s="116"/>
      <c r="L118" s="116"/>
      <c r="M118" s="116"/>
      <c r="N118" s="116"/>
      <c r="O118" s="116"/>
      <c r="P118" s="116"/>
      <c r="Q118" s="117"/>
      <c r="R118" s="116"/>
      <c r="S118" s="116"/>
      <c r="T118" s="116"/>
      <c r="U118" s="116"/>
      <c r="V118" s="118"/>
      <c r="W118" s="116"/>
      <c r="X118" s="116"/>
      <c r="Y118" s="116"/>
      <c r="Z118" s="116"/>
      <c r="AA118" s="116"/>
      <c r="AB118" s="116"/>
      <c r="AC118" s="116"/>
      <c r="AD118" s="116"/>
      <c r="AE118" s="116"/>
      <c r="AF118" s="116"/>
      <c r="AG118" s="220"/>
      <c r="AH118" s="221"/>
      <c r="AI118" s="222"/>
      <c r="AJ118" s="223"/>
      <c r="AK118" s="224"/>
      <c r="AL118" s="221"/>
      <c r="AM118" s="223"/>
      <c r="AN118" s="224"/>
      <c r="AO118" s="225"/>
      <c r="AP118" s="226"/>
      <c r="AQ118" s="227"/>
      <c r="AR118" s="224"/>
      <c r="AS118" s="225"/>
      <c r="AT118" s="228"/>
      <c r="AU118" s="227"/>
    </row>
    <row r="119" spans="1:47" x14ac:dyDescent="0.3">
      <c r="A119" s="215"/>
      <c r="B119" s="126"/>
      <c r="C119" s="115"/>
      <c r="D119" s="116"/>
      <c r="E119" s="116"/>
      <c r="F119" s="116"/>
      <c r="G119" s="116"/>
      <c r="H119" s="116"/>
      <c r="I119" s="116"/>
      <c r="J119" s="116"/>
      <c r="K119" s="116"/>
      <c r="L119" s="116"/>
      <c r="M119" s="116"/>
      <c r="N119" s="116"/>
      <c r="O119" s="116"/>
      <c r="P119" s="116"/>
      <c r="Q119" s="117"/>
      <c r="R119" s="116"/>
      <c r="S119" s="116"/>
      <c r="T119" s="116"/>
      <c r="U119" s="116"/>
      <c r="V119" s="118"/>
      <c r="W119" s="116"/>
      <c r="X119" s="116"/>
      <c r="Y119" s="116"/>
      <c r="Z119" s="116"/>
      <c r="AA119" s="116"/>
      <c r="AB119" s="116"/>
      <c r="AC119" s="116"/>
      <c r="AD119" s="116"/>
      <c r="AE119" s="116"/>
      <c r="AF119" s="116"/>
      <c r="AG119" s="220"/>
      <c r="AH119" s="221"/>
      <c r="AI119" s="222"/>
      <c r="AJ119" s="223"/>
      <c r="AK119" s="224"/>
      <c r="AL119" s="221"/>
      <c r="AM119" s="223"/>
      <c r="AN119" s="224"/>
      <c r="AO119" s="225"/>
      <c r="AP119" s="226"/>
      <c r="AQ119" s="227"/>
      <c r="AR119" s="224"/>
      <c r="AS119" s="225"/>
      <c r="AT119" s="228"/>
      <c r="AU119" s="227"/>
    </row>
    <row r="120" spans="1:47" x14ac:dyDescent="0.3">
      <c r="A120" s="215"/>
      <c r="B120" s="126"/>
      <c r="C120" s="115"/>
      <c r="D120" s="116"/>
      <c r="E120" s="116"/>
      <c r="F120" s="116"/>
      <c r="G120" s="116"/>
      <c r="H120" s="116"/>
      <c r="I120" s="116"/>
      <c r="J120" s="116"/>
      <c r="K120" s="116"/>
      <c r="L120" s="116"/>
      <c r="M120" s="116"/>
      <c r="N120" s="116"/>
      <c r="O120" s="116"/>
      <c r="P120" s="116"/>
      <c r="Q120" s="117"/>
      <c r="R120" s="116"/>
      <c r="S120" s="116"/>
      <c r="T120" s="116"/>
      <c r="U120" s="116"/>
      <c r="V120" s="118"/>
      <c r="W120" s="116"/>
      <c r="X120" s="116"/>
      <c r="Y120" s="116"/>
      <c r="Z120" s="116"/>
      <c r="AA120" s="116"/>
      <c r="AB120" s="116"/>
      <c r="AC120" s="116"/>
      <c r="AD120" s="116"/>
      <c r="AE120" s="116"/>
      <c r="AF120" s="116"/>
      <c r="AG120" s="220"/>
      <c r="AH120" s="221"/>
      <c r="AI120" s="222"/>
      <c r="AJ120" s="223"/>
      <c r="AK120" s="224"/>
      <c r="AL120" s="221"/>
      <c r="AM120" s="223"/>
      <c r="AN120" s="224"/>
      <c r="AO120" s="225"/>
      <c r="AP120" s="226"/>
      <c r="AQ120" s="227"/>
      <c r="AR120" s="224"/>
      <c r="AS120" s="225"/>
      <c r="AT120" s="228"/>
      <c r="AU120" s="227"/>
    </row>
    <row r="121" spans="1:47" x14ac:dyDescent="0.3">
      <c r="A121" s="215"/>
      <c r="B121" s="126"/>
      <c r="C121" s="115"/>
      <c r="D121" s="116"/>
      <c r="E121" s="116"/>
      <c r="F121" s="116"/>
      <c r="G121" s="116"/>
      <c r="H121" s="116"/>
      <c r="I121" s="116"/>
      <c r="J121" s="116"/>
      <c r="K121" s="116"/>
      <c r="L121" s="116"/>
      <c r="M121" s="116"/>
      <c r="N121" s="116"/>
      <c r="O121" s="116"/>
      <c r="P121" s="116"/>
      <c r="Q121" s="117"/>
      <c r="R121" s="116"/>
      <c r="S121" s="116"/>
      <c r="T121" s="116"/>
      <c r="U121" s="116"/>
      <c r="V121" s="118"/>
      <c r="W121" s="116"/>
      <c r="X121" s="116"/>
      <c r="Y121" s="116"/>
      <c r="Z121" s="116"/>
      <c r="AA121" s="116"/>
      <c r="AB121" s="116"/>
      <c r="AC121" s="116"/>
      <c r="AD121" s="116"/>
      <c r="AE121" s="116"/>
      <c r="AF121" s="116"/>
      <c r="AG121" s="220"/>
      <c r="AH121" s="221"/>
      <c r="AI121" s="222"/>
      <c r="AJ121" s="223"/>
      <c r="AK121" s="224"/>
      <c r="AL121" s="221"/>
      <c r="AM121" s="223"/>
      <c r="AN121" s="224"/>
      <c r="AO121" s="225"/>
      <c r="AP121" s="226"/>
      <c r="AQ121" s="227"/>
      <c r="AR121" s="224"/>
      <c r="AS121" s="225"/>
      <c r="AT121" s="228"/>
      <c r="AU121" s="227"/>
    </row>
    <row r="122" spans="1:47" x14ac:dyDescent="0.3">
      <c r="A122" s="215"/>
      <c r="B122" s="126"/>
      <c r="C122" s="115"/>
      <c r="D122" s="116"/>
      <c r="E122" s="116"/>
      <c r="F122" s="116"/>
      <c r="G122" s="116"/>
      <c r="H122" s="116"/>
      <c r="I122" s="116"/>
      <c r="J122" s="116"/>
      <c r="K122" s="116"/>
      <c r="L122" s="116"/>
      <c r="M122" s="116"/>
      <c r="N122" s="116"/>
      <c r="O122" s="116"/>
      <c r="P122" s="116"/>
      <c r="Q122" s="117"/>
      <c r="R122" s="116"/>
      <c r="S122" s="116"/>
      <c r="T122" s="116"/>
      <c r="U122" s="116"/>
      <c r="V122" s="118"/>
      <c r="W122" s="116"/>
      <c r="X122" s="116"/>
      <c r="Y122" s="116"/>
      <c r="Z122" s="116"/>
      <c r="AA122" s="116"/>
      <c r="AB122" s="116"/>
      <c r="AC122" s="116"/>
      <c r="AD122" s="116"/>
      <c r="AE122" s="116"/>
      <c r="AF122" s="116"/>
      <c r="AG122" s="220"/>
      <c r="AH122" s="221"/>
      <c r="AI122" s="222"/>
      <c r="AJ122" s="223"/>
      <c r="AK122" s="224"/>
      <c r="AL122" s="221"/>
      <c r="AM122" s="223"/>
      <c r="AN122" s="224"/>
      <c r="AO122" s="225"/>
      <c r="AP122" s="226"/>
      <c r="AQ122" s="227"/>
      <c r="AR122" s="224"/>
      <c r="AS122" s="225"/>
      <c r="AT122" s="228"/>
      <c r="AU122" s="227"/>
    </row>
    <row r="123" spans="1:47" x14ac:dyDescent="0.3">
      <c r="A123" s="215"/>
      <c r="B123" s="126"/>
      <c r="C123" s="115"/>
      <c r="D123" s="116"/>
      <c r="E123" s="116"/>
      <c r="F123" s="116"/>
      <c r="G123" s="116"/>
      <c r="H123" s="116"/>
      <c r="I123" s="116"/>
      <c r="J123" s="116"/>
      <c r="K123" s="116"/>
      <c r="L123" s="116"/>
      <c r="M123" s="116"/>
      <c r="N123" s="116"/>
      <c r="O123" s="116"/>
      <c r="P123" s="116"/>
      <c r="Q123" s="117"/>
      <c r="R123" s="116"/>
      <c r="S123" s="116"/>
      <c r="T123" s="116"/>
      <c r="U123" s="116"/>
      <c r="V123" s="118"/>
      <c r="W123" s="116"/>
      <c r="X123" s="116"/>
      <c r="Y123" s="116"/>
      <c r="Z123" s="116"/>
      <c r="AA123" s="116"/>
      <c r="AB123" s="116"/>
      <c r="AC123" s="116"/>
      <c r="AD123" s="116"/>
      <c r="AE123" s="116"/>
      <c r="AF123" s="116"/>
      <c r="AG123" s="220"/>
      <c r="AH123" s="221"/>
      <c r="AI123" s="222"/>
      <c r="AJ123" s="223"/>
      <c r="AK123" s="224"/>
      <c r="AL123" s="221"/>
      <c r="AM123" s="223"/>
      <c r="AN123" s="224"/>
      <c r="AO123" s="225"/>
      <c r="AP123" s="226"/>
      <c r="AQ123" s="227"/>
      <c r="AR123" s="224"/>
      <c r="AS123" s="225"/>
      <c r="AT123" s="228"/>
      <c r="AU123" s="227"/>
    </row>
    <row r="124" spans="1:47" x14ac:dyDescent="0.3">
      <c r="A124" s="215"/>
      <c r="B124" s="126"/>
      <c r="C124" s="115"/>
      <c r="D124" s="116"/>
      <c r="E124" s="116"/>
      <c r="F124" s="116"/>
      <c r="G124" s="116"/>
      <c r="H124" s="116"/>
      <c r="I124" s="116"/>
      <c r="J124" s="116"/>
      <c r="K124" s="116"/>
      <c r="L124" s="116"/>
      <c r="M124" s="116"/>
      <c r="N124" s="116"/>
      <c r="O124" s="116"/>
      <c r="P124" s="116"/>
      <c r="Q124" s="117"/>
      <c r="R124" s="116"/>
      <c r="S124" s="116"/>
      <c r="T124" s="116"/>
      <c r="U124" s="116"/>
      <c r="V124" s="118"/>
      <c r="W124" s="116"/>
      <c r="X124" s="116"/>
      <c r="Y124" s="116"/>
      <c r="Z124" s="116"/>
      <c r="AA124" s="116"/>
      <c r="AB124" s="116"/>
      <c r="AC124" s="116"/>
      <c r="AD124" s="116"/>
      <c r="AE124" s="116"/>
      <c r="AF124" s="116"/>
      <c r="AG124" s="220"/>
      <c r="AH124" s="221"/>
      <c r="AI124" s="222"/>
      <c r="AJ124" s="223"/>
      <c r="AK124" s="224"/>
      <c r="AL124" s="221"/>
      <c r="AM124" s="223"/>
      <c r="AN124" s="224"/>
      <c r="AO124" s="225"/>
      <c r="AP124" s="226"/>
      <c r="AQ124" s="227"/>
      <c r="AR124" s="224"/>
      <c r="AS124" s="225"/>
      <c r="AT124" s="228"/>
      <c r="AU124" s="227"/>
    </row>
    <row r="125" spans="1:47" x14ac:dyDescent="0.3">
      <c r="A125" s="215"/>
      <c r="B125" s="126"/>
      <c r="C125" s="115"/>
      <c r="D125" s="116"/>
      <c r="E125" s="116"/>
      <c r="F125" s="116"/>
      <c r="G125" s="116"/>
      <c r="H125" s="116"/>
      <c r="I125" s="116"/>
      <c r="J125" s="116"/>
      <c r="K125" s="116"/>
      <c r="L125" s="116"/>
      <c r="M125" s="116"/>
      <c r="N125" s="116"/>
      <c r="O125" s="116"/>
      <c r="P125" s="116"/>
      <c r="Q125" s="117"/>
      <c r="R125" s="116"/>
      <c r="S125" s="116"/>
      <c r="T125" s="116"/>
      <c r="U125" s="116"/>
      <c r="V125" s="118"/>
      <c r="W125" s="116"/>
      <c r="X125" s="116"/>
      <c r="Y125" s="116"/>
      <c r="Z125" s="116"/>
      <c r="AA125" s="116"/>
      <c r="AB125" s="116"/>
      <c r="AC125" s="116"/>
      <c r="AD125" s="116"/>
      <c r="AE125" s="116"/>
      <c r="AF125" s="116"/>
      <c r="AG125" s="220"/>
      <c r="AH125" s="221"/>
      <c r="AI125" s="222"/>
      <c r="AJ125" s="223"/>
      <c r="AK125" s="224"/>
      <c r="AL125" s="221"/>
      <c r="AM125" s="223"/>
      <c r="AN125" s="224"/>
      <c r="AO125" s="225"/>
      <c r="AP125" s="226"/>
      <c r="AQ125" s="227"/>
      <c r="AR125" s="224"/>
      <c r="AS125" s="225"/>
      <c r="AT125" s="228"/>
      <c r="AU125" s="227"/>
    </row>
    <row r="126" spans="1:47" x14ac:dyDescent="0.3">
      <c r="A126" s="215"/>
      <c r="B126" s="126"/>
      <c r="C126" s="115"/>
      <c r="D126" s="116"/>
      <c r="E126" s="116"/>
      <c r="F126" s="116"/>
      <c r="G126" s="116"/>
      <c r="H126" s="116"/>
      <c r="I126" s="116"/>
      <c r="J126" s="116"/>
      <c r="K126" s="116"/>
      <c r="L126" s="116"/>
      <c r="M126" s="116"/>
      <c r="N126" s="116"/>
      <c r="O126" s="116"/>
      <c r="P126" s="116"/>
      <c r="Q126" s="117"/>
      <c r="R126" s="116"/>
      <c r="S126" s="116"/>
      <c r="T126" s="116"/>
      <c r="U126" s="116"/>
      <c r="V126" s="118"/>
      <c r="W126" s="116"/>
      <c r="X126" s="116"/>
      <c r="Y126" s="116"/>
      <c r="Z126" s="116"/>
      <c r="AA126" s="116"/>
      <c r="AB126" s="116"/>
      <c r="AC126" s="116"/>
      <c r="AD126" s="116"/>
      <c r="AE126" s="116"/>
      <c r="AF126" s="116"/>
      <c r="AG126" s="220"/>
      <c r="AH126" s="221"/>
      <c r="AI126" s="222"/>
      <c r="AJ126" s="223"/>
      <c r="AK126" s="224"/>
      <c r="AL126" s="221"/>
      <c r="AM126" s="223"/>
      <c r="AN126" s="224"/>
      <c r="AO126" s="225"/>
      <c r="AP126" s="226"/>
      <c r="AQ126" s="227"/>
      <c r="AR126" s="224"/>
      <c r="AS126" s="225"/>
      <c r="AT126" s="228"/>
      <c r="AU126" s="227"/>
    </row>
    <row r="127" spans="1:47" x14ac:dyDescent="0.3">
      <c r="A127" s="215"/>
      <c r="B127" s="126"/>
      <c r="C127" s="115"/>
      <c r="D127" s="116"/>
      <c r="E127" s="116"/>
      <c r="F127" s="116"/>
      <c r="G127" s="116"/>
      <c r="H127" s="116"/>
      <c r="I127" s="116"/>
      <c r="J127" s="116"/>
      <c r="K127" s="116"/>
      <c r="L127" s="116"/>
      <c r="M127" s="116"/>
      <c r="N127" s="116"/>
      <c r="O127" s="116"/>
      <c r="P127" s="116"/>
      <c r="Q127" s="117"/>
      <c r="R127" s="116"/>
      <c r="S127" s="116"/>
      <c r="T127" s="116"/>
      <c r="U127" s="116"/>
      <c r="V127" s="118"/>
      <c r="W127" s="116"/>
      <c r="X127" s="116"/>
      <c r="Y127" s="116"/>
      <c r="Z127" s="116"/>
      <c r="AA127" s="116"/>
      <c r="AB127" s="116"/>
      <c r="AC127" s="116"/>
      <c r="AD127" s="116"/>
      <c r="AE127" s="116"/>
      <c r="AF127" s="116"/>
      <c r="AG127" s="220"/>
      <c r="AH127" s="221"/>
      <c r="AI127" s="222"/>
      <c r="AJ127" s="223"/>
      <c r="AK127" s="224"/>
      <c r="AL127" s="221"/>
      <c r="AM127" s="223"/>
      <c r="AN127" s="224"/>
      <c r="AO127" s="225"/>
      <c r="AP127" s="226"/>
      <c r="AQ127" s="227"/>
      <c r="AR127" s="224"/>
      <c r="AS127" s="225"/>
      <c r="AT127" s="228"/>
      <c r="AU127" s="227"/>
    </row>
    <row r="128" spans="1:47" x14ac:dyDescent="0.3">
      <c r="A128" s="215"/>
      <c r="B128" s="126"/>
      <c r="C128" s="115"/>
      <c r="D128" s="116"/>
      <c r="E128" s="116"/>
      <c r="F128" s="116"/>
      <c r="G128" s="116"/>
      <c r="H128" s="116"/>
      <c r="I128" s="116"/>
      <c r="J128" s="116"/>
      <c r="K128" s="116"/>
      <c r="L128" s="116"/>
      <c r="M128" s="116"/>
      <c r="N128" s="116"/>
      <c r="O128" s="116"/>
      <c r="P128" s="116"/>
      <c r="Q128" s="117"/>
      <c r="R128" s="116"/>
      <c r="S128" s="116"/>
      <c r="T128" s="116"/>
      <c r="U128" s="116"/>
      <c r="V128" s="118"/>
      <c r="W128" s="116"/>
      <c r="X128" s="116"/>
      <c r="Y128" s="116"/>
      <c r="Z128" s="116"/>
      <c r="AA128" s="116"/>
      <c r="AB128" s="116"/>
      <c r="AC128" s="116"/>
      <c r="AD128" s="116"/>
      <c r="AE128" s="116"/>
      <c r="AF128" s="116"/>
      <c r="AG128" s="220"/>
      <c r="AH128" s="221"/>
      <c r="AI128" s="222"/>
      <c r="AJ128" s="223"/>
      <c r="AK128" s="224"/>
      <c r="AL128" s="221"/>
      <c r="AM128" s="223"/>
      <c r="AN128" s="224"/>
      <c r="AO128" s="225"/>
      <c r="AP128" s="226"/>
      <c r="AQ128" s="227"/>
      <c r="AR128" s="224"/>
      <c r="AS128" s="225"/>
      <c r="AT128" s="228"/>
      <c r="AU128" s="227"/>
    </row>
    <row r="129" spans="1:47" x14ac:dyDescent="0.3">
      <c r="A129" s="215"/>
      <c r="B129" s="126"/>
      <c r="C129" s="115"/>
      <c r="D129" s="116"/>
      <c r="E129" s="116"/>
      <c r="F129" s="116"/>
      <c r="G129" s="116"/>
      <c r="H129" s="116"/>
      <c r="I129" s="116"/>
      <c r="J129" s="116"/>
      <c r="K129" s="116"/>
      <c r="L129" s="116"/>
      <c r="M129" s="116"/>
      <c r="N129" s="116"/>
      <c r="O129" s="116"/>
      <c r="P129" s="116"/>
      <c r="Q129" s="117"/>
      <c r="R129" s="116"/>
      <c r="S129" s="116"/>
      <c r="T129" s="116"/>
      <c r="U129" s="116"/>
      <c r="V129" s="118"/>
      <c r="W129" s="116"/>
      <c r="X129" s="116"/>
      <c r="Y129" s="116"/>
      <c r="Z129" s="116"/>
      <c r="AA129" s="116"/>
      <c r="AB129" s="116"/>
      <c r="AC129" s="116"/>
      <c r="AD129" s="116"/>
      <c r="AE129" s="116"/>
      <c r="AF129" s="116"/>
      <c r="AG129" s="220"/>
      <c r="AH129" s="221"/>
      <c r="AI129" s="222"/>
      <c r="AJ129" s="223"/>
      <c r="AK129" s="224"/>
      <c r="AL129" s="221"/>
      <c r="AM129" s="223"/>
      <c r="AN129" s="224"/>
      <c r="AO129" s="225"/>
      <c r="AP129" s="226"/>
      <c r="AQ129" s="227"/>
      <c r="AR129" s="224"/>
      <c r="AS129" s="225"/>
      <c r="AT129" s="228"/>
      <c r="AU129" s="227"/>
    </row>
    <row r="130" spans="1:47" x14ac:dyDescent="0.3">
      <c r="A130" s="215"/>
      <c r="B130" s="126"/>
      <c r="C130" s="115"/>
      <c r="D130" s="116"/>
      <c r="E130" s="116"/>
      <c r="F130" s="116"/>
      <c r="G130" s="116"/>
      <c r="H130" s="116"/>
      <c r="I130" s="116"/>
      <c r="J130" s="116"/>
      <c r="K130" s="116"/>
      <c r="L130" s="116"/>
      <c r="M130" s="116"/>
      <c r="N130" s="116"/>
      <c r="O130" s="116"/>
      <c r="P130" s="116"/>
      <c r="Q130" s="117"/>
      <c r="R130" s="116"/>
      <c r="S130" s="116"/>
      <c r="T130" s="116"/>
      <c r="U130" s="116"/>
      <c r="V130" s="118"/>
      <c r="W130" s="116"/>
      <c r="X130" s="116"/>
      <c r="Y130" s="116"/>
      <c r="Z130" s="116"/>
      <c r="AA130" s="116"/>
      <c r="AB130" s="116"/>
      <c r="AC130" s="116"/>
      <c r="AD130" s="116"/>
      <c r="AE130" s="116"/>
      <c r="AF130" s="116"/>
      <c r="AG130" s="220"/>
      <c r="AH130" s="221"/>
      <c r="AI130" s="222"/>
      <c r="AJ130" s="223"/>
      <c r="AK130" s="224"/>
      <c r="AL130" s="221"/>
      <c r="AM130" s="223"/>
      <c r="AN130" s="224"/>
      <c r="AO130" s="225"/>
      <c r="AP130" s="226"/>
      <c r="AQ130" s="227"/>
      <c r="AR130" s="224"/>
      <c r="AS130" s="225"/>
      <c r="AT130" s="228"/>
      <c r="AU130" s="227"/>
    </row>
    <row r="131" spans="1:47" x14ac:dyDescent="0.3">
      <c r="A131" s="215"/>
      <c r="B131" s="126"/>
      <c r="C131" s="115"/>
      <c r="D131" s="116"/>
      <c r="E131" s="116"/>
      <c r="F131" s="116"/>
      <c r="G131" s="116"/>
      <c r="H131" s="116"/>
      <c r="I131" s="116"/>
      <c r="J131" s="116"/>
      <c r="K131" s="116"/>
      <c r="L131" s="116"/>
      <c r="M131" s="116"/>
      <c r="N131" s="116"/>
      <c r="O131" s="116"/>
      <c r="P131" s="116"/>
      <c r="Q131" s="117"/>
      <c r="R131" s="116"/>
      <c r="S131" s="116"/>
      <c r="T131" s="116"/>
      <c r="U131" s="116"/>
      <c r="V131" s="118"/>
      <c r="W131" s="116"/>
      <c r="X131" s="116"/>
      <c r="Y131" s="116"/>
      <c r="Z131" s="116"/>
      <c r="AA131" s="116"/>
      <c r="AB131" s="116"/>
      <c r="AC131" s="116"/>
      <c r="AD131" s="116"/>
      <c r="AE131" s="116"/>
      <c r="AF131" s="116"/>
      <c r="AG131" s="220"/>
      <c r="AH131" s="221"/>
      <c r="AI131" s="222"/>
      <c r="AJ131" s="223"/>
      <c r="AK131" s="224"/>
      <c r="AL131" s="221"/>
      <c r="AM131" s="223"/>
      <c r="AN131" s="224"/>
      <c r="AO131" s="225"/>
      <c r="AP131" s="226"/>
      <c r="AQ131" s="227"/>
      <c r="AR131" s="224"/>
      <c r="AS131" s="225"/>
      <c r="AT131" s="228"/>
      <c r="AU131" s="227"/>
    </row>
    <row r="132" spans="1:47" x14ac:dyDescent="0.3">
      <c r="A132" s="215"/>
      <c r="B132" s="126"/>
      <c r="C132" s="115"/>
      <c r="D132" s="116"/>
      <c r="E132" s="116"/>
      <c r="F132" s="116"/>
      <c r="G132" s="116"/>
      <c r="H132" s="116"/>
      <c r="I132" s="116"/>
      <c r="J132" s="116"/>
      <c r="K132" s="116"/>
      <c r="L132" s="116"/>
      <c r="M132" s="116"/>
      <c r="N132" s="116"/>
      <c r="O132" s="116"/>
      <c r="P132" s="116"/>
      <c r="Q132" s="218"/>
      <c r="R132" s="116"/>
      <c r="S132" s="116"/>
      <c r="T132" s="116"/>
      <c r="U132" s="116"/>
      <c r="V132" s="164"/>
      <c r="W132" s="219"/>
      <c r="X132" s="219"/>
      <c r="Y132" s="219"/>
      <c r="Z132" s="219"/>
      <c r="AA132" s="219"/>
      <c r="AB132" s="219"/>
      <c r="AC132" s="219"/>
      <c r="AD132" s="219"/>
      <c r="AE132" s="219"/>
      <c r="AF132" s="219"/>
      <c r="AG132" s="220"/>
      <c r="AH132" s="221"/>
      <c r="AI132" s="222"/>
      <c r="AJ132" s="223"/>
      <c r="AK132" s="224"/>
      <c r="AL132" s="221"/>
      <c r="AM132" s="223"/>
      <c r="AN132" s="224"/>
      <c r="AO132" s="225"/>
      <c r="AP132" s="226"/>
      <c r="AQ132" s="227"/>
      <c r="AR132" s="224"/>
      <c r="AS132" s="225"/>
      <c r="AT132" s="228"/>
      <c r="AU132" s="227"/>
    </row>
    <row r="133" spans="1:47" x14ac:dyDescent="0.3">
      <c r="A133" s="215"/>
      <c r="B133" s="126"/>
      <c r="C133" s="115"/>
      <c r="D133" s="116"/>
      <c r="E133" s="116"/>
      <c r="F133" s="116"/>
      <c r="G133" s="116"/>
      <c r="H133" s="116"/>
      <c r="I133" s="116"/>
      <c r="J133" s="116"/>
      <c r="K133" s="116"/>
      <c r="L133" s="116"/>
      <c r="M133" s="116"/>
      <c r="N133" s="116"/>
      <c r="O133" s="116"/>
      <c r="P133" s="116"/>
      <c r="Q133" s="218"/>
      <c r="R133" s="116"/>
      <c r="S133" s="116"/>
      <c r="T133" s="116"/>
      <c r="U133" s="116"/>
      <c r="V133" s="164"/>
      <c r="W133" s="219"/>
      <c r="X133" s="219"/>
      <c r="Y133" s="219"/>
      <c r="Z133" s="219"/>
      <c r="AA133" s="219"/>
      <c r="AB133" s="219"/>
      <c r="AC133" s="219"/>
      <c r="AD133" s="219"/>
      <c r="AE133" s="219"/>
      <c r="AF133" s="219"/>
      <c r="AG133" s="220"/>
      <c r="AH133" s="221"/>
      <c r="AI133" s="222"/>
      <c r="AJ133" s="223"/>
      <c r="AK133" s="224"/>
      <c r="AL133" s="221"/>
      <c r="AM133" s="223"/>
      <c r="AN133" s="224"/>
      <c r="AO133" s="225"/>
      <c r="AP133" s="226"/>
      <c r="AQ133" s="227"/>
      <c r="AR133" s="224"/>
      <c r="AS133" s="225"/>
      <c r="AT133" s="228"/>
      <c r="AU133" s="227"/>
    </row>
    <row r="134" spans="1:47" x14ac:dyDescent="0.3">
      <c r="A134" s="215"/>
      <c r="B134" s="126"/>
      <c r="C134" s="115"/>
      <c r="D134" s="116"/>
      <c r="E134" s="116"/>
      <c r="F134" s="116"/>
      <c r="G134" s="116"/>
      <c r="H134" s="116"/>
      <c r="I134" s="116"/>
      <c r="J134" s="116"/>
      <c r="K134" s="116"/>
      <c r="L134" s="116"/>
      <c r="M134" s="116"/>
      <c r="N134" s="116"/>
      <c r="O134" s="116"/>
      <c r="P134" s="116"/>
      <c r="Q134" s="218"/>
      <c r="AH134" s="221"/>
      <c r="AI134" s="222"/>
      <c r="AJ134" s="223"/>
      <c r="AL134" s="221"/>
      <c r="AM134" s="223"/>
      <c r="AO134" s="225"/>
      <c r="AP134" s="226"/>
      <c r="AQ134" s="227"/>
      <c r="AS134" s="225"/>
      <c r="AT134" s="228"/>
      <c r="AU134" s="227"/>
    </row>
    <row r="135" spans="1:47" x14ac:dyDescent="0.3">
      <c r="A135" s="215"/>
      <c r="B135" s="126"/>
      <c r="Q135" s="218"/>
    </row>
    <row r="136" spans="1:47" x14ac:dyDescent="0.3">
      <c r="A136" s="215"/>
      <c r="B136" s="126"/>
      <c r="Q136" s="218"/>
    </row>
    <row r="137" spans="1:47" x14ac:dyDescent="0.3">
      <c r="A137" s="215"/>
      <c r="B137" s="126"/>
      <c r="Q137" s="218"/>
    </row>
    <row r="138" spans="1:47" x14ac:dyDescent="0.3">
      <c r="A138" s="215"/>
      <c r="B138" s="126"/>
      <c r="Q138" s="218"/>
    </row>
    <row r="139" spans="1:47" x14ac:dyDescent="0.3">
      <c r="A139" s="215"/>
      <c r="B139" s="126"/>
      <c r="Q139" s="218"/>
    </row>
    <row r="140" spans="1:47" x14ac:dyDescent="0.3">
      <c r="A140" s="215"/>
      <c r="B140" s="126"/>
      <c r="Q140" s="218"/>
    </row>
    <row r="141" spans="1:47" x14ac:dyDescent="0.3">
      <c r="A141" s="215"/>
      <c r="B141" s="126"/>
      <c r="Q141" s="218"/>
    </row>
    <row r="142" spans="1:47" x14ac:dyDescent="0.3">
      <c r="A142" s="215"/>
      <c r="B142" s="126"/>
      <c r="Q142" s="218"/>
    </row>
    <row r="143" spans="1:47" x14ac:dyDescent="0.3">
      <c r="A143" s="215"/>
      <c r="B143" s="126"/>
      <c r="Q143" s="218"/>
    </row>
    <row r="144" spans="1:47" x14ac:dyDescent="0.3">
      <c r="A144" s="215"/>
      <c r="B144" s="126"/>
      <c r="Q144" s="218"/>
    </row>
    <row r="145" spans="1:17" x14ac:dyDescent="0.3">
      <c r="A145" s="215"/>
      <c r="B145" s="126"/>
      <c r="Q145" s="218"/>
    </row>
    <row r="146" spans="1:17" x14ac:dyDescent="0.3">
      <c r="A146" s="215"/>
      <c r="B146" s="126"/>
      <c r="Q146" s="218"/>
    </row>
    <row r="147" spans="1:17" x14ac:dyDescent="0.3">
      <c r="A147" s="215"/>
      <c r="B147" s="126"/>
      <c r="Q147" s="218"/>
    </row>
    <row r="148" spans="1:17" x14ac:dyDescent="0.3">
      <c r="A148" s="215"/>
      <c r="B148" s="126"/>
      <c r="Q148" s="218"/>
    </row>
    <row r="149" spans="1:17" x14ac:dyDescent="0.3">
      <c r="A149" s="215"/>
      <c r="B149" s="126"/>
      <c r="Q149" s="218"/>
    </row>
    <row r="150" spans="1:17" x14ac:dyDescent="0.3">
      <c r="A150" s="215"/>
      <c r="B150" s="126"/>
      <c r="Q150" s="218"/>
    </row>
    <row r="151" spans="1:17" x14ac:dyDescent="0.3">
      <c r="A151" s="215"/>
      <c r="B151" s="126"/>
      <c r="Q151" s="218"/>
    </row>
    <row r="152" spans="1:17" x14ac:dyDescent="0.3">
      <c r="A152" s="215"/>
      <c r="B152" s="126"/>
      <c r="Q152" s="218"/>
    </row>
    <row r="153" spans="1:17" x14ac:dyDescent="0.3">
      <c r="A153" s="215"/>
      <c r="B153" s="126"/>
      <c r="Q153" s="218"/>
    </row>
    <row r="154" spans="1:17" x14ac:dyDescent="0.3">
      <c r="A154" s="215"/>
      <c r="B154" s="126"/>
      <c r="Q154" s="218"/>
    </row>
    <row r="155" spans="1:17" x14ac:dyDescent="0.3">
      <c r="A155" s="215"/>
      <c r="B155" s="126"/>
      <c r="Q155" s="218"/>
    </row>
    <row r="156" spans="1:17" x14ac:dyDescent="0.3">
      <c r="A156" s="215"/>
      <c r="B156" s="126"/>
      <c r="Q156" s="218"/>
    </row>
    <row r="157" spans="1:17" x14ac:dyDescent="0.3">
      <c r="A157" s="215"/>
      <c r="B157" s="126"/>
      <c r="Q157" s="218"/>
    </row>
    <row r="158" spans="1:17" x14ac:dyDescent="0.3">
      <c r="A158" s="215"/>
      <c r="B158" s="126"/>
      <c r="Q158" s="218"/>
    </row>
    <row r="159" spans="1:17" x14ac:dyDescent="0.3">
      <c r="A159" s="215"/>
      <c r="B159" s="126"/>
      <c r="Q159" s="218"/>
    </row>
    <row r="160" spans="1:17" x14ac:dyDescent="0.3">
      <c r="A160" s="215"/>
      <c r="B160" s="126"/>
      <c r="Q160" s="218"/>
    </row>
    <row r="161" spans="1:17" x14ac:dyDescent="0.3">
      <c r="A161" s="215"/>
      <c r="B161" s="126"/>
      <c r="Q161" s="218"/>
    </row>
    <row r="162" spans="1:17" x14ac:dyDescent="0.3">
      <c r="A162" s="215"/>
      <c r="B162" s="126"/>
      <c r="Q162" s="218"/>
    </row>
    <row r="163" spans="1:17" x14ac:dyDescent="0.3">
      <c r="A163" s="215"/>
      <c r="B163" s="126"/>
      <c r="Q163" s="218"/>
    </row>
    <row r="164" spans="1:17" x14ac:dyDescent="0.3">
      <c r="A164" s="215"/>
      <c r="B164" s="126"/>
      <c r="Q164" s="218"/>
    </row>
    <row r="165" spans="1:17" x14ac:dyDescent="0.3">
      <c r="A165" s="215"/>
      <c r="B165" s="126"/>
      <c r="Q165" s="218"/>
    </row>
    <row r="166" spans="1:17" x14ac:dyDescent="0.3">
      <c r="A166" s="215"/>
      <c r="B166" s="126"/>
      <c r="Q166" s="218"/>
    </row>
    <row r="167" spans="1:17" x14ac:dyDescent="0.3">
      <c r="A167" s="215"/>
      <c r="B167" s="126"/>
      <c r="Q167" s="218"/>
    </row>
    <row r="168" spans="1:17" x14ac:dyDescent="0.3">
      <c r="A168" s="215"/>
      <c r="B168" s="126"/>
      <c r="Q168" s="218"/>
    </row>
    <row r="169" spans="1:17" x14ac:dyDescent="0.3">
      <c r="A169" s="215"/>
      <c r="B169" s="126"/>
      <c r="Q169" s="218"/>
    </row>
    <row r="170" spans="1:17" x14ac:dyDescent="0.3">
      <c r="A170" s="215"/>
      <c r="B170" s="126"/>
      <c r="Q170" s="218"/>
    </row>
    <row r="171" spans="1:17" x14ac:dyDescent="0.3">
      <c r="A171" s="215"/>
      <c r="B171" s="126"/>
      <c r="Q171" s="218"/>
    </row>
    <row r="172" spans="1:17" x14ac:dyDescent="0.3">
      <c r="A172" s="215"/>
      <c r="B172" s="126"/>
      <c r="Q172" s="218"/>
    </row>
    <row r="173" spans="1:17" x14ac:dyDescent="0.3">
      <c r="A173" s="215"/>
      <c r="B173" s="126"/>
      <c r="Q173" s="218"/>
    </row>
    <row r="174" spans="1:17" x14ac:dyDescent="0.3">
      <c r="A174" s="215"/>
      <c r="B174" s="126"/>
      <c r="Q174" s="218"/>
    </row>
    <row r="175" spans="1:17" x14ac:dyDescent="0.3">
      <c r="A175" s="215"/>
      <c r="B175" s="126"/>
      <c r="Q175" s="218"/>
    </row>
    <row r="176" spans="1:17" x14ac:dyDescent="0.3">
      <c r="A176" s="215"/>
      <c r="B176" s="126"/>
      <c r="Q176" s="218"/>
    </row>
    <row r="177" spans="1:17" x14ac:dyDescent="0.3">
      <c r="A177" s="215"/>
      <c r="B177" s="126"/>
      <c r="Q177" s="218"/>
    </row>
    <row r="178" spans="1:17" x14ac:dyDescent="0.3">
      <c r="A178" s="215"/>
      <c r="B178" s="126"/>
      <c r="Q178" s="218"/>
    </row>
    <row r="179" spans="1:17" x14ac:dyDescent="0.3">
      <c r="A179" s="215"/>
      <c r="B179" s="126"/>
      <c r="Q179" s="218"/>
    </row>
    <row r="180" spans="1:17" x14ac:dyDescent="0.3">
      <c r="A180" s="215"/>
      <c r="B180" s="126"/>
      <c r="Q180" s="218"/>
    </row>
    <row r="181" spans="1:17" x14ac:dyDescent="0.3">
      <c r="A181" s="215"/>
      <c r="B181" s="126"/>
      <c r="Q181" s="218"/>
    </row>
    <row r="182" spans="1:17" x14ac:dyDescent="0.3">
      <c r="A182" s="215"/>
      <c r="B182" s="126"/>
      <c r="Q182" s="218"/>
    </row>
    <row r="183" spans="1:17" x14ac:dyDescent="0.3">
      <c r="A183" s="215"/>
      <c r="B183" s="126"/>
      <c r="Q183" s="218"/>
    </row>
    <row r="184" spans="1:17" x14ac:dyDescent="0.3">
      <c r="A184" s="215"/>
      <c r="B184" s="126"/>
      <c r="Q184" s="218"/>
    </row>
    <row r="185" spans="1:17" x14ac:dyDescent="0.3">
      <c r="A185" s="215"/>
      <c r="B185" s="126"/>
      <c r="Q185" s="218"/>
    </row>
    <row r="186" spans="1:17" x14ac:dyDescent="0.3">
      <c r="A186" s="215"/>
      <c r="B186" s="126"/>
      <c r="Q186" s="218"/>
    </row>
    <row r="187" spans="1:17" x14ac:dyDescent="0.3">
      <c r="A187" s="215"/>
      <c r="B187" s="126"/>
      <c r="Q187" s="218"/>
    </row>
    <row r="188" spans="1:17" x14ac:dyDescent="0.3">
      <c r="A188" s="215"/>
      <c r="B188" s="126"/>
      <c r="Q188" s="218"/>
    </row>
    <row r="189" spans="1:17" x14ac:dyDescent="0.3">
      <c r="A189" s="215"/>
      <c r="B189" s="126"/>
      <c r="Q189" s="218"/>
    </row>
    <row r="190" spans="1:17" x14ac:dyDescent="0.3">
      <c r="A190" s="215"/>
      <c r="B190" s="126"/>
      <c r="Q190" s="218"/>
    </row>
    <row r="191" spans="1:17" x14ac:dyDescent="0.3">
      <c r="A191" s="215"/>
      <c r="B191" s="126"/>
      <c r="Q191" s="218"/>
    </row>
    <row r="192" spans="1:17" x14ac:dyDescent="0.3">
      <c r="A192" s="215"/>
      <c r="B192" s="126"/>
      <c r="Q192" s="218"/>
    </row>
    <row r="193" spans="1:17" x14ac:dyDescent="0.3">
      <c r="A193" s="215"/>
      <c r="B193" s="126"/>
      <c r="Q193" s="218"/>
    </row>
    <row r="194" spans="1:17" x14ac:dyDescent="0.3">
      <c r="A194" s="215"/>
      <c r="B194" s="126"/>
      <c r="Q194" s="218"/>
    </row>
    <row r="195" spans="1:17" x14ac:dyDescent="0.3">
      <c r="A195" s="215"/>
      <c r="B195" s="126"/>
      <c r="Q195" s="218"/>
    </row>
    <row r="196" spans="1:17" x14ac:dyDescent="0.3">
      <c r="A196" s="215"/>
      <c r="B196" s="126"/>
      <c r="Q196" s="218"/>
    </row>
    <row r="197" spans="1:17" x14ac:dyDescent="0.3">
      <c r="A197" s="215"/>
      <c r="B197" s="126"/>
      <c r="Q197" s="218"/>
    </row>
    <row r="198" spans="1:17" x14ac:dyDescent="0.3">
      <c r="A198" s="215"/>
      <c r="B198" s="126"/>
      <c r="Q198" s="218"/>
    </row>
    <row r="199" spans="1:17" x14ac:dyDescent="0.3">
      <c r="A199" s="215"/>
      <c r="B199" s="126"/>
      <c r="Q199" s="218"/>
    </row>
    <row r="200" spans="1:17" x14ac:dyDescent="0.3">
      <c r="A200" s="215"/>
      <c r="B200" s="126"/>
      <c r="Q200" s="218"/>
    </row>
    <row r="201" spans="1:17" x14ac:dyDescent="0.3">
      <c r="A201" s="215"/>
      <c r="B201" s="126"/>
      <c r="Q201" s="218"/>
    </row>
    <row r="202" spans="1:17" x14ac:dyDescent="0.3">
      <c r="A202" s="215"/>
      <c r="B202" s="126"/>
      <c r="Q202" s="218"/>
    </row>
    <row r="203" spans="1:17" x14ac:dyDescent="0.3">
      <c r="A203" s="215"/>
      <c r="B203" s="126"/>
      <c r="Q203" s="218"/>
    </row>
    <row r="204" spans="1:17" x14ac:dyDescent="0.3">
      <c r="A204" s="215"/>
      <c r="B204" s="126"/>
      <c r="Q204" s="218"/>
    </row>
    <row r="205" spans="1:17" x14ac:dyDescent="0.3">
      <c r="A205" s="215"/>
      <c r="B205" s="126"/>
      <c r="Q205" s="218"/>
    </row>
    <row r="206" spans="1:17" x14ac:dyDescent="0.3">
      <c r="A206" s="215"/>
      <c r="B206" s="126"/>
      <c r="Q206" s="218"/>
    </row>
    <row r="207" spans="1:17" x14ac:dyDescent="0.3">
      <c r="A207" s="215"/>
      <c r="B207" s="126"/>
      <c r="Q207" s="218"/>
    </row>
    <row r="208" spans="1:17" x14ac:dyDescent="0.3">
      <c r="A208" s="215"/>
      <c r="B208" s="126"/>
      <c r="Q208" s="218"/>
    </row>
    <row r="209" spans="1:17" x14ac:dyDescent="0.3">
      <c r="A209" s="215"/>
      <c r="B209" s="126"/>
      <c r="Q209" s="218"/>
    </row>
    <row r="210" spans="1:17" x14ac:dyDescent="0.3">
      <c r="A210" s="215"/>
      <c r="B210" s="126"/>
      <c r="Q210" s="218"/>
    </row>
    <row r="211" spans="1:17" x14ac:dyDescent="0.3">
      <c r="A211" s="215"/>
      <c r="B211" s="126"/>
      <c r="Q211" s="218"/>
    </row>
    <row r="212" spans="1:17" x14ac:dyDescent="0.3">
      <c r="A212" s="215"/>
      <c r="B212" s="126"/>
      <c r="Q212" s="218"/>
    </row>
    <row r="213" spans="1:17" x14ac:dyDescent="0.3">
      <c r="A213" s="215"/>
      <c r="B213" s="126"/>
      <c r="Q213" s="218"/>
    </row>
    <row r="214" spans="1:17" x14ac:dyDescent="0.3">
      <c r="A214" s="215"/>
      <c r="B214" s="126"/>
      <c r="Q214" s="218"/>
    </row>
    <row r="215" spans="1:17" x14ac:dyDescent="0.3">
      <c r="A215" s="215"/>
      <c r="B215" s="126"/>
      <c r="Q215" s="218"/>
    </row>
    <row r="216" spans="1:17" x14ac:dyDescent="0.3">
      <c r="A216" s="215"/>
      <c r="B216" s="126"/>
      <c r="Q216" s="218"/>
    </row>
    <row r="217" spans="1:17" x14ac:dyDescent="0.3">
      <c r="A217" s="215"/>
      <c r="B217" s="126"/>
      <c r="Q217" s="218"/>
    </row>
    <row r="218" spans="1:17" x14ac:dyDescent="0.3">
      <c r="A218" s="215"/>
      <c r="B218" s="126"/>
      <c r="Q218" s="218"/>
    </row>
    <row r="219" spans="1:17" x14ac:dyDescent="0.3">
      <c r="A219" s="215"/>
      <c r="B219" s="126"/>
      <c r="Q219" s="218"/>
    </row>
    <row r="220" spans="1:17" x14ac:dyDescent="0.3">
      <c r="A220" s="215"/>
      <c r="B220" s="126"/>
      <c r="Q220" s="218"/>
    </row>
    <row r="221" spans="1:17" x14ac:dyDescent="0.3">
      <c r="A221" s="215"/>
      <c r="B221" s="126"/>
      <c r="Q221" s="218"/>
    </row>
    <row r="222" spans="1:17" x14ac:dyDescent="0.3">
      <c r="A222" s="215"/>
      <c r="B222" s="126"/>
      <c r="Q222" s="218"/>
    </row>
    <row r="223" spans="1:17" x14ac:dyDescent="0.3">
      <c r="A223" s="215"/>
      <c r="B223" s="126"/>
      <c r="Q223" s="218"/>
    </row>
    <row r="224" spans="1:17" x14ac:dyDescent="0.3">
      <c r="A224" s="215"/>
      <c r="B224" s="126"/>
      <c r="Q224" s="218"/>
    </row>
    <row r="225" spans="1:17" x14ac:dyDescent="0.3">
      <c r="A225" s="215"/>
      <c r="B225" s="126"/>
      <c r="Q225" s="218"/>
    </row>
    <row r="226" spans="1:17" x14ac:dyDescent="0.3">
      <c r="A226" s="215"/>
      <c r="B226" s="126"/>
      <c r="Q226" s="218"/>
    </row>
    <row r="227" spans="1:17" x14ac:dyDescent="0.3">
      <c r="A227" s="215"/>
      <c r="B227" s="126"/>
      <c r="Q227" s="218"/>
    </row>
    <row r="228" spans="1:17" x14ac:dyDescent="0.3">
      <c r="A228" s="215"/>
      <c r="B228" s="126"/>
      <c r="Q228" s="218"/>
    </row>
    <row r="229" spans="1:17" x14ac:dyDescent="0.3">
      <c r="A229" s="215"/>
      <c r="B229" s="126"/>
      <c r="Q229" s="218"/>
    </row>
    <row r="230" spans="1:17" x14ac:dyDescent="0.3">
      <c r="A230" s="215"/>
      <c r="B230" s="126"/>
      <c r="Q230" s="218"/>
    </row>
    <row r="231" spans="1:17" x14ac:dyDescent="0.3">
      <c r="A231" s="215"/>
      <c r="B231" s="126"/>
      <c r="Q231" s="218"/>
    </row>
    <row r="232" spans="1:17" x14ac:dyDescent="0.3">
      <c r="A232" s="215"/>
      <c r="B232" s="126"/>
      <c r="Q232" s="218"/>
    </row>
    <row r="233" spans="1:17" x14ac:dyDescent="0.3">
      <c r="A233" s="215"/>
      <c r="B233" s="126"/>
      <c r="Q233" s="218"/>
    </row>
    <row r="234" spans="1:17" x14ac:dyDescent="0.3">
      <c r="A234" s="215"/>
      <c r="B234" s="126"/>
      <c r="Q234" s="218"/>
    </row>
    <row r="235" spans="1:17" x14ac:dyDescent="0.3">
      <c r="A235" s="215"/>
      <c r="B235" s="126"/>
      <c r="Q235" s="218"/>
    </row>
    <row r="236" spans="1:17" x14ac:dyDescent="0.3">
      <c r="A236" s="215"/>
      <c r="B236" s="126"/>
      <c r="Q236" s="218"/>
    </row>
    <row r="237" spans="1:17" x14ac:dyDescent="0.3">
      <c r="A237" s="215"/>
      <c r="B237" s="126"/>
      <c r="Q237" s="218"/>
    </row>
    <row r="238" spans="1:17" x14ac:dyDescent="0.3">
      <c r="A238" s="215"/>
      <c r="B238" s="126"/>
      <c r="Q238" s="218"/>
    </row>
    <row r="239" spans="1:17" x14ac:dyDescent="0.3">
      <c r="A239" s="215"/>
      <c r="B239" s="126"/>
      <c r="Q239" s="218"/>
    </row>
    <row r="240" spans="1:17" x14ac:dyDescent="0.3">
      <c r="A240" s="215"/>
      <c r="B240" s="126"/>
      <c r="Q240" s="218"/>
    </row>
    <row r="241" spans="1:17" x14ac:dyDescent="0.3">
      <c r="A241" s="215"/>
      <c r="B241" s="126"/>
      <c r="Q241" s="218"/>
    </row>
    <row r="242" spans="1:17" x14ac:dyDescent="0.3">
      <c r="A242" s="215"/>
      <c r="B242" s="126"/>
      <c r="Q242" s="218"/>
    </row>
    <row r="243" spans="1:17" x14ac:dyDescent="0.3">
      <c r="A243" s="215"/>
      <c r="B243" s="126"/>
      <c r="Q243" s="218"/>
    </row>
    <row r="244" spans="1:17" x14ac:dyDescent="0.3">
      <c r="A244" s="215"/>
      <c r="B244" s="126"/>
      <c r="Q244" s="218"/>
    </row>
    <row r="245" spans="1:17" x14ac:dyDescent="0.3">
      <c r="A245" s="215"/>
      <c r="B245" s="126"/>
      <c r="Q245" s="218"/>
    </row>
    <row r="246" spans="1:17" x14ac:dyDescent="0.3">
      <c r="A246" s="215"/>
      <c r="B246" s="126"/>
      <c r="Q246" s="218"/>
    </row>
    <row r="247" spans="1:17" x14ac:dyDescent="0.3">
      <c r="A247" s="215"/>
      <c r="B247" s="126"/>
      <c r="Q247" s="218"/>
    </row>
    <row r="248" spans="1:17" x14ac:dyDescent="0.3">
      <c r="A248" s="215"/>
      <c r="B248" s="126"/>
      <c r="Q248" s="218"/>
    </row>
    <row r="249" spans="1:17" x14ac:dyDescent="0.3">
      <c r="A249" s="215"/>
      <c r="Q249" s="218"/>
    </row>
    <row r="250" spans="1:17" x14ac:dyDescent="0.3">
      <c r="A250" s="215"/>
      <c r="Q250" s="218"/>
    </row>
    <row r="251" spans="1:17" x14ac:dyDescent="0.3">
      <c r="A251" s="215"/>
      <c r="Q251" s="218"/>
    </row>
    <row r="252" spans="1:17" x14ac:dyDescent="0.3">
      <c r="A252" s="215"/>
      <c r="Q252" s="218"/>
    </row>
    <row r="253" spans="1:17" x14ac:dyDescent="0.3">
      <c r="A253" s="215"/>
      <c r="Q253" s="218"/>
    </row>
    <row r="254" spans="1:17" x14ac:dyDescent="0.3">
      <c r="A254" s="215"/>
      <c r="Q254" s="218"/>
    </row>
    <row r="255" spans="1:17" x14ac:dyDescent="0.3">
      <c r="A255" s="215"/>
      <c r="Q255" s="218"/>
    </row>
    <row r="256" spans="1:17" x14ac:dyDescent="0.3">
      <c r="A256" s="215"/>
      <c r="Q256" s="218"/>
    </row>
    <row r="257" spans="1:17" x14ac:dyDescent="0.3">
      <c r="A257" s="215"/>
      <c r="Q257" s="218"/>
    </row>
    <row r="258" spans="1:17" x14ac:dyDescent="0.3">
      <c r="A258" s="215"/>
      <c r="Q258" s="218"/>
    </row>
    <row r="259" spans="1:17" x14ac:dyDescent="0.3">
      <c r="A259" s="215"/>
      <c r="Q259" s="218"/>
    </row>
    <row r="260" spans="1:17" x14ac:dyDescent="0.3">
      <c r="A260" s="215"/>
      <c r="Q260" s="218"/>
    </row>
    <row r="261" spans="1:17" x14ac:dyDescent="0.3">
      <c r="A261" s="215"/>
      <c r="Q261" s="218"/>
    </row>
    <row r="262" spans="1:17" x14ac:dyDescent="0.3">
      <c r="A262" s="215"/>
      <c r="Q262" s="218"/>
    </row>
    <row r="263" spans="1:17" x14ac:dyDescent="0.3">
      <c r="A263" s="215"/>
      <c r="Q263" s="218"/>
    </row>
    <row r="264" spans="1:17" x14ac:dyDescent="0.3">
      <c r="A264" s="215"/>
      <c r="Q264" s="218"/>
    </row>
    <row r="265" spans="1:17" x14ac:dyDescent="0.3">
      <c r="A265" s="215"/>
      <c r="Q265" s="218"/>
    </row>
    <row r="266" spans="1:17" x14ac:dyDescent="0.3">
      <c r="A266" s="215"/>
      <c r="Q266" s="218"/>
    </row>
    <row r="267" spans="1:17" x14ac:dyDescent="0.3">
      <c r="A267" s="215"/>
      <c r="Q267" s="218"/>
    </row>
    <row r="268" spans="1:17" x14ac:dyDescent="0.3">
      <c r="A268" s="215"/>
      <c r="Q268" s="218"/>
    </row>
    <row r="269" spans="1:17" x14ac:dyDescent="0.3">
      <c r="A269" s="215"/>
      <c r="Q269" s="218"/>
    </row>
    <row r="270" spans="1:17" x14ac:dyDescent="0.3">
      <c r="A270" s="215"/>
      <c r="Q270" s="218"/>
    </row>
    <row r="271" spans="1:17" x14ac:dyDescent="0.3">
      <c r="A271" s="215"/>
      <c r="Q271" s="218"/>
    </row>
    <row r="272" spans="1:17" x14ac:dyDescent="0.3">
      <c r="A272" s="215"/>
      <c r="Q272" s="218"/>
    </row>
    <row r="273" spans="1:17" x14ac:dyDescent="0.3">
      <c r="A273" s="215"/>
      <c r="Q273" s="218"/>
    </row>
    <row r="274" spans="1:17" x14ac:dyDescent="0.3">
      <c r="A274" s="215"/>
      <c r="Q274" s="218"/>
    </row>
    <row r="275" spans="1:17" x14ac:dyDescent="0.3">
      <c r="A275" s="215"/>
      <c r="Q275" s="218"/>
    </row>
    <row r="276" spans="1:17" x14ac:dyDescent="0.3">
      <c r="A276" s="215"/>
      <c r="Q276" s="218"/>
    </row>
    <row r="277" spans="1:17" x14ac:dyDescent="0.3">
      <c r="A277" s="215"/>
      <c r="Q277" s="218"/>
    </row>
    <row r="278" spans="1:17" x14ac:dyDescent="0.3">
      <c r="A278" s="215"/>
      <c r="Q278" s="218"/>
    </row>
    <row r="279" spans="1:17" x14ac:dyDescent="0.3">
      <c r="A279" s="215"/>
      <c r="Q279" s="218"/>
    </row>
    <row r="280" spans="1:17" x14ac:dyDescent="0.3">
      <c r="A280" s="215"/>
      <c r="Q280" s="218"/>
    </row>
    <row r="281" spans="1:17" x14ac:dyDescent="0.3">
      <c r="A281" s="215"/>
      <c r="Q281" s="218"/>
    </row>
    <row r="282" spans="1:17" x14ac:dyDescent="0.3">
      <c r="A282" s="215"/>
      <c r="Q282" s="218"/>
    </row>
    <row r="283" spans="1:17" x14ac:dyDescent="0.3">
      <c r="A283" s="215"/>
      <c r="Q283" s="218"/>
    </row>
    <row r="284" spans="1:17" x14ac:dyDescent="0.3">
      <c r="A284" s="215"/>
      <c r="Q284" s="218"/>
    </row>
    <row r="285" spans="1:17" x14ac:dyDescent="0.3">
      <c r="A285" s="215"/>
      <c r="Q285" s="218"/>
    </row>
    <row r="286" spans="1:17" x14ac:dyDescent="0.3">
      <c r="A286" s="215"/>
      <c r="Q286" s="218"/>
    </row>
    <row r="287" spans="1:17" x14ac:dyDescent="0.3">
      <c r="A287" s="215"/>
      <c r="Q287" s="218"/>
    </row>
    <row r="288" spans="1:17" x14ac:dyDescent="0.3">
      <c r="A288" s="215"/>
      <c r="Q288" s="218"/>
    </row>
    <row r="289" spans="1:17" x14ac:dyDescent="0.3">
      <c r="A289" s="215"/>
      <c r="Q289" s="218"/>
    </row>
    <row r="290" spans="1:17" x14ac:dyDescent="0.3">
      <c r="A290" s="215"/>
      <c r="Q290" s="218"/>
    </row>
    <row r="291" spans="1:17" x14ac:dyDescent="0.3">
      <c r="A291" s="215"/>
      <c r="Q291" s="218"/>
    </row>
    <row r="292" spans="1:17" x14ac:dyDescent="0.3">
      <c r="A292" s="215"/>
      <c r="Q292" s="218"/>
    </row>
    <row r="293" spans="1:17" x14ac:dyDescent="0.3">
      <c r="A293" s="215"/>
      <c r="Q293" s="218"/>
    </row>
    <row r="294" spans="1:17" x14ac:dyDescent="0.3">
      <c r="A294" s="215"/>
      <c r="Q294" s="218"/>
    </row>
    <row r="295" spans="1:17" x14ac:dyDescent="0.3">
      <c r="A295" s="215"/>
      <c r="Q295" s="218"/>
    </row>
    <row r="296" spans="1:17" x14ac:dyDescent="0.3">
      <c r="A296" s="215"/>
      <c r="Q296" s="218"/>
    </row>
    <row r="297" spans="1:17" x14ac:dyDescent="0.3">
      <c r="A297" s="215"/>
      <c r="Q297" s="218"/>
    </row>
    <row r="298" spans="1:17" x14ac:dyDescent="0.3">
      <c r="A298" s="215"/>
      <c r="Q298" s="218"/>
    </row>
    <row r="299" spans="1:17" x14ac:dyDescent="0.3">
      <c r="A299" s="215"/>
      <c r="Q299" s="218"/>
    </row>
    <row r="300" spans="1:17" x14ac:dyDescent="0.3">
      <c r="A300" s="215"/>
      <c r="Q300" s="218"/>
    </row>
    <row r="301" spans="1:17" x14ac:dyDescent="0.3">
      <c r="A301" s="215"/>
      <c r="Q301" s="218"/>
    </row>
    <row r="302" spans="1:17" x14ac:dyDescent="0.3">
      <c r="A302" s="215"/>
      <c r="Q302" s="218"/>
    </row>
    <row r="303" spans="1:17" x14ac:dyDescent="0.3">
      <c r="A303" s="215"/>
      <c r="Q303" s="218"/>
    </row>
    <row r="304" spans="1:17" x14ac:dyDescent="0.3">
      <c r="A304" s="215"/>
      <c r="Q304" s="218"/>
    </row>
    <row r="305" spans="1:17" x14ac:dyDescent="0.3">
      <c r="A305" s="215"/>
      <c r="Q305" s="218"/>
    </row>
    <row r="306" spans="1:17" x14ac:dyDescent="0.3">
      <c r="A306" s="215"/>
      <c r="Q306" s="218"/>
    </row>
    <row r="307" spans="1:17" x14ac:dyDescent="0.3">
      <c r="A307" s="215"/>
      <c r="Q307" s="218"/>
    </row>
    <row r="308" spans="1:17" x14ac:dyDescent="0.3">
      <c r="A308" s="215"/>
      <c r="Q308" s="218"/>
    </row>
    <row r="309" spans="1:17" x14ac:dyDescent="0.3">
      <c r="A309" s="215"/>
      <c r="Q309" s="218"/>
    </row>
    <row r="310" spans="1:17" x14ac:dyDescent="0.3">
      <c r="A310" s="215"/>
      <c r="Q310" s="218"/>
    </row>
    <row r="311" spans="1:17" x14ac:dyDescent="0.3">
      <c r="A311" s="215"/>
      <c r="Q311" s="218"/>
    </row>
    <row r="312" spans="1:17" x14ac:dyDescent="0.3">
      <c r="A312" s="215"/>
      <c r="Q312" s="218"/>
    </row>
    <row r="313" spans="1:17" x14ac:dyDescent="0.3">
      <c r="A313" s="215"/>
      <c r="Q313" s="218"/>
    </row>
    <row r="314" spans="1:17" x14ac:dyDescent="0.3">
      <c r="A314" s="215"/>
      <c r="Q314" s="218"/>
    </row>
    <row r="315" spans="1:17" x14ac:dyDescent="0.3">
      <c r="A315" s="215"/>
      <c r="Q315" s="218"/>
    </row>
    <row r="316" spans="1:17" x14ac:dyDescent="0.3">
      <c r="A316" s="215"/>
      <c r="Q316" s="218"/>
    </row>
    <row r="317" spans="1:17" x14ac:dyDescent="0.3">
      <c r="A317" s="215"/>
      <c r="Q317" s="218"/>
    </row>
    <row r="318" spans="1:17" x14ac:dyDescent="0.3">
      <c r="A318" s="215"/>
      <c r="Q318" s="218"/>
    </row>
    <row r="319" spans="1:17" x14ac:dyDescent="0.3">
      <c r="A319" s="215"/>
      <c r="Q319" s="218"/>
    </row>
    <row r="320" spans="1:17" x14ac:dyDescent="0.3">
      <c r="A320" s="215"/>
      <c r="Q320" s="218"/>
    </row>
    <row r="321" spans="1:17" x14ac:dyDescent="0.3">
      <c r="A321" s="215"/>
      <c r="Q321" s="218"/>
    </row>
    <row r="322" spans="1:17" x14ac:dyDescent="0.3">
      <c r="A322" s="215"/>
      <c r="Q322" s="218"/>
    </row>
    <row r="323" spans="1:17" x14ac:dyDescent="0.3">
      <c r="A323" s="215"/>
      <c r="Q323" s="218"/>
    </row>
    <row r="324" spans="1:17" x14ac:dyDescent="0.3">
      <c r="A324" s="215"/>
      <c r="Q324" s="218"/>
    </row>
    <row r="325" spans="1:17" x14ac:dyDescent="0.3">
      <c r="A325" s="215"/>
      <c r="Q325" s="218"/>
    </row>
    <row r="326" spans="1:17" x14ac:dyDescent="0.3">
      <c r="A326" s="215"/>
      <c r="Q326" s="218"/>
    </row>
    <row r="327" spans="1:17" x14ac:dyDescent="0.3">
      <c r="A327" s="215"/>
      <c r="Q327" s="218"/>
    </row>
    <row r="328" spans="1:17" x14ac:dyDescent="0.3">
      <c r="A328" s="215"/>
      <c r="Q328" s="218"/>
    </row>
    <row r="329" spans="1:17" x14ac:dyDescent="0.3">
      <c r="A329" s="215"/>
      <c r="Q329" s="218"/>
    </row>
    <row r="330" spans="1:17" x14ac:dyDescent="0.3">
      <c r="A330" s="215"/>
      <c r="Q330" s="218"/>
    </row>
    <row r="331" spans="1:17" x14ac:dyDescent="0.3">
      <c r="A331" s="215"/>
      <c r="Q331" s="218"/>
    </row>
    <row r="332" spans="1:17" x14ac:dyDescent="0.3">
      <c r="A332" s="215"/>
      <c r="Q332" s="218"/>
    </row>
    <row r="333" spans="1:17" x14ac:dyDescent="0.3">
      <c r="A333" s="215"/>
      <c r="Q333" s="218"/>
    </row>
    <row r="334" spans="1:17" x14ac:dyDescent="0.3">
      <c r="A334" s="215"/>
      <c r="Q334" s="218"/>
    </row>
    <row r="335" spans="1:17" x14ac:dyDescent="0.3">
      <c r="A335" s="215"/>
      <c r="Q335" s="218"/>
    </row>
    <row r="336" spans="1:17" x14ac:dyDescent="0.3">
      <c r="A336" s="215"/>
      <c r="Q336" s="218"/>
    </row>
    <row r="337" spans="1:17" x14ac:dyDescent="0.3">
      <c r="A337" s="215"/>
      <c r="Q337" s="218"/>
    </row>
    <row r="338" spans="1:17" x14ac:dyDescent="0.3">
      <c r="A338" s="215"/>
      <c r="Q338" s="218"/>
    </row>
    <row r="339" spans="1:17" x14ac:dyDescent="0.3">
      <c r="A339" s="215"/>
      <c r="Q339" s="218"/>
    </row>
    <row r="340" spans="1:17" x14ac:dyDescent="0.3">
      <c r="A340" s="215"/>
      <c r="Q340" s="218"/>
    </row>
    <row r="341" spans="1:17" x14ac:dyDescent="0.3">
      <c r="A341" s="215"/>
      <c r="Q341" s="218"/>
    </row>
    <row r="342" spans="1:17" x14ac:dyDescent="0.3">
      <c r="A342" s="215"/>
      <c r="Q342" s="218"/>
    </row>
    <row r="343" spans="1:17" x14ac:dyDescent="0.3">
      <c r="A343" s="215"/>
      <c r="Q343" s="218"/>
    </row>
    <row r="344" spans="1:17" x14ac:dyDescent="0.3">
      <c r="A344" s="215"/>
      <c r="Q344" s="218"/>
    </row>
    <row r="345" spans="1:17" x14ac:dyDescent="0.3">
      <c r="A345" s="215"/>
      <c r="Q345" s="218"/>
    </row>
    <row r="346" spans="1:17" x14ac:dyDescent="0.3">
      <c r="A346" s="215"/>
      <c r="Q346" s="218"/>
    </row>
    <row r="347" spans="1:17" x14ac:dyDescent="0.3">
      <c r="A347" s="215"/>
      <c r="Q347" s="218"/>
    </row>
    <row r="348" spans="1:17" x14ac:dyDescent="0.3">
      <c r="A348" s="215"/>
      <c r="Q348" s="218"/>
    </row>
    <row r="349" spans="1:17" x14ac:dyDescent="0.3">
      <c r="A349" s="215"/>
      <c r="Q349" s="218"/>
    </row>
    <row r="350" spans="1:17" x14ac:dyDescent="0.3">
      <c r="A350" s="215"/>
      <c r="Q350" s="218"/>
    </row>
    <row r="351" spans="1:17" x14ac:dyDescent="0.3">
      <c r="A351" s="215"/>
      <c r="Q351" s="218"/>
    </row>
    <row r="352" spans="1:17" x14ac:dyDescent="0.3">
      <c r="A352" s="215"/>
      <c r="Q352" s="218"/>
    </row>
    <row r="353" spans="1:17" x14ac:dyDescent="0.3">
      <c r="A353" s="215"/>
      <c r="Q353" s="218"/>
    </row>
    <row r="354" spans="1:17" x14ac:dyDescent="0.3">
      <c r="A354" s="215"/>
      <c r="Q354" s="218"/>
    </row>
    <row r="355" spans="1:17" x14ac:dyDescent="0.3">
      <c r="A355" s="215"/>
      <c r="Q355" s="218"/>
    </row>
    <row r="356" spans="1:17" x14ac:dyDescent="0.3">
      <c r="A356" s="215"/>
      <c r="Q356" s="218"/>
    </row>
    <row r="357" spans="1:17" x14ac:dyDescent="0.3">
      <c r="A357" s="215"/>
      <c r="Q357" s="218"/>
    </row>
    <row r="358" spans="1:17" x14ac:dyDescent="0.3">
      <c r="A358" s="215"/>
      <c r="Q358" s="218"/>
    </row>
    <row r="359" spans="1:17" x14ac:dyDescent="0.3">
      <c r="A359" s="215"/>
      <c r="Q359" s="218"/>
    </row>
    <row r="360" spans="1:17" x14ac:dyDescent="0.3">
      <c r="A360" s="215"/>
      <c r="Q360" s="218"/>
    </row>
    <row r="361" spans="1:17" x14ac:dyDescent="0.3">
      <c r="A361" s="215"/>
      <c r="Q361" s="218"/>
    </row>
    <row r="362" spans="1:17" x14ac:dyDescent="0.3">
      <c r="A362" s="215"/>
      <c r="Q362" s="218"/>
    </row>
    <row r="363" spans="1:17" x14ac:dyDescent="0.3">
      <c r="A363" s="215"/>
      <c r="Q363" s="218"/>
    </row>
    <row r="364" spans="1:17" x14ac:dyDescent="0.3">
      <c r="A364" s="215"/>
      <c r="Q364" s="218"/>
    </row>
    <row r="365" spans="1:17" x14ac:dyDescent="0.3">
      <c r="A365" s="215"/>
      <c r="Q365" s="218"/>
    </row>
    <row r="366" spans="1:17" x14ac:dyDescent="0.3">
      <c r="A366" s="215"/>
      <c r="Q366" s="218"/>
    </row>
    <row r="367" spans="1:17" x14ac:dyDescent="0.3">
      <c r="A367" s="215"/>
      <c r="Q367" s="218"/>
    </row>
    <row r="368" spans="1:17" x14ac:dyDescent="0.3">
      <c r="A368" s="215"/>
      <c r="Q368" s="218"/>
    </row>
    <row r="369" spans="1:17" x14ac:dyDescent="0.3">
      <c r="A369" s="215"/>
      <c r="Q369" s="218"/>
    </row>
    <row r="370" spans="1:17" x14ac:dyDescent="0.3">
      <c r="A370" s="215"/>
      <c r="Q370" s="218"/>
    </row>
    <row r="371" spans="1:17" x14ac:dyDescent="0.3">
      <c r="A371" s="215"/>
      <c r="Q371" s="218"/>
    </row>
    <row r="372" spans="1:17" x14ac:dyDescent="0.3">
      <c r="A372" s="215"/>
      <c r="Q372" s="218"/>
    </row>
    <row r="373" spans="1:17" x14ac:dyDescent="0.3">
      <c r="A373" s="215"/>
      <c r="Q373" s="218"/>
    </row>
    <row r="374" spans="1:17" x14ac:dyDescent="0.3">
      <c r="A374" s="215"/>
      <c r="Q374" s="218"/>
    </row>
    <row r="375" spans="1:17" x14ac:dyDescent="0.3">
      <c r="A375" s="215"/>
      <c r="Q375" s="218"/>
    </row>
    <row r="376" spans="1:17" x14ac:dyDescent="0.3">
      <c r="A376" s="215"/>
      <c r="Q376" s="218"/>
    </row>
    <row r="377" spans="1:17" x14ac:dyDescent="0.3">
      <c r="A377" s="215"/>
      <c r="Q377" s="218"/>
    </row>
    <row r="378" spans="1:17" x14ac:dyDescent="0.3">
      <c r="A378" s="215"/>
      <c r="Q378" s="218"/>
    </row>
    <row r="379" spans="1:17" x14ac:dyDescent="0.3">
      <c r="A379" s="215"/>
      <c r="Q379" s="218"/>
    </row>
    <row r="380" spans="1:17" x14ac:dyDescent="0.3">
      <c r="A380" s="215"/>
      <c r="Q380" s="218"/>
    </row>
    <row r="381" spans="1:17" x14ac:dyDescent="0.3">
      <c r="A381" s="215"/>
      <c r="Q381" s="218"/>
    </row>
    <row r="382" spans="1:17" x14ac:dyDescent="0.3">
      <c r="A382" s="215"/>
      <c r="Q382" s="218"/>
    </row>
    <row r="383" spans="1:17" x14ac:dyDescent="0.3">
      <c r="A383" s="215"/>
      <c r="Q383" s="218"/>
    </row>
    <row r="384" spans="1:17" x14ac:dyDescent="0.3">
      <c r="A384" s="215"/>
      <c r="Q384" s="218"/>
    </row>
    <row r="385" spans="1:17" x14ac:dyDescent="0.3">
      <c r="A385" s="215"/>
      <c r="Q385" s="218"/>
    </row>
    <row r="386" spans="1:17" x14ac:dyDescent="0.3">
      <c r="A386" s="215"/>
      <c r="Q386" s="218"/>
    </row>
    <row r="387" spans="1:17" x14ac:dyDescent="0.3">
      <c r="A387" s="215"/>
      <c r="Q387" s="218"/>
    </row>
    <row r="388" spans="1:17" x14ac:dyDescent="0.3">
      <c r="A388" s="215"/>
      <c r="Q388" s="218"/>
    </row>
    <row r="389" spans="1:17" x14ac:dyDescent="0.3">
      <c r="A389" s="215"/>
      <c r="Q389" s="218"/>
    </row>
    <row r="390" spans="1:17" x14ac:dyDescent="0.3">
      <c r="A390" s="215"/>
      <c r="Q390" s="218"/>
    </row>
    <row r="391" spans="1:17" x14ac:dyDescent="0.3">
      <c r="A391" s="215"/>
      <c r="Q391" s="218"/>
    </row>
    <row r="392" spans="1:17" x14ac:dyDescent="0.3">
      <c r="A392" s="215"/>
      <c r="Q392" s="218"/>
    </row>
    <row r="393" spans="1:17" x14ac:dyDescent="0.3">
      <c r="A393" s="215"/>
      <c r="Q393" s="218"/>
    </row>
    <row r="394" spans="1:17" x14ac:dyDescent="0.3">
      <c r="A394" s="215"/>
      <c r="Q394" s="218"/>
    </row>
    <row r="395" spans="1:17" x14ac:dyDescent="0.3">
      <c r="A395" s="215"/>
      <c r="Q395" s="218"/>
    </row>
    <row r="396" spans="1:17" x14ac:dyDescent="0.3">
      <c r="A396" s="215"/>
      <c r="Q396" s="218"/>
    </row>
    <row r="397" spans="1:17" x14ac:dyDescent="0.3">
      <c r="A397" s="215"/>
      <c r="Q397" s="218"/>
    </row>
    <row r="398" spans="1:17" x14ac:dyDescent="0.3">
      <c r="A398" s="215"/>
      <c r="Q398" s="218"/>
    </row>
    <row r="399" spans="1:17" x14ac:dyDescent="0.3">
      <c r="A399" s="215"/>
      <c r="Q399" s="218"/>
    </row>
    <row r="400" spans="1:17" x14ac:dyDescent="0.3">
      <c r="A400" s="215"/>
      <c r="Q400" s="218"/>
    </row>
    <row r="401" spans="1:17" x14ac:dyDescent="0.3">
      <c r="A401" s="215"/>
      <c r="Q401" s="218"/>
    </row>
    <row r="402" spans="1:17" x14ac:dyDescent="0.3">
      <c r="A402" s="215"/>
      <c r="Q402" s="218"/>
    </row>
    <row r="403" spans="1:17" x14ac:dyDescent="0.3">
      <c r="A403" s="215"/>
      <c r="Q403" s="218"/>
    </row>
    <row r="404" spans="1:17" x14ac:dyDescent="0.3">
      <c r="A404" s="215"/>
      <c r="Q404" s="218"/>
    </row>
    <row r="405" spans="1:17" x14ac:dyDescent="0.3">
      <c r="A405" s="215"/>
      <c r="Q405" s="218"/>
    </row>
    <row r="406" spans="1:17" x14ac:dyDescent="0.3">
      <c r="A406" s="215"/>
      <c r="Q406" s="218"/>
    </row>
    <row r="407" spans="1:17" x14ac:dyDescent="0.3">
      <c r="A407" s="215"/>
      <c r="Q407" s="218"/>
    </row>
    <row r="408" spans="1:17" x14ac:dyDescent="0.3">
      <c r="A408" s="215"/>
      <c r="Q408" s="218"/>
    </row>
    <row r="409" spans="1:17" x14ac:dyDescent="0.3">
      <c r="A409" s="215"/>
      <c r="Q409" s="218"/>
    </row>
    <row r="410" spans="1:17" x14ac:dyDescent="0.3">
      <c r="A410" s="215"/>
      <c r="Q410" s="218"/>
    </row>
    <row r="411" spans="1:17" x14ac:dyDescent="0.3">
      <c r="A411" s="215"/>
      <c r="Q411" s="218"/>
    </row>
    <row r="412" spans="1:17" x14ac:dyDescent="0.3">
      <c r="A412" s="215"/>
      <c r="Q412" s="218"/>
    </row>
    <row r="413" spans="1:17" x14ac:dyDescent="0.3">
      <c r="A413" s="215"/>
      <c r="Q413" s="218"/>
    </row>
    <row r="414" spans="1:17" x14ac:dyDescent="0.3">
      <c r="A414" s="215"/>
      <c r="Q414" s="218"/>
    </row>
    <row r="415" spans="1:17" x14ac:dyDescent="0.3">
      <c r="A415" s="215"/>
      <c r="Q415" s="218"/>
    </row>
    <row r="416" spans="1:17" x14ac:dyDescent="0.3">
      <c r="A416" s="215"/>
      <c r="Q416" s="218"/>
    </row>
    <row r="417" spans="1:17" x14ac:dyDescent="0.3">
      <c r="A417" s="215"/>
      <c r="Q417" s="218"/>
    </row>
    <row r="418" spans="1:17" x14ac:dyDescent="0.3">
      <c r="A418" s="215"/>
      <c r="Q418" s="218"/>
    </row>
    <row r="419" spans="1:17" x14ac:dyDescent="0.3">
      <c r="A419" s="215"/>
      <c r="Q419" s="218"/>
    </row>
    <row r="420" spans="1:17" x14ac:dyDescent="0.3">
      <c r="A420" s="215"/>
      <c r="Q420" s="218"/>
    </row>
    <row r="421" spans="1:17" x14ac:dyDescent="0.3">
      <c r="A421" s="215"/>
      <c r="Q421" s="218"/>
    </row>
    <row r="422" spans="1:17" x14ac:dyDescent="0.3">
      <c r="A422" s="215"/>
      <c r="Q422" s="218"/>
    </row>
    <row r="423" spans="1:17" x14ac:dyDescent="0.3">
      <c r="A423" s="215"/>
      <c r="Q423" s="218"/>
    </row>
    <row r="424" spans="1:17" x14ac:dyDescent="0.3">
      <c r="A424" s="215"/>
      <c r="Q424" s="218"/>
    </row>
    <row r="425" spans="1:17" x14ac:dyDescent="0.3">
      <c r="A425" s="215"/>
      <c r="Q425" s="218"/>
    </row>
    <row r="426" spans="1:17" x14ac:dyDescent="0.3">
      <c r="A426" s="215"/>
      <c r="Q426" s="218"/>
    </row>
    <row r="427" spans="1:17" x14ac:dyDescent="0.3">
      <c r="A427" s="215"/>
      <c r="Q427" s="218"/>
    </row>
    <row r="428" spans="1:17" x14ac:dyDescent="0.3">
      <c r="A428" s="215"/>
      <c r="Q428" s="218"/>
    </row>
    <row r="429" spans="1:17" x14ac:dyDescent="0.3">
      <c r="A429" s="215"/>
      <c r="Q429" s="218"/>
    </row>
    <row r="430" spans="1:17" x14ac:dyDescent="0.3">
      <c r="A430" s="215"/>
      <c r="Q430" s="218"/>
    </row>
    <row r="431" spans="1:17" x14ac:dyDescent="0.3">
      <c r="A431" s="215"/>
      <c r="Q431" s="218"/>
    </row>
    <row r="432" spans="1:17" x14ac:dyDescent="0.3">
      <c r="A432" s="215"/>
      <c r="Q432" s="218"/>
    </row>
    <row r="433" spans="1:17" x14ac:dyDescent="0.3">
      <c r="A433" s="215"/>
      <c r="Q433" s="218"/>
    </row>
    <row r="434" spans="1:17" x14ac:dyDescent="0.3">
      <c r="A434" s="215"/>
      <c r="Q434" s="218"/>
    </row>
    <row r="435" spans="1:17" x14ac:dyDescent="0.3">
      <c r="A435" s="215"/>
      <c r="Q435" s="218"/>
    </row>
    <row r="436" spans="1:17" x14ac:dyDescent="0.3">
      <c r="A436" s="215"/>
      <c r="Q436" s="218"/>
    </row>
    <row r="437" spans="1:17" x14ac:dyDescent="0.3">
      <c r="A437" s="215"/>
      <c r="Q437" s="218"/>
    </row>
    <row r="438" spans="1:17" x14ac:dyDescent="0.3">
      <c r="A438" s="215"/>
      <c r="Q438" s="218"/>
    </row>
    <row r="439" spans="1:17" x14ac:dyDescent="0.3">
      <c r="A439" s="215"/>
      <c r="Q439" s="218"/>
    </row>
    <row r="440" spans="1:17" x14ac:dyDescent="0.3">
      <c r="A440" s="215"/>
      <c r="Q440" s="218"/>
    </row>
    <row r="441" spans="1:17" x14ac:dyDescent="0.3">
      <c r="A441" s="215"/>
      <c r="Q441" s="218"/>
    </row>
    <row r="442" spans="1:17" x14ac:dyDescent="0.3">
      <c r="A442" s="215"/>
      <c r="Q442" s="218"/>
    </row>
    <row r="443" spans="1:17" x14ac:dyDescent="0.3">
      <c r="A443" s="215"/>
      <c r="Q443" s="218"/>
    </row>
    <row r="444" spans="1:17" x14ac:dyDescent="0.3">
      <c r="A444" s="215"/>
      <c r="Q444" s="218"/>
    </row>
    <row r="445" spans="1:17" x14ac:dyDescent="0.3">
      <c r="A445" s="215"/>
      <c r="Q445" s="218"/>
    </row>
    <row r="446" spans="1:17" x14ac:dyDescent="0.3">
      <c r="A446" s="215"/>
      <c r="Q446" s="218"/>
    </row>
    <row r="447" spans="1:17" x14ac:dyDescent="0.3">
      <c r="A447" s="215"/>
      <c r="Q447" s="218"/>
    </row>
    <row r="448" spans="1:17" x14ac:dyDescent="0.3">
      <c r="A448" s="215"/>
      <c r="Q448" s="218"/>
    </row>
    <row r="449" spans="1:17" x14ac:dyDescent="0.3">
      <c r="A449" s="215"/>
      <c r="Q449" s="218"/>
    </row>
    <row r="450" spans="1:17" x14ac:dyDescent="0.3">
      <c r="A450" s="215"/>
      <c r="Q450" s="218"/>
    </row>
    <row r="451" spans="1:17" x14ac:dyDescent="0.3">
      <c r="A451" s="215"/>
      <c r="Q451" s="218"/>
    </row>
    <row r="452" spans="1:17" x14ac:dyDescent="0.3">
      <c r="A452" s="215"/>
      <c r="Q452" s="218"/>
    </row>
    <row r="453" spans="1:17" x14ac:dyDescent="0.3">
      <c r="A453" s="215"/>
      <c r="Q453" s="218"/>
    </row>
    <row r="454" spans="1:17" x14ac:dyDescent="0.3">
      <c r="A454" s="215"/>
      <c r="Q454" s="218"/>
    </row>
    <row r="455" spans="1:17" x14ac:dyDescent="0.3">
      <c r="A455" s="215"/>
      <c r="Q455" s="218"/>
    </row>
    <row r="456" spans="1:17" x14ac:dyDescent="0.3">
      <c r="A456" s="215"/>
      <c r="Q456" s="218"/>
    </row>
    <row r="457" spans="1:17" x14ac:dyDescent="0.3">
      <c r="A457" s="215"/>
      <c r="Q457" s="218"/>
    </row>
    <row r="458" spans="1:17" x14ac:dyDescent="0.3">
      <c r="A458" s="215"/>
      <c r="Q458" s="218"/>
    </row>
    <row r="459" spans="1:17" x14ac:dyDescent="0.3">
      <c r="A459" s="215"/>
      <c r="Q459" s="218"/>
    </row>
    <row r="460" spans="1:17" x14ac:dyDescent="0.3">
      <c r="A460" s="215"/>
      <c r="Q460" s="218"/>
    </row>
    <row r="461" spans="1:17" x14ac:dyDescent="0.3">
      <c r="A461" s="215"/>
      <c r="Q461" s="218"/>
    </row>
    <row r="462" spans="1:17" x14ac:dyDescent="0.3">
      <c r="A462" s="215"/>
      <c r="Q462" s="218"/>
    </row>
    <row r="463" spans="1:17" x14ac:dyDescent="0.3">
      <c r="A463" s="215"/>
      <c r="Q463" s="218"/>
    </row>
    <row r="464" spans="1:17" x14ac:dyDescent="0.3">
      <c r="A464" s="215"/>
      <c r="Q464" s="218"/>
    </row>
    <row r="465" spans="1:17" x14ac:dyDescent="0.3">
      <c r="A465" s="215"/>
      <c r="Q465" s="218"/>
    </row>
    <row r="466" spans="1:17" x14ac:dyDescent="0.3">
      <c r="A466" s="215"/>
      <c r="Q466" s="218"/>
    </row>
    <row r="467" spans="1:17" x14ac:dyDescent="0.3">
      <c r="A467" s="215"/>
      <c r="Q467" s="218"/>
    </row>
    <row r="468" spans="1:17" x14ac:dyDescent="0.3">
      <c r="A468" s="215"/>
      <c r="Q468" s="218"/>
    </row>
    <row r="469" spans="1:17" x14ac:dyDescent="0.3">
      <c r="A469" s="215"/>
      <c r="Q469" s="218"/>
    </row>
    <row r="470" spans="1:17" x14ac:dyDescent="0.3">
      <c r="A470" s="215"/>
      <c r="Q470" s="218"/>
    </row>
    <row r="471" spans="1:17" x14ac:dyDescent="0.3">
      <c r="A471" s="215"/>
      <c r="Q471" s="218"/>
    </row>
    <row r="472" spans="1:17" x14ac:dyDescent="0.3">
      <c r="A472" s="215"/>
      <c r="Q472" s="218"/>
    </row>
    <row r="473" spans="1:17" x14ac:dyDescent="0.3">
      <c r="A473" s="215"/>
      <c r="Q473" s="218"/>
    </row>
    <row r="474" spans="1:17" x14ac:dyDescent="0.3">
      <c r="A474" s="215"/>
      <c r="Q474" s="218"/>
    </row>
    <row r="475" spans="1:17" x14ac:dyDescent="0.3">
      <c r="A475" s="215"/>
      <c r="Q475" s="218"/>
    </row>
    <row r="476" spans="1:17" x14ac:dyDescent="0.3">
      <c r="A476" s="215"/>
      <c r="Q476" s="218"/>
    </row>
    <row r="477" spans="1:17" x14ac:dyDescent="0.3">
      <c r="A477" s="215"/>
      <c r="Q477" s="218"/>
    </row>
    <row r="478" spans="1:17" x14ac:dyDescent="0.3">
      <c r="A478" s="215"/>
      <c r="Q478" s="218"/>
    </row>
    <row r="479" spans="1:17" x14ac:dyDescent="0.3">
      <c r="A479" s="215"/>
      <c r="Q479" s="218"/>
    </row>
    <row r="480" spans="1:17" x14ac:dyDescent="0.3">
      <c r="A480" s="215"/>
      <c r="Q480" s="218"/>
    </row>
    <row r="481" spans="1:17" x14ac:dyDescent="0.3">
      <c r="A481" s="215"/>
      <c r="Q481" s="218"/>
    </row>
    <row r="482" spans="1:17" x14ac:dyDescent="0.3">
      <c r="A482" s="215"/>
      <c r="Q482" s="218"/>
    </row>
    <row r="483" spans="1:17" x14ac:dyDescent="0.3">
      <c r="A483" s="215"/>
      <c r="Q483" s="218"/>
    </row>
    <row r="484" spans="1:17" x14ac:dyDescent="0.3">
      <c r="A484" s="215"/>
      <c r="Q484" s="218"/>
    </row>
    <row r="485" spans="1:17" x14ac:dyDescent="0.3">
      <c r="A485" s="215"/>
      <c r="Q485" s="218"/>
    </row>
    <row r="486" spans="1:17" x14ac:dyDescent="0.3">
      <c r="A486" s="215"/>
      <c r="Q486" s="218"/>
    </row>
    <row r="487" spans="1:17" x14ac:dyDescent="0.3">
      <c r="A487" s="215"/>
      <c r="Q487" s="218"/>
    </row>
    <row r="488" spans="1:17" x14ac:dyDescent="0.3">
      <c r="A488" s="215"/>
      <c r="Q488" s="218"/>
    </row>
    <row r="489" spans="1:17" x14ac:dyDescent="0.3">
      <c r="A489" s="215"/>
      <c r="Q489" s="218"/>
    </row>
    <row r="490" spans="1:17" x14ac:dyDescent="0.3">
      <c r="A490" s="215"/>
      <c r="Q490" s="218"/>
    </row>
    <row r="491" spans="1:17" x14ac:dyDescent="0.3">
      <c r="A491" s="215"/>
      <c r="Q491" s="218"/>
    </row>
    <row r="492" spans="1:17" x14ac:dyDescent="0.3">
      <c r="A492" s="215"/>
      <c r="Q492" s="218"/>
    </row>
    <row r="493" spans="1:17" x14ac:dyDescent="0.3">
      <c r="A493" s="215"/>
      <c r="Q493" s="218"/>
    </row>
    <row r="494" spans="1:17" x14ac:dyDescent="0.3">
      <c r="A494" s="215"/>
      <c r="Q494" s="218"/>
    </row>
    <row r="495" spans="1:17" x14ac:dyDescent="0.3">
      <c r="A495" s="215"/>
      <c r="Q495" s="218"/>
    </row>
    <row r="496" spans="1:17" x14ac:dyDescent="0.3">
      <c r="A496" s="215"/>
      <c r="Q496" s="218"/>
    </row>
    <row r="497" spans="1:17" x14ac:dyDescent="0.3">
      <c r="A497" s="215"/>
      <c r="Q497" s="218"/>
    </row>
    <row r="498" spans="1:17" x14ac:dyDescent="0.3">
      <c r="A498" s="215"/>
      <c r="Q498" s="218"/>
    </row>
    <row r="499" spans="1:17" x14ac:dyDescent="0.3">
      <c r="A499" s="215"/>
      <c r="Q499" s="218"/>
    </row>
    <row r="500" spans="1:17" x14ac:dyDescent="0.3">
      <c r="A500" s="215"/>
      <c r="Q500" s="218"/>
    </row>
    <row r="501" spans="1:17" x14ac:dyDescent="0.3">
      <c r="A501" s="215"/>
      <c r="Q501" s="218"/>
    </row>
    <row r="502" spans="1:17" x14ac:dyDescent="0.3">
      <c r="A502" s="215"/>
      <c r="Q502" s="218"/>
    </row>
    <row r="503" spans="1:17" x14ac:dyDescent="0.3">
      <c r="A503" s="215"/>
      <c r="Q503" s="218"/>
    </row>
    <row r="504" spans="1:17" x14ac:dyDescent="0.3">
      <c r="A504" s="215"/>
      <c r="Q504" s="218"/>
    </row>
    <row r="505" spans="1:17" x14ac:dyDescent="0.3">
      <c r="A505" s="215"/>
      <c r="Q505" s="218"/>
    </row>
    <row r="506" spans="1:17" x14ac:dyDescent="0.3">
      <c r="A506" s="215"/>
      <c r="Q506" s="218"/>
    </row>
    <row r="507" spans="1:17" x14ac:dyDescent="0.3">
      <c r="A507" s="215"/>
      <c r="Q507" s="218"/>
    </row>
    <row r="508" spans="1:17" x14ac:dyDescent="0.3">
      <c r="A508" s="215"/>
      <c r="Q508" s="218"/>
    </row>
    <row r="509" spans="1:17" x14ac:dyDescent="0.3">
      <c r="A509" s="215"/>
      <c r="Q509" s="218"/>
    </row>
    <row r="510" spans="1:17" x14ac:dyDescent="0.3">
      <c r="A510" s="215"/>
      <c r="Q510" s="218"/>
    </row>
    <row r="511" spans="1:17" x14ac:dyDescent="0.3">
      <c r="A511" s="215"/>
      <c r="Q511" s="218"/>
    </row>
    <row r="512" spans="1:17" x14ac:dyDescent="0.3">
      <c r="A512" s="215"/>
      <c r="Q512" s="218"/>
    </row>
    <row r="513" spans="1:17" x14ac:dyDescent="0.3">
      <c r="A513" s="215"/>
      <c r="Q513" s="218"/>
    </row>
    <row r="514" spans="1:17" x14ac:dyDescent="0.3">
      <c r="A514" s="215"/>
      <c r="Q514" s="218"/>
    </row>
    <row r="515" spans="1:17" x14ac:dyDescent="0.3">
      <c r="A515" s="215"/>
      <c r="Q515" s="218"/>
    </row>
    <row r="516" spans="1:17" x14ac:dyDescent="0.3">
      <c r="A516" s="215"/>
      <c r="Q516" s="218"/>
    </row>
    <row r="517" spans="1:17" x14ac:dyDescent="0.3">
      <c r="A517" s="215"/>
      <c r="Q517" s="218"/>
    </row>
    <row r="518" spans="1:17" x14ac:dyDescent="0.3">
      <c r="A518" s="215"/>
      <c r="Q518" s="218"/>
    </row>
    <row r="519" spans="1:17" x14ac:dyDescent="0.3">
      <c r="A519" s="215"/>
      <c r="Q519" s="218"/>
    </row>
    <row r="520" spans="1:17" x14ac:dyDescent="0.3">
      <c r="A520" s="215"/>
      <c r="Q520" s="218"/>
    </row>
    <row r="521" spans="1:17" x14ac:dyDescent="0.3">
      <c r="A521" s="215"/>
      <c r="Q521" s="218"/>
    </row>
    <row r="522" spans="1:17" x14ac:dyDescent="0.3">
      <c r="A522" s="215"/>
      <c r="Q522" s="218"/>
    </row>
    <row r="523" spans="1:17" x14ac:dyDescent="0.3">
      <c r="A523" s="215"/>
      <c r="Q523" s="218"/>
    </row>
    <row r="524" spans="1:17" x14ac:dyDescent="0.3">
      <c r="A524" s="215"/>
      <c r="Q524" s="218"/>
    </row>
    <row r="525" spans="1:17" x14ac:dyDescent="0.3">
      <c r="A525" s="215"/>
      <c r="Q525" s="218"/>
    </row>
    <row r="526" spans="1:17" x14ac:dyDescent="0.3">
      <c r="A526" s="215"/>
      <c r="Q526" s="218"/>
    </row>
    <row r="527" spans="1:17" x14ac:dyDescent="0.3">
      <c r="A527" s="215"/>
      <c r="Q527" s="218"/>
    </row>
    <row r="528" spans="1:17" x14ac:dyDescent="0.3">
      <c r="A528" s="215"/>
      <c r="Q528" s="218"/>
    </row>
    <row r="529" spans="1:17" x14ac:dyDescent="0.3">
      <c r="A529" s="215"/>
      <c r="Q529" s="218"/>
    </row>
    <row r="530" spans="1:17" x14ac:dyDescent="0.3">
      <c r="A530" s="215"/>
      <c r="Q530" s="218"/>
    </row>
    <row r="531" spans="1:17" x14ac:dyDescent="0.3">
      <c r="A531" s="215"/>
      <c r="Q531" s="218"/>
    </row>
    <row r="532" spans="1:17" x14ac:dyDescent="0.3">
      <c r="A532" s="215"/>
      <c r="Q532" s="218"/>
    </row>
    <row r="533" spans="1:17" x14ac:dyDescent="0.3">
      <c r="A533" s="215"/>
      <c r="Q533" s="218"/>
    </row>
    <row r="534" spans="1:17" x14ac:dyDescent="0.3">
      <c r="A534" s="215"/>
      <c r="Q534" s="218"/>
    </row>
    <row r="535" spans="1:17" x14ac:dyDescent="0.3">
      <c r="A535" s="215"/>
      <c r="Q535" s="218"/>
    </row>
    <row r="536" spans="1:17" x14ac:dyDescent="0.3">
      <c r="A536" s="215"/>
      <c r="Q536" s="218"/>
    </row>
    <row r="537" spans="1:17" x14ac:dyDescent="0.3">
      <c r="A537" s="215"/>
      <c r="Q537" s="218"/>
    </row>
    <row r="538" spans="1:17" x14ac:dyDescent="0.3">
      <c r="A538" s="215"/>
      <c r="Q538" s="218"/>
    </row>
    <row r="539" spans="1:17" x14ac:dyDescent="0.3">
      <c r="A539" s="215"/>
      <c r="Q539" s="218"/>
    </row>
    <row r="540" spans="1:17" x14ac:dyDescent="0.3">
      <c r="A540" s="215"/>
      <c r="Q540" s="218"/>
    </row>
    <row r="541" spans="1:17" x14ac:dyDescent="0.3">
      <c r="A541" s="215"/>
      <c r="Q541" s="218"/>
    </row>
    <row r="542" spans="1:17" x14ac:dyDescent="0.3">
      <c r="A542" s="215"/>
      <c r="Q542" s="218"/>
    </row>
    <row r="543" spans="1:17" x14ac:dyDescent="0.3">
      <c r="A543" s="215"/>
      <c r="Q543" s="218"/>
    </row>
    <row r="544" spans="1:17" x14ac:dyDescent="0.3">
      <c r="A544" s="215"/>
      <c r="Q544" s="218"/>
    </row>
    <row r="545" spans="1:17" x14ac:dyDescent="0.3">
      <c r="A545" s="215"/>
      <c r="Q545" s="218"/>
    </row>
    <row r="546" spans="1:17" x14ac:dyDescent="0.3">
      <c r="A546" s="215"/>
      <c r="Q546" s="218"/>
    </row>
    <row r="547" spans="1:17" x14ac:dyDescent="0.3">
      <c r="A547" s="215"/>
      <c r="Q547" s="218"/>
    </row>
    <row r="548" spans="1:17" x14ac:dyDescent="0.3">
      <c r="A548" s="215"/>
      <c r="Q548" s="218"/>
    </row>
    <row r="549" spans="1:17" x14ac:dyDescent="0.3">
      <c r="A549" s="215"/>
      <c r="Q549" s="218"/>
    </row>
    <row r="550" spans="1:17" x14ac:dyDescent="0.3">
      <c r="A550" s="215"/>
      <c r="Q550" s="218"/>
    </row>
    <row r="551" spans="1:17" x14ac:dyDescent="0.3">
      <c r="A551" s="215"/>
      <c r="Q551" s="218"/>
    </row>
    <row r="552" spans="1:17" x14ac:dyDescent="0.3">
      <c r="A552" s="215"/>
      <c r="Q552" s="218"/>
    </row>
    <row r="553" spans="1:17" x14ac:dyDescent="0.3">
      <c r="A553" s="215"/>
      <c r="Q553" s="218"/>
    </row>
    <row r="554" spans="1:17" x14ac:dyDescent="0.3">
      <c r="A554" s="215"/>
      <c r="Q554" s="218"/>
    </row>
    <row r="555" spans="1:17" x14ac:dyDescent="0.3">
      <c r="A555" s="215"/>
      <c r="Q555" s="218"/>
    </row>
    <row r="556" spans="1:17" x14ac:dyDescent="0.3">
      <c r="A556" s="215"/>
      <c r="Q556" s="218"/>
    </row>
    <row r="557" spans="1:17" x14ac:dyDescent="0.3">
      <c r="A557" s="215"/>
      <c r="Q557" s="218"/>
    </row>
    <row r="558" spans="1:17" x14ac:dyDescent="0.3">
      <c r="A558" s="215"/>
      <c r="Q558" s="218"/>
    </row>
    <row r="559" spans="1:17" x14ac:dyDescent="0.3">
      <c r="A559" s="215"/>
      <c r="Q559" s="218"/>
    </row>
    <row r="560" spans="1:17" x14ac:dyDescent="0.3">
      <c r="A560" s="215"/>
      <c r="Q560" s="218"/>
    </row>
    <row r="561" spans="1:17" x14ac:dyDescent="0.3">
      <c r="A561" s="215"/>
      <c r="Q561" s="218"/>
    </row>
    <row r="562" spans="1:17" x14ac:dyDescent="0.3">
      <c r="A562" s="215"/>
      <c r="Q562" s="218"/>
    </row>
    <row r="563" spans="1:17" x14ac:dyDescent="0.3">
      <c r="A563" s="215"/>
      <c r="Q563" s="218"/>
    </row>
    <row r="564" spans="1:17" x14ac:dyDescent="0.3">
      <c r="A564" s="215"/>
      <c r="Q564" s="218"/>
    </row>
    <row r="565" spans="1:17" x14ac:dyDescent="0.3">
      <c r="A565" s="215"/>
      <c r="Q565" s="218"/>
    </row>
    <row r="566" spans="1:17" x14ac:dyDescent="0.3">
      <c r="A566" s="215"/>
      <c r="Q566" s="218"/>
    </row>
    <row r="567" spans="1:17" x14ac:dyDescent="0.3">
      <c r="A567" s="215"/>
      <c r="Q567" s="218"/>
    </row>
    <row r="568" spans="1:17" x14ac:dyDescent="0.3">
      <c r="A568" s="215"/>
      <c r="Q568" s="218"/>
    </row>
    <row r="569" spans="1:17" x14ac:dyDescent="0.3">
      <c r="A569" s="215"/>
      <c r="Q569" s="218"/>
    </row>
    <row r="570" spans="1:17" x14ac:dyDescent="0.3">
      <c r="A570" s="215"/>
      <c r="Q570" s="218"/>
    </row>
    <row r="571" spans="1:17" x14ac:dyDescent="0.3">
      <c r="A571" s="215"/>
      <c r="Q571" s="218"/>
    </row>
    <row r="572" spans="1:17" x14ac:dyDescent="0.3">
      <c r="A572" s="215"/>
      <c r="Q572" s="218"/>
    </row>
    <row r="573" spans="1:17" x14ac:dyDescent="0.3">
      <c r="A573" s="215"/>
      <c r="Q573" s="218"/>
    </row>
    <row r="574" spans="1:17" x14ac:dyDescent="0.3">
      <c r="A574" s="215"/>
      <c r="Q574" s="218"/>
    </row>
    <row r="575" spans="1:17" x14ac:dyDescent="0.3">
      <c r="A575" s="215"/>
      <c r="Q575" s="218"/>
    </row>
    <row r="576" spans="1:17" x14ac:dyDescent="0.3">
      <c r="A576" s="215"/>
      <c r="Q576" s="218"/>
    </row>
    <row r="577" spans="1:17" x14ac:dyDescent="0.3">
      <c r="A577" s="215"/>
      <c r="Q577" s="218"/>
    </row>
    <row r="578" spans="1:17" x14ac:dyDescent="0.3">
      <c r="A578" s="215"/>
      <c r="Q578" s="218"/>
    </row>
    <row r="579" spans="1:17" x14ac:dyDescent="0.3">
      <c r="A579" s="215"/>
      <c r="Q579" s="218"/>
    </row>
    <row r="580" spans="1:17" x14ac:dyDescent="0.3">
      <c r="A580" s="215"/>
      <c r="Q580" s="218"/>
    </row>
    <row r="581" spans="1:17" x14ac:dyDescent="0.3">
      <c r="A581" s="215"/>
      <c r="Q581" s="218"/>
    </row>
    <row r="582" spans="1:17" x14ac:dyDescent="0.3">
      <c r="A582" s="215"/>
      <c r="Q582" s="218"/>
    </row>
    <row r="583" spans="1:17" x14ac:dyDescent="0.3">
      <c r="A583" s="215"/>
      <c r="Q583" s="218"/>
    </row>
    <row r="584" spans="1:17" x14ac:dyDescent="0.3">
      <c r="A584" s="215"/>
      <c r="Q584" s="218"/>
    </row>
    <row r="585" spans="1:17" x14ac:dyDescent="0.3">
      <c r="A585" s="215"/>
      <c r="Q585" s="218"/>
    </row>
    <row r="586" spans="1:17" x14ac:dyDescent="0.3">
      <c r="A586" s="215"/>
      <c r="Q586" s="218"/>
    </row>
    <row r="587" spans="1:17" x14ac:dyDescent="0.3">
      <c r="A587" s="215"/>
      <c r="Q587" s="218"/>
    </row>
    <row r="588" spans="1:17" x14ac:dyDescent="0.3">
      <c r="A588" s="215"/>
      <c r="Q588" s="218"/>
    </row>
    <row r="589" spans="1:17" x14ac:dyDescent="0.3">
      <c r="A589" s="215"/>
      <c r="Q589" s="218"/>
    </row>
    <row r="590" spans="1:17" x14ac:dyDescent="0.3">
      <c r="A590" s="215"/>
      <c r="Q590" s="218"/>
    </row>
    <row r="591" spans="1:17" x14ac:dyDescent="0.3">
      <c r="A591" s="215"/>
      <c r="Q591" s="218"/>
    </row>
    <row r="592" spans="1:17" x14ac:dyDescent="0.3">
      <c r="A592" s="215"/>
      <c r="Q592" s="218"/>
    </row>
    <row r="593" spans="1:17" x14ac:dyDescent="0.3">
      <c r="A593" s="215"/>
      <c r="Q593" s="218"/>
    </row>
    <row r="594" spans="1:17" x14ac:dyDescent="0.3">
      <c r="A594" s="215"/>
      <c r="Q594" s="218"/>
    </row>
    <row r="595" spans="1:17" x14ac:dyDescent="0.3">
      <c r="A595" s="215"/>
      <c r="Q595" s="218"/>
    </row>
    <row r="596" spans="1:17" x14ac:dyDescent="0.3">
      <c r="A596" s="215"/>
      <c r="Q596" s="218"/>
    </row>
    <row r="597" spans="1:17" x14ac:dyDescent="0.3">
      <c r="A597" s="215"/>
      <c r="Q597" s="218"/>
    </row>
    <row r="598" spans="1:17" x14ac:dyDescent="0.3">
      <c r="A598" s="215"/>
      <c r="Q598" s="218"/>
    </row>
    <row r="599" spans="1:17" x14ac:dyDescent="0.3">
      <c r="A599" s="215"/>
      <c r="Q599" s="218"/>
    </row>
    <row r="600" spans="1:17" x14ac:dyDescent="0.3">
      <c r="A600" s="215"/>
      <c r="Q600" s="218"/>
    </row>
    <row r="601" spans="1:17" x14ac:dyDescent="0.3">
      <c r="A601" s="215"/>
      <c r="Q601" s="218"/>
    </row>
    <row r="602" spans="1:17" x14ac:dyDescent="0.3">
      <c r="A602" s="215"/>
      <c r="Q602" s="218"/>
    </row>
    <row r="603" spans="1:17" x14ac:dyDescent="0.3">
      <c r="A603" s="215"/>
      <c r="Q603" s="218"/>
    </row>
    <row r="604" spans="1:17" x14ac:dyDescent="0.3">
      <c r="A604" s="215"/>
      <c r="Q604" s="218"/>
    </row>
    <row r="605" spans="1:17" x14ac:dyDescent="0.3">
      <c r="A605" s="215"/>
      <c r="Q605" s="218"/>
    </row>
    <row r="606" spans="1:17" x14ac:dyDescent="0.3">
      <c r="A606" s="215"/>
      <c r="Q606" s="218"/>
    </row>
    <row r="607" spans="1:17" x14ac:dyDescent="0.3">
      <c r="A607" s="215"/>
      <c r="Q607" s="218"/>
    </row>
    <row r="608" spans="1:17" x14ac:dyDescent="0.3">
      <c r="A608" s="215"/>
      <c r="Q608" s="218"/>
    </row>
    <row r="609" spans="1:17" x14ac:dyDescent="0.3">
      <c r="A609" s="215"/>
      <c r="Q609" s="218"/>
    </row>
    <row r="610" spans="1:17" x14ac:dyDescent="0.3">
      <c r="A610" s="215"/>
      <c r="Q610" s="218"/>
    </row>
    <row r="611" spans="1:17" x14ac:dyDescent="0.3">
      <c r="A611" s="215"/>
      <c r="Q611" s="218"/>
    </row>
    <row r="612" spans="1:17" x14ac:dyDescent="0.3">
      <c r="A612" s="215"/>
      <c r="Q612" s="218"/>
    </row>
    <row r="613" spans="1:17" x14ac:dyDescent="0.3">
      <c r="A613" s="215"/>
      <c r="Q613" s="218"/>
    </row>
    <row r="614" spans="1:17" x14ac:dyDescent="0.3">
      <c r="A614" s="215"/>
      <c r="Q614" s="218"/>
    </row>
    <row r="615" spans="1:17" x14ac:dyDescent="0.3">
      <c r="A615" s="215"/>
      <c r="Q615" s="218"/>
    </row>
    <row r="616" spans="1:17" x14ac:dyDescent="0.3">
      <c r="A616" s="215"/>
      <c r="Q616" s="218"/>
    </row>
    <row r="617" spans="1:17" x14ac:dyDescent="0.3">
      <c r="A617" s="215"/>
      <c r="Q617" s="218"/>
    </row>
    <row r="618" spans="1:17" x14ac:dyDescent="0.3">
      <c r="A618" s="215"/>
      <c r="Q618" s="218"/>
    </row>
    <row r="619" spans="1:17" x14ac:dyDescent="0.3">
      <c r="A619" s="215"/>
      <c r="Q619" s="218"/>
    </row>
    <row r="620" spans="1:17" x14ac:dyDescent="0.3">
      <c r="A620" s="215"/>
      <c r="Q620" s="218"/>
    </row>
    <row r="621" spans="1:17" x14ac:dyDescent="0.3">
      <c r="A621" s="215"/>
      <c r="Q621" s="218"/>
    </row>
    <row r="622" spans="1:17" x14ac:dyDescent="0.3">
      <c r="A622" s="215"/>
      <c r="Q622" s="218"/>
    </row>
    <row r="623" spans="1:17" x14ac:dyDescent="0.3">
      <c r="A623" s="215"/>
      <c r="Q623" s="218"/>
    </row>
    <row r="624" spans="1:17" x14ac:dyDescent="0.3">
      <c r="A624" s="215"/>
      <c r="Q624" s="218"/>
    </row>
    <row r="625" spans="1:17" x14ac:dyDescent="0.3">
      <c r="A625" s="215"/>
      <c r="Q625" s="218"/>
    </row>
    <row r="626" spans="1:17" x14ac:dyDescent="0.3">
      <c r="A626" s="215"/>
      <c r="Q626" s="218"/>
    </row>
    <row r="627" spans="1:17" x14ac:dyDescent="0.3">
      <c r="A627" s="215"/>
      <c r="Q627" s="218"/>
    </row>
    <row r="628" spans="1:17" x14ac:dyDescent="0.3">
      <c r="A628" s="215"/>
      <c r="Q628" s="218"/>
    </row>
    <row r="629" spans="1:17" x14ac:dyDescent="0.3">
      <c r="A629" s="215"/>
      <c r="Q629" s="218"/>
    </row>
    <row r="630" spans="1:17" x14ac:dyDescent="0.3">
      <c r="A630" s="215"/>
      <c r="Q630" s="218"/>
    </row>
    <row r="631" spans="1:17" x14ac:dyDescent="0.3">
      <c r="A631" s="215"/>
      <c r="Q631" s="218"/>
    </row>
    <row r="632" spans="1:17" x14ac:dyDescent="0.3">
      <c r="A632" s="215"/>
      <c r="Q632" s="218"/>
    </row>
    <row r="633" spans="1:17" x14ac:dyDescent="0.3">
      <c r="A633" s="215"/>
      <c r="Q633" s="218"/>
    </row>
    <row r="634" spans="1:17" x14ac:dyDescent="0.3">
      <c r="A634" s="215"/>
      <c r="Q634" s="218"/>
    </row>
    <row r="635" spans="1:17" x14ac:dyDescent="0.3">
      <c r="A635" s="215"/>
      <c r="Q635" s="218"/>
    </row>
    <row r="636" spans="1:17" x14ac:dyDescent="0.3">
      <c r="A636" s="215"/>
      <c r="Q636" s="218"/>
    </row>
    <row r="637" spans="1:17" x14ac:dyDescent="0.3">
      <c r="A637" s="215"/>
      <c r="Q637" s="218"/>
    </row>
    <row r="638" spans="1:17" x14ac:dyDescent="0.3">
      <c r="A638" s="215"/>
      <c r="Q638" s="218"/>
    </row>
    <row r="639" spans="1:17" x14ac:dyDescent="0.3">
      <c r="A639" s="215"/>
      <c r="Q639" s="218"/>
    </row>
    <row r="640" spans="1:17" x14ac:dyDescent="0.3">
      <c r="A640" s="215"/>
      <c r="Q640" s="218"/>
    </row>
    <row r="641" spans="1:17" x14ac:dyDescent="0.3">
      <c r="A641" s="215"/>
      <c r="Q641" s="218"/>
    </row>
    <row r="642" spans="1:17" x14ac:dyDescent="0.3">
      <c r="A642" s="215"/>
      <c r="Q642" s="218"/>
    </row>
    <row r="643" spans="1:17" x14ac:dyDescent="0.3">
      <c r="A643" s="215"/>
      <c r="Q643" s="218"/>
    </row>
    <row r="644" spans="1:17" x14ac:dyDescent="0.3">
      <c r="A644" s="215"/>
      <c r="Q644" s="218"/>
    </row>
    <row r="645" spans="1:17" x14ac:dyDescent="0.3">
      <c r="A645" s="215"/>
      <c r="Q645" s="218"/>
    </row>
    <row r="646" spans="1:17" x14ac:dyDescent="0.3">
      <c r="A646" s="215"/>
      <c r="Q646" s="218"/>
    </row>
    <row r="647" spans="1:17" x14ac:dyDescent="0.3">
      <c r="A647" s="215"/>
      <c r="Q647" s="218"/>
    </row>
    <row r="648" spans="1:17" x14ac:dyDescent="0.3">
      <c r="A648" s="215"/>
      <c r="Q648" s="218"/>
    </row>
    <row r="649" spans="1:17" x14ac:dyDescent="0.3">
      <c r="A649" s="215"/>
      <c r="Q649" s="218"/>
    </row>
    <row r="650" spans="1:17" x14ac:dyDescent="0.3">
      <c r="A650" s="215"/>
      <c r="Q650" s="218"/>
    </row>
    <row r="651" spans="1:17" x14ac:dyDescent="0.3">
      <c r="A651" s="215"/>
      <c r="Q651" s="218"/>
    </row>
    <row r="652" spans="1:17" x14ac:dyDescent="0.3">
      <c r="A652" s="215"/>
      <c r="Q652" s="218"/>
    </row>
    <row r="653" spans="1:17" x14ac:dyDescent="0.3">
      <c r="A653" s="215"/>
      <c r="Q653" s="218"/>
    </row>
    <row r="654" spans="1:17" x14ac:dyDescent="0.3">
      <c r="A654" s="215"/>
      <c r="Q654" s="218"/>
    </row>
    <row r="655" spans="1:17" x14ac:dyDescent="0.3">
      <c r="A655" s="215"/>
      <c r="Q655" s="218"/>
    </row>
    <row r="656" spans="1:17" x14ac:dyDescent="0.3">
      <c r="A656" s="215"/>
      <c r="Q656" s="218"/>
    </row>
    <row r="657" spans="1:17" x14ac:dyDescent="0.3">
      <c r="A657" s="215"/>
      <c r="Q657" s="218"/>
    </row>
    <row r="658" spans="1:17" x14ac:dyDescent="0.3">
      <c r="A658" s="215"/>
      <c r="Q658" s="218"/>
    </row>
    <row r="659" spans="1:17" x14ac:dyDescent="0.3">
      <c r="A659" s="215"/>
      <c r="Q659" s="218"/>
    </row>
    <row r="660" spans="1:17" x14ac:dyDescent="0.3">
      <c r="A660" s="215"/>
      <c r="Q660" s="218"/>
    </row>
    <row r="661" spans="1:17" x14ac:dyDescent="0.3">
      <c r="A661" s="215"/>
      <c r="Q661" s="218"/>
    </row>
    <row r="662" spans="1:17" x14ac:dyDescent="0.3">
      <c r="A662" s="215"/>
      <c r="Q662" s="218"/>
    </row>
    <row r="663" spans="1:17" x14ac:dyDescent="0.3">
      <c r="A663" s="215"/>
      <c r="Q663" s="218"/>
    </row>
    <row r="664" spans="1:17" x14ac:dyDescent="0.3">
      <c r="A664" s="215"/>
      <c r="Q664" s="218"/>
    </row>
    <row r="665" spans="1:17" x14ac:dyDescent="0.3">
      <c r="A665" s="215"/>
      <c r="Q665" s="218"/>
    </row>
    <row r="666" spans="1:17" x14ac:dyDescent="0.3">
      <c r="A666" s="215"/>
      <c r="Q666" s="218"/>
    </row>
    <row r="667" spans="1:17" x14ac:dyDescent="0.3">
      <c r="A667" s="215"/>
      <c r="Q667" s="218"/>
    </row>
    <row r="668" spans="1:17" x14ac:dyDescent="0.3">
      <c r="A668" s="215"/>
      <c r="Q668" s="218"/>
    </row>
    <row r="669" spans="1:17" x14ac:dyDescent="0.3">
      <c r="A669" s="215"/>
      <c r="Q669" s="218"/>
    </row>
    <row r="670" spans="1:17" x14ac:dyDescent="0.3">
      <c r="A670" s="215"/>
      <c r="Q670" s="218"/>
    </row>
    <row r="671" spans="1:17" x14ac:dyDescent="0.3">
      <c r="A671" s="215"/>
      <c r="Q671" s="218"/>
    </row>
    <row r="672" spans="1:17" x14ac:dyDescent="0.3">
      <c r="A672" s="215"/>
      <c r="Q672" s="218"/>
    </row>
    <row r="673" spans="17:17" x14ac:dyDescent="0.3">
      <c r="Q673" s="218"/>
    </row>
    <row r="674" spans="17:17" x14ac:dyDescent="0.3">
      <c r="Q674" s="218"/>
    </row>
    <row r="675" spans="17:17" x14ac:dyDescent="0.3">
      <c r="Q675" s="218"/>
    </row>
    <row r="676" spans="17:17" x14ac:dyDescent="0.3">
      <c r="Q676" s="218"/>
    </row>
    <row r="677" spans="17:17" x14ac:dyDescent="0.3">
      <c r="Q677" s="218"/>
    </row>
    <row r="678" spans="17:17" x14ac:dyDescent="0.3">
      <c r="Q678" s="218"/>
    </row>
    <row r="679" spans="17:17" x14ac:dyDescent="0.3">
      <c r="Q679" s="218"/>
    </row>
    <row r="680" spans="17:17" x14ac:dyDescent="0.3">
      <c r="Q680" s="218"/>
    </row>
    <row r="681" spans="17:17" x14ac:dyDescent="0.3">
      <c r="Q681" s="218"/>
    </row>
  </sheetData>
  <mergeCells count="4">
    <mergeCell ref="AH1:AJ1"/>
    <mergeCell ref="AL1:AM1"/>
    <mergeCell ref="AO1:AQ1"/>
    <mergeCell ref="AS1:AU1"/>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60"/>
  <sheetViews>
    <sheetView topLeftCell="A30" workbookViewId="0">
      <selection activeCell="B55" sqref="B55"/>
    </sheetView>
  </sheetViews>
  <sheetFormatPr defaultColWidth="0" defaultRowHeight="14.4" zeroHeight="1" x14ac:dyDescent="0.3"/>
  <cols>
    <col min="1" max="1" width="13.109375" customWidth="1"/>
    <col min="2" max="2" width="11" style="35" customWidth="1"/>
    <col min="3" max="3" width="11.5546875" customWidth="1"/>
    <col min="4" max="4" width="106.33203125" customWidth="1"/>
    <col min="5" max="5" width="9.44140625" bestFit="1" customWidth="1"/>
    <col min="6" max="6" width="9.109375" customWidth="1"/>
    <col min="7" max="7" width="50" bestFit="1" customWidth="1"/>
    <col min="8" max="8" width="32" hidden="1" customWidth="1"/>
    <col min="9" max="16384" width="9.109375" hidden="1"/>
  </cols>
  <sheetData>
    <row r="1" spans="1:7" x14ac:dyDescent="0.3">
      <c r="A1" t="s">
        <v>1413</v>
      </c>
      <c r="B1" s="35" t="s">
        <v>1419</v>
      </c>
      <c r="C1" t="s">
        <v>1412</v>
      </c>
      <c r="D1" t="s">
        <v>1414</v>
      </c>
      <c r="G1" s="108" t="s">
        <v>1415</v>
      </c>
    </row>
    <row r="2" spans="1:7" x14ac:dyDescent="0.3">
      <c r="A2" s="309" t="s">
        <v>1482</v>
      </c>
      <c r="B2" s="310" t="s">
        <v>1482</v>
      </c>
      <c r="C2" s="307">
        <v>42644</v>
      </c>
      <c r="D2" s="311" t="s">
        <v>1483</v>
      </c>
      <c r="G2" s="109" t="s">
        <v>1416</v>
      </c>
    </row>
    <row r="3" spans="1:7" ht="187.2" x14ac:dyDescent="0.3">
      <c r="A3" t="s">
        <v>1480</v>
      </c>
      <c r="C3" s="307">
        <v>42692</v>
      </c>
      <c r="D3" s="61" t="s">
        <v>1481</v>
      </c>
    </row>
    <row r="4" spans="1:7" x14ac:dyDescent="0.3">
      <c r="A4" t="s">
        <v>1433</v>
      </c>
      <c r="D4" t="s">
        <v>1479</v>
      </c>
    </row>
    <row r="5" spans="1:7" ht="144" x14ac:dyDescent="0.3">
      <c r="A5" t="s">
        <v>1434</v>
      </c>
      <c r="D5" s="61" t="s">
        <v>1478</v>
      </c>
    </row>
    <row r="6" spans="1:7" x14ac:dyDescent="0.3">
      <c r="A6" t="s">
        <v>1435</v>
      </c>
      <c r="D6" t="s">
        <v>1477</v>
      </c>
    </row>
    <row r="7" spans="1:7" ht="43.2" x14ac:dyDescent="0.3">
      <c r="A7" t="s">
        <v>1436</v>
      </c>
      <c r="B7" s="35" t="s">
        <v>1454</v>
      </c>
      <c r="C7" s="307">
        <v>42731</v>
      </c>
      <c r="D7" s="308" t="s">
        <v>1476</v>
      </c>
    </row>
    <row r="8" spans="1:7" ht="57.6" x14ac:dyDescent="0.3">
      <c r="A8" t="s">
        <v>1437</v>
      </c>
      <c r="B8" s="35" t="s">
        <v>1453</v>
      </c>
      <c r="C8" s="307">
        <v>42823</v>
      </c>
      <c r="D8" s="308" t="s">
        <v>1475</v>
      </c>
    </row>
    <row r="9" spans="1:7" ht="43.2" x14ac:dyDescent="0.3">
      <c r="A9" t="s">
        <v>1438</v>
      </c>
      <c r="B9" s="35" t="s">
        <v>1452</v>
      </c>
      <c r="C9" s="307">
        <v>42828</v>
      </c>
      <c r="D9" s="308" t="s">
        <v>1474</v>
      </c>
    </row>
    <row r="10" spans="1:7" ht="72" x14ac:dyDescent="0.3">
      <c r="A10" t="s">
        <v>1439</v>
      </c>
      <c r="B10" s="35" t="s">
        <v>1455</v>
      </c>
      <c r="C10" s="307">
        <v>42982</v>
      </c>
      <c r="D10" s="308" t="s">
        <v>1473</v>
      </c>
    </row>
    <row r="11" spans="1:7" ht="72" x14ac:dyDescent="0.3">
      <c r="A11" t="s">
        <v>1440</v>
      </c>
      <c r="B11" s="35" t="s">
        <v>1456</v>
      </c>
      <c r="C11" s="307">
        <v>43010</v>
      </c>
      <c r="D11" s="61" t="s">
        <v>1602</v>
      </c>
    </row>
    <row r="12" spans="1:7" ht="115.2" x14ac:dyDescent="0.3">
      <c r="A12" t="s">
        <v>1441</v>
      </c>
      <c r="B12" s="35" t="s">
        <v>1457</v>
      </c>
      <c r="C12" s="307">
        <v>43083</v>
      </c>
      <c r="D12" s="308" t="s">
        <v>1601</v>
      </c>
    </row>
    <row r="13" spans="1:7" ht="28.8" x14ac:dyDescent="0.3">
      <c r="A13" t="s">
        <v>1442</v>
      </c>
      <c r="B13" s="35" t="s">
        <v>1458</v>
      </c>
      <c r="C13" s="307">
        <v>43086</v>
      </c>
      <c r="D13" s="308" t="s">
        <v>1472</v>
      </c>
    </row>
    <row r="14" spans="1:7" ht="28.8" x14ac:dyDescent="0.3">
      <c r="A14" t="s">
        <v>1443</v>
      </c>
      <c r="B14" s="35" t="s">
        <v>1458</v>
      </c>
      <c r="C14" s="307">
        <v>43088</v>
      </c>
      <c r="D14" s="308" t="s">
        <v>1471</v>
      </c>
    </row>
    <row r="15" spans="1:7" ht="201.6" x14ac:dyDescent="0.3">
      <c r="A15" t="s">
        <v>1444</v>
      </c>
      <c r="B15" s="35" t="s">
        <v>1459</v>
      </c>
      <c r="C15" s="307">
        <v>43106</v>
      </c>
      <c r="D15" s="308" t="s">
        <v>1600</v>
      </c>
    </row>
    <row r="16" spans="1:7" ht="72" x14ac:dyDescent="0.3">
      <c r="A16" t="s">
        <v>1445</v>
      </c>
      <c r="B16" s="35" t="s">
        <v>1460</v>
      </c>
      <c r="C16" s="307">
        <v>43138</v>
      </c>
      <c r="D16" s="308" t="s">
        <v>1470</v>
      </c>
    </row>
    <row r="17" spans="1:4" ht="28.8" x14ac:dyDescent="0.3">
      <c r="A17" t="s">
        <v>1446</v>
      </c>
      <c r="B17" s="35" t="s">
        <v>1461</v>
      </c>
      <c r="C17" s="307">
        <v>43144</v>
      </c>
      <c r="D17" s="308" t="s">
        <v>1599</v>
      </c>
    </row>
    <row r="18" spans="1:4" x14ac:dyDescent="0.3">
      <c r="A18" t="s">
        <v>1447</v>
      </c>
      <c r="B18" s="35" t="s">
        <v>1462</v>
      </c>
      <c r="C18" s="307">
        <v>43165</v>
      </c>
      <c r="D18" s="309" t="s">
        <v>1469</v>
      </c>
    </row>
    <row r="19" spans="1:4" ht="28.8" x14ac:dyDescent="0.3">
      <c r="A19" t="s">
        <v>1448</v>
      </c>
      <c r="B19" s="35" t="s">
        <v>1463</v>
      </c>
      <c r="C19" s="307">
        <v>43177</v>
      </c>
      <c r="D19" s="308" t="s">
        <v>1468</v>
      </c>
    </row>
    <row r="20" spans="1:4" ht="57.6" x14ac:dyDescent="0.3">
      <c r="A20" t="s">
        <v>1449</v>
      </c>
      <c r="B20" s="35" t="s">
        <v>1464</v>
      </c>
      <c r="C20" s="307">
        <v>43181</v>
      </c>
      <c r="D20" s="308" t="s">
        <v>1598</v>
      </c>
    </row>
    <row r="21" spans="1:4" ht="28.8" x14ac:dyDescent="0.3">
      <c r="A21" t="s">
        <v>1450</v>
      </c>
      <c r="B21" s="35" t="s">
        <v>1465</v>
      </c>
      <c r="C21" s="307">
        <v>43198</v>
      </c>
      <c r="D21" s="308" t="s">
        <v>1596</v>
      </c>
    </row>
    <row r="22" spans="1:4" ht="57.6" x14ac:dyDescent="0.3">
      <c r="A22" t="s">
        <v>1451</v>
      </c>
      <c r="B22" s="35" t="s">
        <v>1466</v>
      </c>
      <c r="C22" s="307">
        <v>43548</v>
      </c>
      <c r="D22" s="308" t="s">
        <v>1595</v>
      </c>
    </row>
    <row r="23" spans="1:4" ht="72" x14ac:dyDescent="0.3">
      <c r="A23" t="s">
        <v>1432</v>
      </c>
      <c r="B23" s="35" t="s">
        <v>1467</v>
      </c>
      <c r="C23" s="307">
        <v>43565</v>
      </c>
      <c r="D23" s="308" t="s">
        <v>1597</v>
      </c>
    </row>
    <row r="24" spans="1:4" ht="100.8" x14ac:dyDescent="0.3">
      <c r="A24" t="s">
        <v>1430</v>
      </c>
      <c r="B24" s="35" t="s">
        <v>1431</v>
      </c>
      <c r="C24" s="307">
        <v>43669</v>
      </c>
      <c r="D24" s="308" t="s">
        <v>1594</v>
      </c>
    </row>
    <row r="25" spans="1:4" ht="100.8" x14ac:dyDescent="0.3">
      <c r="A25" t="s">
        <v>1428</v>
      </c>
      <c r="B25" s="35" t="s">
        <v>1429</v>
      </c>
      <c r="C25" s="307">
        <v>43747</v>
      </c>
      <c r="D25" s="61" t="s">
        <v>1592</v>
      </c>
    </row>
    <row r="26" spans="1:4" ht="86.4" x14ac:dyDescent="0.3">
      <c r="A26" t="s">
        <v>1427</v>
      </c>
      <c r="B26" s="35" t="s">
        <v>1425</v>
      </c>
      <c r="C26" s="307">
        <v>44045</v>
      </c>
      <c r="D26" s="61" t="s">
        <v>1593</v>
      </c>
    </row>
    <row r="27" spans="1:4" ht="43.2" x14ac:dyDescent="0.3">
      <c r="A27" t="s">
        <v>1424</v>
      </c>
      <c r="B27" s="35" t="s">
        <v>1425</v>
      </c>
      <c r="C27" s="307">
        <v>44047</v>
      </c>
      <c r="D27" s="61" t="s">
        <v>1426</v>
      </c>
    </row>
    <row r="28" spans="1:4" ht="72" x14ac:dyDescent="0.3">
      <c r="A28" t="s">
        <v>1422</v>
      </c>
      <c r="B28" s="35" t="s">
        <v>1423</v>
      </c>
      <c r="C28" s="307">
        <v>44054</v>
      </c>
      <c r="D28" s="61" t="s">
        <v>1589</v>
      </c>
    </row>
    <row r="29" spans="1:4" ht="43.2" x14ac:dyDescent="0.3">
      <c r="A29" t="s">
        <v>1418</v>
      </c>
      <c r="B29" s="35" t="s">
        <v>1420</v>
      </c>
      <c r="C29" s="307">
        <v>44147</v>
      </c>
      <c r="D29" s="61" t="s">
        <v>1590</v>
      </c>
    </row>
    <row r="30" spans="1:4" ht="48.75" customHeight="1" x14ac:dyDescent="0.3">
      <c r="A30" t="s">
        <v>1417</v>
      </c>
      <c r="B30" s="35" t="s">
        <v>1421</v>
      </c>
      <c r="C30" s="307">
        <v>44164</v>
      </c>
      <c r="D30" s="61" t="s">
        <v>1591</v>
      </c>
    </row>
    <row r="31" spans="1:4" x14ac:dyDescent="0.3">
      <c r="A31" t="s">
        <v>1505</v>
      </c>
      <c r="B31" s="35" t="s">
        <v>1421</v>
      </c>
      <c r="C31" s="307">
        <v>44200</v>
      </c>
      <c r="D31" s="61" t="s">
        <v>1506</v>
      </c>
    </row>
    <row r="32" spans="1:4" x14ac:dyDescent="0.3">
      <c r="A32" t="s">
        <v>1579</v>
      </c>
      <c r="B32" s="35" t="s">
        <v>1421</v>
      </c>
      <c r="C32" s="307">
        <v>44208</v>
      </c>
      <c r="D32" s="61" t="s">
        <v>1571</v>
      </c>
    </row>
    <row r="33" spans="1:4" x14ac:dyDescent="0.3">
      <c r="A33" t="s">
        <v>1578</v>
      </c>
      <c r="B33" s="35" t="s">
        <v>1421</v>
      </c>
      <c r="C33" s="307">
        <v>44225</v>
      </c>
      <c r="D33" s="61" t="s">
        <v>1574</v>
      </c>
    </row>
    <row r="34" spans="1:4" ht="28.8" x14ac:dyDescent="0.3">
      <c r="A34" t="s">
        <v>1580</v>
      </c>
      <c r="B34" s="35" t="s">
        <v>1421</v>
      </c>
      <c r="C34" s="307">
        <v>44226</v>
      </c>
      <c r="D34" s="61" t="s">
        <v>1581</v>
      </c>
    </row>
    <row r="35" spans="1:4" x14ac:dyDescent="0.3">
      <c r="A35" t="s">
        <v>1582</v>
      </c>
      <c r="B35" s="35" t="s">
        <v>1421</v>
      </c>
      <c r="C35" s="307">
        <v>44227</v>
      </c>
      <c r="D35" s="61" t="s">
        <v>1583</v>
      </c>
    </row>
    <row r="36" spans="1:4" x14ac:dyDescent="0.3">
      <c r="A36" t="s">
        <v>1584</v>
      </c>
      <c r="B36" s="35" t="s">
        <v>1421</v>
      </c>
      <c r="C36" s="307">
        <v>44254</v>
      </c>
      <c r="D36" s="61" t="s">
        <v>1585</v>
      </c>
    </row>
    <row r="37" spans="1:4" x14ac:dyDescent="0.3">
      <c r="A37" t="s">
        <v>1587</v>
      </c>
      <c r="B37" s="35" t="s">
        <v>1421</v>
      </c>
      <c r="C37" s="307">
        <v>44263</v>
      </c>
      <c r="D37" s="61" t="s">
        <v>1586</v>
      </c>
    </row>
    <row r="38" spans="1:4" x14ac:dyDescent="0.3">
      <c r="A38" t="s">
        <v>1605</v>
      </c>
      <c r="B38" s="35" t="s">
        <v>1421</v>
      </c>
      <c r="C38" s="307">
        <v>44272</v>
      </c>
      <c r="D38" s="61" t="s">
        <v>1588</v>
      </c>
    </row>
    <row r="39" spans="1:4" x14ac:dyDescent="0.3">
      <c r="A39" t="s">
        <v>1604</v>
      </c>
      <c r="B39" s="35" t="s">
        <v>1421</v>
      </c>
      <c r="C39" s="307">
        <v>44286</v>
      </c>
      <c r="D39" s="61" t="s">
        <v>1606</v>
      </c>
    </row>
    <row r="40" spans="1:4" ht="57.6" x14ac:dyDescent="0.3">
      <c r="A40" t="s">
        <v>1661</v>
      </c>
      <c r="B40" s="35" t="s">
        <v>1662</v>
      </c>
      <c r="C40" s="307">
        <v>44300</v>
      </c>
      <c r="D40" s="61" t="s">
        <v>1663</v>
      </c>
    </row>
    <row r="41" spans="1:4" ht="74.25" customHeight="1" x14ac:dyDescent="0.3">
      <c r="A41" t="s">
        <v>1679</v>
      </c>
      <c r="B41" s="35" t="s">
        <v>1680</v>
      </c>
      <c r="C41" s="307">
        <v>44328</v>
      </c>
      <c r="D41" s="339" t="s">
        <v>1681</v>
      </c>
    </row>
    <row r="42" spans="1:4" x14ac:dyDescent="0.3">
      <c r="A42" t="s">
        <v>1706</v>
      </c>
      <c r="B42" s="35" t="s">
        <v>1707</v>
      </c>
      <c r="C42" s="307">
        <v>44417</v>
      </c>
      <c r="D42" s="61" t="s">
        <v>1708</v>
      </c>
    </row>
    <row r="43" spans="1:4" x14ac:dyDescent="0.3">
      <c r="A43" t="s">
        <v>1713</v>
      </c>
      <c r="B43" s="35" t="s">
        <v>1707</v>
      </c>
      <c r="C43" s="307">
        <v>44446</v>
      </c>
      <c r="D43" s="61" t="s">
        <v>1714</v>
      </c>
    </row>
    <row r="44" spans="1:4" x14ac:dyDescent="0.3">
      <c r="A44" t="s">
        <v>1716</v>
      </c>
      <c r="B44" s="35" t="s">
        <v>1707</v>
      </c>
      <c r="C44" s="307">
        <v>44495</v>
      </c>
      <c r="D44" s="61" t="s">
        <v>1717</v>
      </c>
    </row>
    <row r="45" spans="1:4" x14ac:dyDescent="0.3">
      <c r="A45" t="s">
        <v>1750</v>
      </c>
      <c r="B45" s="35" t="s">
        <v>1751</v>
      </c>
      <c r="C45" s="307">
        <v>44678</v>
      </c>
      <c r="D45" s="61" t="s">
        <v>1752</v>
      </c>
    </row>
    <row r="46" spans="1:4" x14ac:dyDescent="0.3">
      <c r="A46" t="s">
        <v>1755</v>
      </c>
      <c r="B46" s="35" t="s">
        <v>1751</v>
      </c>
      <c r="C46" s="307">
        <v>44687</v>
      </c>
      <c r="D46" s="61" t="s">
        <v>1756</v>
      </c>
    </row>
    <row r="47" spans="1:4" ht="28.8" x14ac:dyDescent="0.3">
      <c r="A47" t="s">
        <v>1758</v>
      </c>
      <c r="B47" s="35" t="s">
        <v>1759</v>
      </c>
      <c r="C47" s="307">
        <v>44716</v>
      </c>
      <c r="D47" s="61" t="s">
        <v>1761</v>
      </c>
    </row>
    <row r="48" spans="1:4" x14ac:dyDescent="0.3">
      <c r="A48" t="s">
        <v>1762</v>
      </c>
      <c r="B48" s="35" t="s">
        <v>1759</v>
      </c>
      <c r="C48" s="307">
        <v>44732</v>
      </c>
      <c r="D48" s="61" t="s">
        <v>1763</v>
      </c>
    </row>
    <row r="49" spans="1:4" x14ac:dyDescent="0.3">
      <c r="A49" t="s">
        <v>1767</v>
      </c>
      <c r="B49" s="35" t="s">
        <v>1768</v>
      </c>
      <c r="C49" s="307">
        <v>44772</v>
      </c>
      <c r="D49" s="61" t="s">
        <v>1769</v>
      </c>
    </row>
    <row r="50" spans="1:4" x14ac:dyDescent="0.3">
      <c r="A50" t="s">
        <v>1773</v>
      </c>
      <c r="B50" s="35" t="s">
        <v>1768</v>
      </c>
      <c r="C50" s="307">
        <v>44832</v>
      </c>
      <c r="D50" s="61" t="s">
        <v>1774</v>
      </c>
    </row>
    <row r="51" spans="1:4" x14ac:dyDescent="0.3">
      <c r="A51" t="s">
        <v>1778</v>
      </c>
      <c r="B51" s="35" t="s">
        <v>1768</v>
      </c>
      <c r="C51" s="307">
        <v>44858</v>
      </c>
      <c r="D51" s="61" t="s">
        <v>1779</v>
      </c>
    </row>
    <row r="52" spans="1:4" x14ac:dyDescent="0.3">
      <c r="A52" t="s">
        <v>1782</v>
      </c>
      <c r="B52" s="35" t="s">
        <v>1768</v>
      </c>
      <c r="C52" s="307">
        <v>44876</v>
      </c>
      <c r="D52" s="61" t="s">
        <v>1779</v>
      </c>
    </row>
    <row r="53" spans="1:4" x14ac:dyDescent="0.3">
      <c r="A53" t="s">
        <v>1788</v>
      </c>
      <c r="B53" s="35" t="s">
        <v>1789</v>
      </c>
      <c r="C53" s="307">
        <v>44958</v>
      </c>
      <c r="D53" s="61" t="s">
        <v>1790</v>
      </c>
    </row>
    <row r="54" spans="1:4" x14ac:dyDescent="0.3">
      <c r="A54" t="s">
        <v>1794</v>
      </c>
      <c r="B54" s="35" t="s">
        <v>1795</v>
      </c>
      <c r="C54" s="307">
        <v>45029</v>
      </c>
      <c r="D54" s="61" t="s">
        <v>1796</v>
      </c>
    </row>
    <row r="55" spans="1:4" ht="57.6" x14ac:dyDescent="0.3">
      <c r="A55" t="s">
        <v>1805</v>
      </c>
      <c r="B55" s="35" t="s">
        <v>1836</v>
      </c>
      <c r="C55" s="307">
        <v>45049</v>
      </c>
      <c r="D55" s="371" t="s">
        <v>1834</v>
      </c>
    </row>
    <row r="56" spans="1:4" x14ac:dyDescent="0.3"/>
    <row r="57" spans="1:4" x14ac:dyDescent="0.3"/>
    <row r="58" spans="1:4" x14ac:dyDescent="0.3"/>
    <row r="59" spans="1:4" x14ac:dyDescent="0.3"/>
    <row r="60" spans="1:4" x14ac:dyDescent="0.3"/>
  </sheetData>
  <phoneticPr fontId="78" type="noConversion"/>
  <hyperlinks>
    <hyperlink ref="G2" r:id="rId1" xr:uid="{00000000-0004-0000-0D00-000000000000}"/>
  </hyperlinks>
  <pageMargins left="0.7" right="0.7" top="0.75" bottom="0.75" header="0.3" footer="0.3"/>
  <pageSetup paperSize="9" orientation="portrait" r:id="rId2"/>
  <ignoredErrors>
    <ignoredError sqref="B20:B31 B42" twoDigitTextYear="1"/>
  </ignoredErrors>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i-ACTIVSENSE</vt:lpstr>
      <vt:lpstr>Donate &amp; Tutorial</vt:lpstr>
      <vt:lpstr>RCM</vt:lpstr>
      <vt:lpstr>RBCM</vt:lpstr>
      <vt:lpstr>FBCM</vt:lpstr>
      <vt:lpstr>SSU</vt:lpstr>
      <vt:lpstr>FSC Gen 1</vt:lpstr>
      <vt:lpstr>FSC Gen 2</vt:lpstr>
      <vt:lpstr>IC</vt:lpstr>
      <vt:lpstr>BCMM</vt:lpstr>
      <vt:lpstr>CCC Converter</vt:lpstr>
      <vt:lpstr>CCC Research</vt:lpstr>
      <vt:lpstr>Changelog</vt:lpstr>
    </vt:vector>
  </TitlesOfParts>
  <Manager/>
  <Company>Hewlett 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Lizardo Garcia Ahumada</dc:creator>
  <cp:keywords/>
  <dc:description/>
  <cp:lastModifiedBy>User</cp:lastModifiedBy>
  <cp:revision/>
  <cp:lastPrinted>2020-08-09T16:41:23Z</cp:lastPrinted>
  <dcterms:created xsi:type="dcterms:W3CDTF">2016-09-30T03:14:20Z</dcterms:created>
  <dcterms:modified xsi:type="dcterms:W3CDTF">2023-06-05T16:06:59Z</dcterms:modified>
  <cp:category/>
  <cp:contentStatus/>
</cp:coreProperties>
</file>